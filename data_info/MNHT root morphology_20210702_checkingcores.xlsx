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root morphology- 12bins" sheetId="2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<sst xmlns="http://schemas.openxmlformats.org/spreadsheetml/2006/main" count="787" uniqueCount="574">
  <si>
    <t xml:space="preserve">label ID</t>
  </si>
  <si>
    <t xml:space="preserve">CROSS</t>
  </si>
  <si>
    <t xml:space="preserve">LINE</t>
  </si>
  <si>
    <t xml:space="preserve">PLANT_ID</t>
  </si>
  <si>
    <t xml:space="preserve">Rhizomes</t>
  </si>
  <si>
    <t xml:space="preserve">Weight (g DW)</t>
  </si>
  <si>
    <t xml:space="preserve">Length(cm)</t>
  </si>
  <si>
    <t xml:space="preserve">ProjArea(cm2)</t>
  </si>
  <si>
    <t xml:space="preserve">SurfArea(cm2)</t>
  </si>
  <si>
    <t xml:space="preserve">AvgDiam(mm)</t>
  </si>
  <si>
    <t xml:space="preserve">0&lt;.L.&lt;=0.0500000</t>
  </si>
  <si>
    <t xml:space="preserve">0.0500000&lt;.L.&lt;=0.1000000</t>
  </si>
  <si>
    <t xml:space="preserve">0.1000000&lt;.L.&lt;=0.1500000</t>
  </si>
  <si>
    <t xml:space="preserve">0.1500000&lt;.L.&lt;=0.2000000</t>
  </si>
  <si>
    <t xml:space="preserve">0.2000000&lt;.L.&lt;=0.2500000</t>
  </si>
  <si>
    <t xml:space="preserve">0.2500000&lt;.L.&lt;=0.3000000</t>
  </si>
  <si>
    <t xml:space="preserve">0.3000000&lt;.L.&lt;=0.3500000</t>
  </si>
  <si>
    <t xml:space="preserve">0.3500000&lt;.L.&lt;=0.4000000</t>
  </si>
  <si>
    <t xml:space="preserve">0.4000000&lt;.L.&lt;=0.4500000</t>
  </si>
  <si>
    <t xml:space="preserve">0.4500000&lt;.L.&lt;=0.5000000</t>
  </si>
  <si>
    <t xml:space="preserve">0.5000000&lt;.L.&lt;=0.5500000</t>
  </si>
  <si>
    <t xml:space="preserve">0.5500000&lt;.L.&lt;=0.6000000</t>
  </si>
  <si>
    <t xml:space="preserve">0.6000000&lt;.L.&lt;=0.6500000</t>
  </si>
  <si>
    <t xml:space="preserve">0.6500000&lt;.L.&lt;=0.7000000</t>
  </si>
  <si>
    <t xml:space="preserve">0.7000000&lt;.L.&lt;=0.7500000</t>
  </si>
  <si>
    <t xml:space="preserve">0.7500000&lt;.L.&lt;=0.8000000</t>
  </si>
  <si>
    <t xml:space="preserve">0.8000000&lt;.L.&lt;=0.8500000</t>
  </si>
  <si>
    <t xml:space="preserve">0.8500000&lt;.L.&lt;=0.9000000</t>
  </si>
  <si>
    <t xml:space="preserve">0.9000000&lt;.L.&lt;=0.9500000</t>
  </si>
  <si>
    <t xml:space="preserve">0.9500000&lt;.L.&lt;=1.0000000</t>
  </si>
  <si>
    <t xml:space="preserve">1.0000000&lt;.L.&lt;=1.0500000</t>
  </si>
  <si>
    <t xml:space="preserve">1.0500000&lt;.L.&lt;=1.1000000</t>
  </si>
  <si>
    <t xml:space="preserve">1.1000000&lt;.L.&lt;=1.1500000</t>
  </si>
  <si>
    <t xml:space="preserve">1.1500000&lt;.L.&lt;=1.2000000</t>
  </si>
  <si>
    <t xml:space="preserve">1.2000000&lt;.L.&lt;=1.2500000</t>
  </si>
  <si>
    <t xml:space="preserve">1.2500000&lt;.L.&lt;=1.3000000</t>
  </si>
  <si>
    <t xml:space="preserve">1.3000000&lt;.L.&lt;=1.3500000</t>
  </si>
  <si>
    <t xml:space="preserve">1.3500000&lt;.L.&lt;=1.4000000</t>
  </si>
  <si>
    <t xml:space="preserve">1.4000000&lt;.L.&lt;=1.4500000</t>
  </si>
  <si>
    <t xml:space="preserve">1.4500000&lt;.L.&lt;=1.5000000</t>
  </si>
  <si>
    <t xml:space="preserve">1.5000000&lt;.L.&lt;=1.5500000</t>
  </si>
  <si>
    <t xml:space="preserve">1.5500000&lt;.L.&lt;=1.6000000</t>
  </si>
  <si>
    <t xml:space="preserve">1.6000000&lt;.L.&lt;=1.6500000</t>
  </si>
  <si>
    <t xml:space="preserve">1.6500000&lt;.L.&lt;=1.7000000</t>
  </si>
  <si>
    <t xml:space="preserve">1.7000000&lt;.L.&lt;=1.7500000</t>
  </si>
  <si>
    <t xml:space="preserve">1.7500000&lt;.L.&lt;=1.8000000</t>
  </si>
  <si>
    <t xml:space="preserve">1.8000000&lt;.L.&lt;=1.8500000</t>
  </si>
  <si>
    <t xml:space="preserve">1.8500000&lt;.L.&lt;=1.9000000</t>
  </si>
  <si>
    <t xml:space="preserve">1.9000000&lt;.L.&lt;=1.9500000</t>
  </si>
  <si>
    <t xml:space="preserve">1.9500000&lt;.L.&lt;=2.0000000</t>
  </si>
  <si>
    <t xml:space="preserve">2.0000000&lt;.L.&lt;=2.0500000</t>
  </si>
  <si>
    <t xml:space="preserve">2.0500000&lt;.L.&lt;=2.1000000</t>
  </si>
  <si>
    <t xml:space="preserve">2.1000000&lt;.L.&lt;=2.1500000</t>
  </si>
  <si>
    <t xml:space="preserve">2.1500000&lt;.L.&lt;=2.2000000</t>
  </si>
  <si>
    <t xml:space="preserve">2.2000000&lt;.L.&lt;=2.2500000</t>
  </si>
  <si>
    <t xml:space="preserve">2.2500000&lt;.L.&lt;=2.3000000</t>
  </si>
  <si>
    <t xml:space="preserve">2.3000000&lt;.L.&lt;=2.3500000</t>
  </si>
  <si>
    <t xml:space="preserve">2.3500000&lt;.L.&lt;=2.4000000</t>
  </si>
  <si>
    <t xml:space="preserve">2.4000000&lt;.L.&lt;=2.4500000</t>
  </si>
  <si>
    <t xml:space="preserve">2.4500000&lt;.L.&lt;=2.5000000</t>
  </si>
  <si>
    <t xml:space="preserve">2.5000000&lt;.L.&lt;=2.5500000</t>
  </si>
  <si>
    <t xml:space="preserve">2.5500000&lt;.L.&lt;=2.6000000</t>
  </si>
  <si>
    <t xml:space="preserve">2.6000000&lt;.L.&lt;=2.6500000</t>
  </si>
  <si>
    <t xml:space="preserve">2.6500000&lt;.L.&lt;=2.7000000</t>
  </si>
  <si>
    <t xml:space="preserve">2.7000000&lt;.L.&lt;=2.7500000</t>
  </si>
  <si>
    <t xml:space="preserve">2.7500000&lt;.L.&lt;=2.8000000</t>
  </si>
  <si>
    <t xml:space="preserve">2.8000000&lt;.L.&lt;=2.8500000</t>
  </si>
  <si>
    <t xml:space="preserve">2.8500000&lt;.L.&lt;=2.9000000</t>
  </si>
  <si>
    <t xml:space="preserve">2.9000000&lt;.L.&lt;=2.9500000</t>
  </si>
  <si>
    <t xml:space="preserve">2.9500000&lt;.L.&lt;=3.0000000</t>
  </si>
  <si>
    <t xml:space="preserve">3.0000000&lt;.L.&lt;=3.0500000</t>
  </si>
  <si>
    <t xml:space="preserve">3.0500000&lt;.L.&lt;=3.1000000</t>
  </si>
  <si>
    <t xml:space="preserve">3.1000000&lt;.L.&lt;=3.1500000</t>
  </si>
  <si>
    <t xml:space="preserve">3.1500000&lt;.L.&lt;=3.2000000</t>
  </si>
  <si>
    <t xml:space="preserve">3.2000000&lt;.L.&lt;=3.2500000</t>
  </si>
  <si>
    <t xml:space="preserve">3.2500000&lt;.L.&lt;=3.3000000</t>
  </si>
  <si>
    <t xml:space="preserve">3.3000000&lt;.L.&lt;=3.3500000</t>
  </si>
  <si>
    <t xml:space="preserve">3.3500000&lt;.L.&lt;=3.4000000</t>
  </si>
  <si>
    <t xml:space="preserve">3.4000000&lt;.L.&lt;=3.4500000</t>
  </si>
  <si>
    <t xml:space="preserve">3.4500000&lt;.L.&lt;=3.5000000</t>
  </si>
  <si>
    <t xml:space="preserve">3.5000000&lt;.L.&lt;=3.5500000</t>
  </si>
  <si>
    <t xml:space="preserve">3.5500000&lt;.L.&lt;=3.6000000</t>
  </si>
  <si>
    <t xml:space="preserve">3.6000000&lt;.L.&lt;=3.6500000</t>
  </si>
  <si>
    <t xml:space="preserve">3.6500000&lt;.L.&lt;=3.7000000</t>
  </si>
  <si>
    <t xml:space="preserve">3.7000000&lt;.L.&lt;=3.7500000</t>
  </si>
  <si>
    <t xml:space="preserve">3.7500000&lt;.L.&lt;=3.8000000</t>
  </si>
  <si>
    <t xml:space="preserve">3.8000000&lt;.L.&lt;=3.8500000</t>
  </si>
  <si>
    <t xml:space="preserve">3.8500000&lt;.L.&lt;=3.9000000</t>
  </si>
  <si>
    <t xml:space="preserve">3.9000000&lt;.L.&lt;=3.9500000</t>
  </si>
  <si>
    <t xml:space="preserve">3.9500000&lt;.L.&lt;=4.0000000</t>
  </si>
  <si>
    <t xml:space="preserve">.L.&gt;4.0000000</t>
  </si>
  <si>
    <t xml:space="preserve">0&lt;.SA.&lt;=0.0500000</t>
  </si>
  <si>
    <t xml:space="preserve">0.0500000&lt;.SA.&lt;=0.1000000</t>
  </si>
  <si>
    <t xml:space="preserve">0.1000000&lt;.SA.&lt;=0.1500000</t>
  </si>
  <si>
    <t xml:space="preserve">0.1500000&lt;.SA.&lt;=0.2000000</t>
  </si>
  <si>
    <t xml:space="preserve">0.2000000&lt;.SA.&lt;=0.2500000</t>
  </si>
  <si>
    <t xml:space="preserve">0.2500000&lt;.SA.&lt;=0.3000000</t>
  </si>
  <si>
    <t xml:space="preserve">0.3000000&lt;.SA.&lt;=0.3500000</t>
  </si>
  <si>
    <t xml:space="preserve">0.3500000&lt;.SA.&lt;=0.4000000</t>
  </si>
  <si>
    <t xml:space="preserve">0.4000000&lt;.SA.&lt;=0.4500000</t>
  </si>
  <si>
    <t xml:space="preserve">0.4500000&lt;.SA.&lt;=0.5000000</t>
  </si>
  <si>
    <t xml:space="preserve">0.5000000&lt;.SA.&lt;=0.5500000</t>
  </si>
  <si>
    <t xml:space="preserve">0.5500000&lt;.SA.&lt;=0.6000000</t>
  </si>
  <si>
    <t xml:space="preserve">0.6000000&lt;.SA.&lt;=0.6500000</t>
  </si>
  <si>
    <t xml:space="preserve">0.6500000&lt;.SA.&lt;=0.7000000</t>
  </si>
  <si>
    <t xml:space="preserve">0.7000000&lt;.SA.&lt;=0.7500000</t>
  </si>
  <si>
    <t xml:space="preserve">0.7500000&lt;.SA.&lt;=0.8000000</t>
  </si>
  <si>
    <t xml:space="preserve">0.8000000&lt;.SA.&lt;=0.8500000</t>
  </si>
  <si>
    <t xml:space="preserve">0.8500000&lt;.SA.&lt;=0.9000000</t>
  </si>
  <si>
    <t xml:space="preserve">0.9000000&lt;.SA.&lt;=0.9500000</t>
  </si>
  <si>
    <t xml:space="preserve">0.9500000&lt;.SA.&lt;=1.0000000</t>
  </si>
  <si>
    <t xml:space="preserve">1.0000000&lt;.SA.&lt;=1.0500000</t>
  </si>
  <si>
    <t xml:space="preserve">1.0500000&lt;.SA.&lt;=1.1000000</t>
  </si>
  <si>
    <t xml:space="preserve">1.1000000&lt;.SA.&lt;=1.1500000</t>
  </si>
  <si>
    <t xml:space="preserve">1.1500000&lt;.SA.&lt;=1.2000000</t>
  </si>
  <si>
    <t xml:space="preserve">1.2000000&lt;.SA.&lt;=1.2500000</t>
  </si>
  <si>
    <t xml:space="preserve">1.2500000&lt;.SA.&lt;=1.3000000</t>
  </si>
  <si>
    <t xml:space="preserve">1.3000000&lt;.SA.&lt;=1.3500000</t>
  </si>
  <si>
    <t xml:space="preserve">1.3500000&lt;.SA.&lt;=1.4000000</t>
  </si>
  <si>
    <t xml:space="preserve">1.4000000&lt;.SA.&lt;=1.4500000</t>
  </si>
  <si>
    <t xml:space="preserve">1.4500000&lt;.SA.&lt;=1.5000000</t>
  </si>
  <si>
    <t xml:space="preserve">1.5000000&lt;.SA.&lt;=1.5500000</t>
  </si>
  <si>
    <t xml:space="preserve">1.5500000&lt;.SA.&lt;=1.6000000</t>
  </si>
  <si>
    <t xml:space="preserve">1.6000000&lt;.SA.&lt;=1.6500000</t>
  </si>
  <si>
    <t xml:space="preserve">1.6500000&lt;.SA.&lt;=1.7000000</t>
  </si>
  <si>
    <t xml:space="preserve">1.7000000&lt;.SA.&lt;=1.7500000</t>
  </si>
  <si>
    <t xml:space="preserve">1.7500000&lt;.SA.&lt;=1.8000000</t>
  </si>
  <si>
    <t xml:space="preserve">1.8000000&lt;.SA.&lt;=1.8500000</t>
  </si>
  <si>
    <t xml:space="preserve">1.8500000&lt;.SA.&lt;=1.9000000</t>
  </si>
  <si>
    <t xml:space="preserve">1.9000000&lt;.SA.&lt;=1.9500000</t>
  </si>
  <si>
    <t xml:space="preserve">1.9500000&lt;.SA.&lt;=2.0000000</t>
  </si>
  <si>
    <t xml:space="preserve">2.0000000&lt;.SA.&lt;=2.0500000</t>
  </si>
  <si>
    <t xml:space="preserve">2.0500000&lt;.SA.&lt;=2.1000000</t>
  </si>
  <si>
    <t xml:space="preserve">2.1000000&lt;.SA.&lt;=2.1500000</t>
  </si>
  <si>
    <t xml:space="preserve">2.1500000&lt;.SA.&lt;=2.2000000</t>
  </si>
  <si>
    <t xml:space="preserve">2.2000000&lt;.SA.&lt;=2.2500000</t>
  </si>
  <si>
    <t xml:space="preserve">2.2500000&lt;.SA.&lt;=2.3000000</t>
  </si>
  <si>
    <t xml:space="preserve">2.3000000&lt;.SA.&lt;=2.3500000</t>
  </si>
  <si>
    <t xml:space="preserve">2.3500000&lt;.SA.&lt;=2.4000000</t>
  </si>
  <si>
    <t xml:space="preserve">2.4000000&lt;.SA.&lt;=2.4500000</t>
  </si>
  <si>
    <t xml:space="preserve">2.4500000&lt;.SA.&lt;=2.5000000</t>
  </si>
  <si>
    <t xml:space="preserve">2.5000000&lt;.SA.&lt;=2.5500000</t>
  </si>
  <si>
    <t xml:space="preserve">2.5500000&lt;.SA.&lt;=2.6000000</t>
  </si>
  <si>
    <t xml:space="preserve">2.6000000&lt;.SA.&lt;=2.6500000</t>
  </si>
  <si>
    <t xml:space="preserve">2.6500000&lt;.SA.&lt;=2.7000000</t>
  </si>
  <si>
    <t xml:space="preserve">2.7000000&lt;.SA.&lt;=2.7500000</t>
  </si>
  <si>
    <t xml:space="preserve">2.7500000&lt;.SA.&lt;=2.8000000</t>
  </si>
  <si>
    <t xml:space="preserve">2.8000000&lt;.SA.&lt;=2.8500000</t>
  </si>
  <si>
    <t xml:space="preserve">2.8500000&lt;.SA.&lt;=2.9000000</t>
  </si>
  <si>
    <t xml:space="preserve">2.9000000&lt;.SA.&lt;=2.9500000</t>
  </si>
  <si>
    <t xml:space="preserve">2.9500000&lt;.SA.&lt;=3.0000000</t>
  </si>
  <si>
    <t xml:space="preserve">3.0000000&lt;.SA.&lt;=3.0500000</t>
  </si>
  <si>
    <t xml:space="preserve">3.0500000&lt;.SA.&lt;=3.1000000</t>
  </si>
  <si>
    <t xml:space="preserve">3.1000000&lt;.SA.&lt;=3.1500000</t>
  </si>
  <si>
    <t xml:space="preserve">3.1500000&lt;.SA.&lt;=3.2000000</t>
  </si>
  <si>
    <t xml:space="preserve">3.2000000&lt;.SA.&lt;=3.2500000</t>
  </si>
  <si>
    <t xml:space="preserve">3.2500000&lt;.SA.&lt;=3.3000000</t>
  </si>
  <si>
    <t xml:space="preserve">3.3000000&lt;.SA.&lt;=3.3500000</t>
  </si>
  <si>
    <t xml:space="preserve">3.3500000&lt;.SA.&lt;=3.4000000</t>
  </si>
  <si>
    <t xml:space="preserve">3.4000000&lt;.SA.&lt;=3.4500000</t>
  </si>
  <si>
    <t xml:space="preserve">3.4500000&lt;.SA.&lt;=3.5000000</t>
  </si>
  <si>
    <t xml:space="preserve">3.5000000&lt;.SA.&lt;=3.5500000</t>
  </si>
  <si>
    <t xml:space="preserve">3.5500000&lt;.SA.&lt;=3.6000000</t>
  </si>
  <si>
    <t xml:space="preserve">3.6000000&lt;.SA.&lt;=3.6500000</t>
  </si>
  <si>
    <t xml:space="preserve">3.6500000&lt;.SA.&lt;=3.7000000</t>
  </si>
  <si>
    <t xml:space="preserve">3.7000000&lt;.SA.&lt;=3.7500000</t>
  </si>
  <si>
    <t xml:space="preserve">3.7500000&lt;.SA.&lt;=3.8000000</t>
  </si>
  <si>
    <t xml:space="preserve">3.8000000&lt;.SA.&lt;=3.8500000</t>
  </si>
  <si>
    <t xml:space="preserve">3.8500000&lt;.SA.&lt;=3.9000000</t>
  </si>
  <si>
    <t xml:space="preserve">3.9000000&lt;.SA.&lt;=3.9500000</t>
  </si>
  <si>
    <t xml:space="preserve">3.9500000&lt;.SA.&lt;=4.0000000</t>
  </si>
  <si>
    <t xml:space="preserve">.SA.&gt;4.0000000</t>
  </si>
  <si>
    <t xml:space="preserve">N1001</t>
  </si>
  <si>
    <t xml:space="preserve">VWAD</t>
  </si>
  <si>
    <t xml:space="preserve">VWAD.88.4</t>
  </si>
  <si>
    <t xml:space="preserve">N1002</t>
  </si>
  <si>
    <t xml:space="preserve">ADVW</t>
  </si>
  <si>
    <t xml:space="preserve">ADVW.209.4</t>
  </si>
  <si>
    <t xml:space="preserve">N1003</t>
  </si>
  <si>
    <t xml:space="preserve">VWAD.110.4</t>
  </si>
  <si>
    <t xml:space="preserve">N1006</t>
  </si>
  <si>
    <t xml:space="preserve">VWAD.113.4</t>
  </si>
  <si>
    <t xml:space="preserve">N1007</t>
  </si>
  <si>
    <t xml:space="preserve">N1008</t>
  </si>
  <si>
    <t xml:space="preserve">ADVW.229.16</t>
  </si>
  <si>
    <t xml:space="preserve">N1009</t>
  </si>
  <si>
    <t xml:space="preserve">VWAD.34.4</t>
  </si>
  <si>
    <t xml:space="preserve">N1011</t>
  </si>
  <si>
    <t xml:space="preserve">VWAD.93.4</t>
  </si>
  <si>
    <t xml:space="preserve">N1013</t>
  </si>
  <si>
    <t xml:space="preserve">VWAD.132.4</t>
  </si>
  <si>
    <t xml:space="preserve">N1016</t>
  </si>
  <si>
    <t xml:space="preserve">N1017</t>
  </si>
  <si>
    <t xml:space="preserve">ADVW.232.4</t>
  </si>
  <si>
    <t xml:space="preserve">N1019</t>
  </si>
  <si>
    <t xml:space="preserve">ADVW.290.4</t>
  </si>
  <si>
    <t xml:space="preserve">N1020</t>
  </si>
  <si>
    <t xml:space="preserve">VWAD.71.4</t>
  </si>
  <si>
    <t xml:space="preserve">N1102</t>
  </si>
  <si>
    <t xml:space="preserve">F0</t>
  </si>
  <si>
    <t xml:space="preserve">AP13</t>
  </si>
  <si>
    <t xml:space="preserve">F0.AP13</t>
  </si>
  <si>
    <t xml:space="preserve">N1105</t>
  </si>
  <si>
    <t xml:space="preserve">VWAD.173.4</t>
  </si>
  <si>
    <t xml:space="preserve">N1106</t>
  </si>
  <si>
    <t xml:space="preserve">ADVW.326.4</t>
  </si>
  <si>
    <t xml:space="preserve">N1107</t>
  </si>
  <si>
    <t xml:space="preserve">VWAD.195.4</t>
  </si>
  <si>
    <t xml:space="preserve">N1108</t>
  </si>
  <si>
    <t xml:space="preserve">ADVW.341.4</t>
  </si>
  <si>
    <t xml:space="preserve">N1109</t>
  </si>
  <si>
    <t xml:space="preserve">VWAD.74.4</t>
  </si>
  <si>
    <t xml:space="preserve">N1111</t>
  </si>
  <si>
    <t xml:space="preserve">VS16</t>
  </si>
  <si>
    <t xml:space="preserve">F0.VS16</t>
  </si>
  <si>
    <t xml:space="preserve">N1112</t>
  </si>
  <si>
    <t xml:space="preserve">ADVW.258.4</t>
  </si>
  <si>
    <t xml:space="preserve">N1114</t>
  </si>
  <si>
    <t xml:space="preserve">ADVW.271.4</t>
  </si>
  <si>
    <t xml:space="preserve">N1116</t>
  </si>
  <si>
    <t xml:space="preserve">ADVW.379.4</t>
  </si>
  <si>
    <t xml:space="preserve">N1117</t>
  </si>
  <si>
    <t xml:space="preserve">WBC</t>
  </si>
  <si>
    <t xml:space="preserve">F0.WBC</t>
  </si>
  <si>
    <t xml:space="preserve">N1118</t>
  </si>
  <si>
    <t xml:space="preserve">VWAD.103.4</t>
  </si>
  <si>
    <t xml:space="preserve">N1119</t>
  </si>
  <si>
    <t xml:space="preserve">N1202</t>
  </si>
  <si>
    <t xml:space="preserve">ADVW.304.4</t>
  </si>
  <si>
    <t xml:space="preserve">N1203</t>
  </si>
  <si>
    <t xml:space="preserve">VWAD.102.4</t>
  </si>
  <si>
    <t xml:space="preserve">N1206</t>
  </si>
  <si>
    <t xml:space="preserve">REDO</t>
  </si>
  <si>
    <t xml:space="preserve">N1207</t>
  </si>
  <si>
    <t xml:space="preserve">ADVW.275.16</t>
  </si>
  <si>
    <t xml:space="preserve">N1210</t>
  </si>
  <si>
    <t xml:space="preserve">VWAD.145.4</t>
  </si>
  <si>
    <t xml:space="preserve">N1211</t>
  </si>
  <si>
    <t xml:space="preserve">ADVW.305.4</t>
  </si>
  <si>
    <t xml:space="preserve">N1212</t>
  </si>
  <si>
    <t xml:space="preserve">VWAD.24.4</t>
  </si>
  <si>
    <t xml:space="preserve">N1214</t>
  </si>
  <si>
    <t xml:space="preserve">DAC</t>
  </si>
  <si>
    <t xml:space="preserve">F0.DAC</t>
  </si>
  <si>
    <t xml:space="preserve">N1215</t>
  </si>
  <si>
    <t xml:space="preserve">VWAD.38.4</t>
  </si>
  <si>
    <t xml:space="preserve">N1216</t>
  </si>
  <si>
    <t xml:space="preserve">ADVW.248.4</t>
  </si>
  <si>
    <t xml:space="preserve">N1217</t>
  </si>
  <si>
    <t xml:space="preserve">VWAD.142.4</t>
  </si>
  <si>
    <t xml:space="preserve">N1218</t>
  </si>
  <si>
    <t xml:space="preserve">ADVW.301.4</t>
  </si>
  <si>
    <t xml:space="preserve">N1220</t>
  </si>
  <si>
    <t xml:space="preserve">ADVW.260.4</t>
  </si>
  <si>
    <t xml:space="preserve">N1302</t>
  </si>
  <si>
    <t xml:space="preserve">ADVW.313.4</t>
  </si>
  <si>
    <t xml:space="preserve">N1303</t>
  </si>
  <si>
    <t xml:space="preserve">N1304</t>
  </si>
  <si>
    <t xml:space="preserve">VWAD.30.4</t>
  </si>
  <si>
    <t xml:space="preserve">N1308</t>
  </si>
  <si>
    <t xml:space="preserve">VWAD.35.4</t>
  </si>
  <si>
    <t xml:space="preserve">N1309</t>
  </si>
  <si>
    <t xml:space="preserve">N1310</t>
  </si>
  <si>
    <t xml:space="preserve">ADVW.261.4</t>
  </si>
  <si>
    <t xml:space="preserve">N1312</t>
  </si>
  <si>
    <t xml:space="preserve">N1313</t>
  </si>
  <si>
    <t xml:space="preserve">ADVW.317.4</t>
  </si>
  <si>
    <t xml:space="preserve">N1314</t>
  </si>
  <si>
    <t xml:space="preserve">VWAD.21.4</t>
  </si>
  <si>
    <t xml:space="preserve">N1316</t>
  </si>
  <si>
    <t xml:space="preserve">VWAD.76.4</t>
  </si>
  <si>
    <t xml:space="preserve">N1319</t>
  </si>
  <si>
    <t xml:space="preserve">VWAD.52.4</t>
  </si>
  <si>
    <t xml:space="preserve">N1401</t>
  </si>
  <si>
    <t xml:space="preserve">VWAD.43.4</t>
  </si>
  <si>
    <t xml:space="preserve">N1402</t>
  </si>
  <si>
    <t xml:space="preserve">N1403</t>
  </si>
  <si>
    <t xml:space="preserve">ADVW.226.4</t>
  </si>
  <si>
    <t xml:space="preserve">N1404</t>
  </si>
  <si>
    <t xml:space="preserve">VWAD.100.4</t>
  </si>
  <si>
    <t xml:space="preserve">N1405</t>
  </si>
  <si>
    <t xml:space="preserve">ADVW.250.4</t>
  </si>
  <si>
    <t xml:space="preserve">N1409</t>
  </si>
  <si>
    <t xml:space="preserve">ADVW.255.4</t>
  </si>
  <si>
    <t xml:space="preserve">N1411</t>
  </si>
  <si>
    <t xml:space="preserve">N1501</t>
  </si>
  <si>
    <t xml:space="preserve">ADVW.400.4</t>
  </si>
  <si>
    <t xml:space="preserve">N1504</t>
  </si>
  <si>
    <t xml:space="preserve">N1505</t>
  </si>
  <si>
    <t xml:space="preserve">ADVW.312.4</t>
  </si>
  <si>
    <t xml:space="preserve">N1506</t>
  </si>
  <si>
    <t xml:space="preserve">VWAD.49.4</t>
  </si>
  <si>
    <t xml:space="preserve">N1511</t>
  </si>
  <si>
    <t xml:space="preserve">ADVW.237.16</t>
  </si>
  <si>
    <t xml:space="preserve">N1515</t>
  </si>
  <si>
    <t xml:space="preserve">VWAD.3.4</t>
  </si>
  <si>
    <t xml:space="preserve">N1517</t>
  </si>
  <si>
    <t xml:space="preserve">VWAD.138.4</t>
  </si>
  <si>
    <t xml:space="preserve">N1519</t>
  </si>
  <si>
    <t xml:space="preserve">VWAD.122.4</t>
  </si>
  <si>
    <t xml:space="preserve">N1601</t>
  </si>
  <si>
    <t xml:space="preserve">ADVW.388.4</t>
  </si>
  <si>
    <t xml:space="preserve">N1602</t>
  </si>
  <si>
    <t xml:space="preserve">VWAD.6.4</t>
  </si>
  <si>
    <t xml:space="preserve">N1607</t>
  </si>
  <si>
    <t xml:space="preserve">ADVW.288.4</t>
  </si>
  <si>
    <t xml:space="preserve">N1610</t>
  </si>
  <si>
    <t xml:space="preserve">ADVW.254.4</t>
  </si>
  <si>
    <t xml:space="preserve">N1611</t>
  </si>
  <si>
    <t xml:space="preserve">VWAD.72.4</t>
  </si>
  <si>
    <t xml:space="preserve">N1612</t>
  </si>
  <si>
    <t xml:space="preserve">N1615</t>
  </si>
  <si>
    <t xml:space="preserve">ADVW.303.4</t>
  </si>
  <si>
    <t xml:space="preserve">N1616</t>
  </si>
  <si>
    <t xml:space="preserve">VWAD.25.4</t>
  </si>
  <si>
    <t xml:space="preserve">N1618</t>
  </si>
  <si>
    <t xml:space="preserve">N1703</t>
  </si>
  <si>
    <t xml:space="preserve">N1707</t>
  </si>
  <si>
    <t xml:space="preserve">ADVW.204.4</t>
  </si>
  <si>
    <t xml:space="preserve">N1708</t>
  </si>
  <si>
    <t xml:space="preserve">VWAD.199.4</t>
  </si>
  <si>
    <t xml:space="preserve">N1710</t>
  </si>
  <si>
    <t xml:space="preserve">VWAD.120.4</t>
  </si>
  <si>
    <t xml:space="preserve">N1711</t>
  </si>
  <si>
    <t xml:space="preserve">ADVW.359.4</t>
  </si>
  <si>
    <t xml:space="preserve">N1712</t>
  </si>
  <si>
    <t xml:space="preserve">VWAD.67.4</t>
  </si>
  <si>
    <t xml:space="preserve">N1713</t>
  </si>
  <si>
    <t xml:space="preserve">VWAD.54.4</t>
  </si>
  <si>
    <t xml:space="preserve">N1714</t>
  </si>
  <si>
    <t xml:space="preserve">VWAD.4.4</t>
  </si>
  <si>
    <t xml:space="preserve">N1715</t>
  </si>
  <si>
    <t xml:space="preserve">ADVW.210.4</t>
  </si>
  <si>
    <t xml:space="preserve">N1717</t>
  </si>
  <si>
    <t xml:space="preserve">ADVW.308.4</t>
  </si>
  <si>
    <t xml:space="preserve">N1718</t>
  </si>
  <si>
    <t xml:space="preserve">VWAD.94.4</t>
  </si>
  <si>
    <t xml:space="preserve">N1803</t>
  </si>
  <si>
    <t xml:space="preserve">VWAD.63.4</t>
  </si>
  <si>
    <t xml:space="preserve">N1804</t>
  </si>
  <si>
    <t xml:space="preserve">ADVW.293.4</t>
  </si>
  <si>
    <t xml:space="preserve">N1808</t>
  </si>
  <si>
    <t xml:space="preserve">ADVW.218.4</t>
  </si>
  <si>
    <t xml:space="preserve">N1810</t>
  </si>
  <si>
    <t xml:space="preserve">VWAD.23.4</t>
  </si>
  <si>
    <t xml:space="preserve">N1811</t>
  </si>
  <si>
    <t xml:space="preserve">ADVW.347.4</t>
  </si>
  <si>
    <t xml:space="preserve">N1812</t>
  </si>
  <si>
    <t xml:space="preserve">VWAD.183.4</t>
  </si>
  <si>
    <t xml:space="preserve">N1813</t>
  </si>
  <si>
    <t xml:space="preserve">ADVW.241.4</t>
  </si>
  <si>
    <t xml:space="preserve">N1814</t>
  </si>
  <si>
    <t xml:space="preserve">N1818</t>
  </si>
  <si>
    <t xml:space="preserve">ADVW.310.4</t>
  </si>
  <si>
    <t xml:space="preserve">N1901</t>
  </si>
  <si>
    <t xml:space="preserve">ADVW.395.4</t>
  </si>
  <si>
    <t xml:space="preserve">N1905</t>
  </si>
  <si>
    <t xml:space="preserve">VWAD.97.4</t>
  </si>
  <si>
    <t xml:space="preserve">N1907</t>
  </si>
  <si>
    <t xml:space="preserve">ADVW.211.4</t>
  </si>
  <si>
    <t xml:space="preserve">N1908</t>
  </si>
  <si>
    <t xml:space="preserve">VWAD.159.4</t>
  </si>
  <si>
    <t xml:space="preserve">N1909</t>
  </si>
  <si>
    <t xml:space="preserve">ADVW.285.4</t>
  </si>
  <si>
    <t xml:space="preserve">N1911</t>
  </si>
  <si>
    <t xml:space="preserve">ADVW.373.4</t>
  </si>
  <si>
    <t xml:space="preserve">N1913</t>
  </si>
  <si>
    <t xml:space="preserve">VWAD.133.4</t>
  </si>
  <si>
    <t xml:space="preserve">N1914</t>
  </si>
  <si>
    <t xml:space="preserve">ADVW.212.4</t>
  </si>
  <si>
    <t xml:space="preserve">N1916</t>
  </si>
  <si>
    <t xml:space="preserve">ADVW.356.4</t>
  </si>
  <si>
    <t xml:space="preserve">N2005</t>
  </si>
  <si>
    <t xml:space="preserve">VWAD.185.4</t>
  </si>
  <si>
    <t xml:space="preserve">N2006</t>
  </si>
  <si>
    <t xml:space="preserve">ADVW.270.4</t>
  </si>
  <si>
    <t xml:space="preserve">N2009</t>
  </si>
  <si>
    <t xml:space="preserve">ADVW.286.4</t>
  </si>
  <si>
    <t xml:space="preserve">N2010</t>
  </si>
  <si>
    <t xml:space="preserve">VWAD.50.4</t>
  </si>
  <si>
    <t xml:space="preserve">N2013</t>
  </si>
  <si>
    <t xml:space="preserve">ADVW.328.16</t>
  </si>
  <si>
    <t xml:space="preserve">N2015</t>
  </si>
  <si>
    <t xml:space="preserve">VWAD.59.4</t>
  </si>
  <si>
    <t xml:space="preserve">N2102</t>
  </si>
  <si>
    <t xml:space="preserve">VWAD.80.16</t>
  </si>
  <si>
    <t xml:space="preserve">N2104</t>
  </si>
  <si>
    <t xml:space="preserve">ADVW.353.4</t>
  </si>
  <si>
    <t xml:space="preserve">N2116</t>
  </si>
  <si>
    <t xml:space="preserve">VWAD.161.4</t>
  </si>
  <si>
    <t xml:space="preserve">N2119</t>
  </si>
  <si>
    <t xml:space="preserve">ADVW.280.4</t>
  </si>
  <si>
    <t xml:space="preserve">N2207</t>
  </si>
  <si>
    <t xml:space="preserve">ADVW.378.16</t>
  </si>
  <si>
    <t xml:space="preserve">N2208</t>
  </si>
  <si>
    <t xml:space="preserve">VWAD.154.4</t>
  </si>
  <si>
    <t xml:space="preserve">N2211</t>
  </si>
  <si>
    <t xml:space="preserve">ADVW.216.4</t>
  </si>
  <si>
    <t xml:space="preserve">N2212</t>
  </si>
  <si>
    <t xml:space="preserve">ADVW.320.4</t>
  </si>
  <si>
    <t xml:space="preserve">N2214</t>
  </si>
  <si>
    <t xml:space="preserve">VWAD.84.4</t>
  </si>
  <si>
    <t xml:space="preserve">N2215</t>
  </si>
  <si>
    <t xml:space="preserve">ADVW.244.4</t>
  </si>
  <si>
    <t xml:space="preserve">N2217</t>
  </si>
  <si>
    <t xml:space="preserve">ADVW.238.4</t>
  </si>
  <si>
    <t xml:space="preserve">N2218</t>
  </si>
  <si>
    <t xml:space="preserve">VWAD.139.4</t>
  </si>
  <si>
    <t xml:space="preserve">N2303</t>
  </si>
  <si>
    <t xml:space="preserve">ADVW.220.4</t>
  </si>
  <si>
    <t xml:space="preserve">N2307</t>
  </si>
  <si>
    <t xml:space="preserve">VWAD.152.4</t>
  </si>
  <si>
    <t xml:space="preserve">N2310</t>
  </si>
  <si>
    <t xml:space="preserve">VWAD.26.8</t>
  </si>
  <si>
    <t xml:space="preserve">N2313</t>
  </si>
  <si>
    <t xml:space="preserve">ADVW.287.4</t>
  </si>
  <si>
    <t xml:space="preserve">N2317</t>
  </si>
  <si>
    <t xml:space="preserve">VWAD.28.4</t>
  </si>
  <si>
    <t xml:space="preserve">N2319</t>
  </si>
  <si>
    <t xml:space="preserve">ADVW.264.4</t>
  </si>
  <si>
    <t xml:space="preserve">N2401</t>
  </si>
  <si>
    <t xml:space="preserve">VWAD.164.4</t>
  </si>
  <si>
    <t xml:space="preserve">N2402</t>
  </si>
  <si>
    <t xml:space="preserve">VWAD.176.4</t>
  </si>
  <si>
    <t xml:space="preserve">N2407</t>
  </si>
  <si>
    <t xml:space="preserve">VWAD.42.4</t>
  </si>
  <si>
    <t xml:space="preserve">N2410</t>
  </si>
  <si>
    <t xml:space="preserve">ADVW.325.4</t>
  </si>
  <si>
    <t xml:space="preserve">N2415</t>
  </si>
  <si>
    <t xml:space="preserve">ADVW.283.4</t>
  </si>
  <si>
    <t xml:space="preserve">N2417</t>
  </si>
  <si>
    <t xml:space="preserve">VWAD.127.4</t>
  </si>
  <si>
    <t xml:space="preserve">N2419</t>
  </si>
  <si>
    <t xml:space="preserve">VWAD.44.4</t>
  </si>
  <si>
    <t xml:space="preserve">N2504</t>
  </si>
  <si>
    <t xml:space="preserve">ADVW.222.4</t>
  </si>
  <si>
    <t xml:space="preserve">N2507</t>
  </si>
  <si>
    <t xml:space="preserve">ADVW.357.4</t>
  </si>
  <si>
    <t xml:space="preserve">N2511</t>
  </si>
  <si>
    <t xml:space="preserve">ADVW.202.4</t>
  </si>
  <si>
    <t xml:space="preserve">N2512</t>
  </si>
  <si>
    <t xml:space="preserve">VWAD.157.4</t>
  </si>
  <si>
    <t xml:space="preserve">N2513</t>
  </si>
  <si>
    <t xml:space="preserve">ADVW.314.4</t>
  </si>
  <si>
    <t xml:space="preserve">N2514</t>
  </si>
  <si>
    <t xml:space="preserve">VWAD.27.4</t>
  </si>
  <si>
    <t xml:space="preserve">N2515</t>
  </si>
  <si>
    <t xml:space="preserve">ADVW.213.4</t>
  </si>
  <si>
    <t xml:space="preserve">N2516</t>
  </si>
  <si>
    <t xml:space="preserve">VWAD.158.4</t>
  </si>
  <si>
    <t xml:space="preserve">N2518</t>
  </si>
  <si>
    <t xml:space="preserve">ADVW.368.4</t>
  </si>
  <si>
    <t xml:space="preserve">N2601</t>
  </si>
  <si>
    <t xml:space="preserve">VWAD.119.4</t>
  </si>
  <si>
    <t xml:space="preserve">N2602</t>
  </si>
  <si>
    <t xml:space="preserve">ADVW.402.4</t>
  </si>
  <si>
    <t xml:space="preserve">N2603</t>
  </si>
  <si>
    <t xml:space="preserve">VWAD.7.4</t>
  </si>
  <si>
    <t xml:space="preserve">N2604</t>
  </si>
  <si>
    <t xml:space="preserve">N2614</t>
  </si>
  <si>
    <t xml:space="preserve">VWAD.168.4</t>
  </si>
  <si>
    <t xml:space="preserve">N2616</t>
  </si>
  <si>
    <t xml:space="preserve">ADVW.384.4</t>
  </si>
  <si>
    <t xml:space="preserve">N2617</t>
  </si>
  <si>
    <t xml:space="preserve">VWAD.36.4</t>
  </si>
  <si>
    <t xml:space="preserve">N2618</t>
  </si>
  <si>
    <t xml:space="preserve">ADVW.332.4</t>
  </si>
  <si>
    <t xml:space="preserve">N2620</t>
  </si>
  <si>
    <t xml:space="preserve">ADVW.274.4</t>
  </si>
  <si>
    <t xml:space="preserve">N2702</t>
  </si>
  <si>
    <t xml:space="preserve">N2703</t>
  </si>
  <si>
    <t xml:space="preserve">VWAD.46.4</t>
  </si>
  <si>
    <t xml:space="preserve">N2705</t>
  </si>
  <si>
    <t xml:space="preserve">N2707</t>
  </si>
  <si>
    <t xml:space="preserve">ADVW.239.4</t>
  </si>
  <si>
    <t xml:space="preserve">N2714</t>
  </si>
  <si>
    <t xml:space="preserve">VWAD.125.4</t>
  </si>
  <si>
    <t xml:space="preserve">N2715</t>
  </si>
  <si>
    <t xml:space="preserve">ADVW.367.4</t>
  </si>
  <si>
    <t xml:space="preserve">N2716</t>
  </si>
  <si>
    <t xml:space="preserve">VWAD.191.4</t>
  </si>
  <si>
    <t xml:space="preserve">N2719</t>
  </si>
  <si>
    <t xml:space="preserve">VWAD.106.4</t>
  </si>
  <si>
    <t xml:space="preserve">N2801</t>
  </si>
  <si>
    <t xml:space="preserve">ADVW.339.4</t>
  </si>
  <si>
    <t xml:space="preserve">N2802</t>
  </si>
  <si>
    <t xml:space="preserve">VWAD.188.4</t>
  </si>
  <si>
    <t xml:space="preserve">N2805</t>
  </si>
  <si>
    <t xml:space="preserve">ADVW.319.4</t>
  </si>
  <si>
    <t xml:space="preserve">N2811</t>
  </si>
  <si>
    <t xml:space="preserve">N2813</t>
  </si>
  <si>
    <t xml:space="preserve">VWAD.79.4</t>
  </si>
  <si>
    <t xml:space="preserve">N2814</t>
  </si>
  <si>
    <t xml:space="preserve">N2817</t>
  </si>
  <si>
    <t xml:space="preserve">ADVW.342.4</t>
  </si>
  <si>
    <t xml:space="preserve">N2902</t>
  </si>
  <si>
    <t xml:space="preserve">VWAD.89.16</t>
  </si>
  <si>
    <t xml:space="preserve">N2905</t>
  </si>
  <si>
    <t xml:space="preserve">ADVW.307.4</t>
  </si>
  <si>
    <t xml:space="preserve">N2908</t>
  </si>
  <si>
    <t xml:space="preserve">VWAD.192.4</t>
  </si>
  <si>
    <t xml:space="preserve">N2919</t>
  </si>
  <si>
    <t xml:space="preserve">VWAD.153.8</t>
  </si>
  <si>
    <t xml:space="preserve">N3001</t>
  </si>
  <si>
    <t xml:space="preserve">ADVW.234.4</t>
  </si>
  <si>
    <t xml:space="preserve">N3009</t>
  </si>
  <si>
    <t xml:space="preserve">VWAD.114.16</t>
  </si>
  <si>
    <t xml:space="preserve">N3012</t>
  </si>
  <si>
    <t xml:space="preserve">VWAD.13.4</t>
  </si>
  <si>
    <t xml:space="preserve">N3018</t>
  </si>
  <si>
    <t xml:space="preserve">VWAD.184.4</t>
  </si>
  <si>
    <t xml:space="preserve">N3102</t>
  </si>
  <si>
    <t xml:space="preserve">ADVW.387.4</t>
  </si>
  <si>
    <t xml:space="preserve">N3104</t>
  </si>
  <si>
    <t xml:space="preserve">ADVW.390.4</t>
  </si>
  <si>
    <t xml:space="preserve">N3112</t>
  </si>
  <si>
    <t xml:space="preserve">VWAD.1.4</t>
  </si>
  <si>
    <t xml:space="preserve">N3113</t>
  </si>
  <si>
    <t xml:space="preserve">ADVW.225.4</t>
  </si>
  <si>
    <t xml:space="preserve">N3115</t>
  </si>
  <si>
    <t xml:space="preserve">ADVW.315.16</t>
  </si>
  <si>
    <t xml:space="preserve">N3118</t>
  </si>
  <si>
    <t xml:space="preserve">ADVW.365.4</t>
  </si>
  <si>
    <t xml:space="preserve">N3119</t>
  </si>
  <si>
    <t xml:space="preserve">VWAD.90.4</t>
  </si>
  <si>
    <t xml:space="preserve">N3201</t>
  </si>
  <si>
    <t xml:space="preserve">ADVW.233.4</t>
  </si>
  <si>
    <t xml:space="preserve">N3203</t>
  </si>
  <si>
    <t xml:space="preserve">ADVW.251.4</t>
  </si>
  <si>
    <t xml:space="preserve">N3204</t>
  </si>
  <si>
    <t xml:space="preserve">VWAD.137.4</t>
  </si>
  <si>
    <t xml:space="preserve">N3205</t>
  </si>
  <si>
    <t xml:space="preserve">ADVW.393.4</t>
  </si>
  <si>
    <t xml:space="preserve">N3206</t>
  </si>
  <si>
    <t xml:space="preserve">VWAD.135.4</t>
  </si>
  <si>
    <t xml:space="preserve">N3210</t>
  </si>
  <si>
    <t xml:space="preserve">ADVW.298.4</t>
  </si>
  <si>
    <t xml:space="preserve">N3211</t>
  </si>
  <si>
    <t xml:space="preserve">VWAD.75.4</t>
  </si>
  <si>
    <t xml:space="preserve">N3216</t>
  </si>
  <si>
    <t xml:space="preserve">VWAD.182.4</t>
  </si>
  <si>
    <t xml:space="preserve">N3217</t>
  </si>
  <si>
    <t xml:space="preserve">ADVW.299.4</t>
  </si>
  <si>
    <t xml:space="preserve">N3220</t>
  </si>
  <si>
    <t xml:space="preserve">ADVW.284.4</t>
  </si>
  <si>
    <t xml:space="preserve">N3303</t>
  </si>
  <si>
    <t xml:space="preserve">VWAD.68.4</t>
  </si>
  <si>
    <t xml:space="preserve">N3305</t>
  </si>
  <si>
    <t xml:space="preserve">ADVW.272.4</t>
  </si>
  <si>
    <t xml:space="preserve">N3306</t>
  </si>
  <si>
    <t xml:space="preserve">VWAD.130.4</t>
  </si>
  <si>
    <t xml:space="preserve">N3307</t>
  </si>
  <si>
    <t xml:space="preserve">ADVW.292.4</t>
  </si>
  <si>
    <t xml:space="preserve">N3310</t>
  </si>
  <si>
    <t xml:space="preserve">VWAD.167.4</t>
  </si>
  <si>
    <t xml:space="preserve">N3311</t>
  </si>
  <si>
    <t xml:space="preserve">ADVW.207.4</t>
  </si>
  <si>
    <t xml:space="preserve">N3316</t>
  </si>
  <si>
    <t xml:space="preserve">ADVW.350.4</t>
  </si>
  <si>
    <t xml:space="preserve">N3317</t>
  </si>
  <si>
    <t xml:space="preserve">VWAD.32.4</t>
  </si>
  <si>
    <t xml:space="preserve">N3318</t>
  </si>
  <si>
    <t xml:space="preserve">ADVW.267.4</t>
  </si>
  <si>
    <t xml:space="preserve">0&lt;.L.&lt;=0.2</t>
  </si>
  <si>
    <t xml:space="preserve">0.2&lt;.L.&lt;=0.4</t>
  </si>
  <si>
    <t xml:space="preserve">0.4&lt;.L.&lt;=0.6</t>
  </si>
  <si>
    <t xml:space="preserve">0.6&lt;.L.&lt;=0.8</t>
  </si>
  <si>
    <t xml:space="preserve">0.8&lt;.L.&lt;=1</t>
  </si>
  <si>
    <t xml:space="preserve">1&lt;.L.&lt;=1.5</t>
  </si>
  <si>
    <t xml:space="preserve">1.5&lt;.L.&lt;=2</t>
  </si>
  <si>
    <t xml:space="preserve">2&lt;.L.&lt;=2.5</t>
  </si>
  <si>
    <t xml:space="preserve">2.5&lt;.L.&lt;=3</t>
  </si>
  <si>
    <t xml:space="preserve">3&lt;.L.&lt;=3.5</t>
  </si>
  <si>
    <t xml:space="preserve">3.5&lt;.L.&lt;=4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</si>
</sst>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FFF00"/>
        <bgColor rgb="FF00FF0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FFF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Users/macbookpro/Desktop/MNHT19_RHIZOM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HIZOMES"/>
      <sheetName val="ROOT"/>
    </sheetNames>
    <sheetDataSet>
      <sheetData sheetId="0"/>
      <sheetData sheetId="1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P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37" activePane="bottomLeft" state="frozen"/>
      <selection pane="topLeft" activeCell="A1" activeCellId="0" sqref="A1"/>
      <selection pane="bottomLeft" activeCell="A165" activeCellId="0" sqref="A165"/>
    </sheetView>
  </sheetViews>
  <sheetFormatPr defaultRowHeight="15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6.71"/>
    <col collapsed="false" customWidth="true" hidden="false" outlineLevel="0" max="3" min="3" style="0" width="5.43"/>
    <col collapsed="false" customWidth="true" hidden="false" outlineLevel="0" max="4" min="4" style="0" width="15.15"/>
    <col collapsed="false" customWidth="true" hidden="false" outlineLevel="0" max="6" min="5" style="0" width="12.86"/>
    <col collapsed="false" customWidth="true" hidden="false" outlineLevel="0" max="7" min="7" style="0" width="10.99"/>
    <col collapsed="false" customWidth="true" hidden="false" outlineLevel="0" max="10" min="8" style="0" width="13.86"/>
    <col collapsed="false" customWidth="true" hidden="false" outlineLevel="0" max="11" min="11" style="0" width="15.71"/>
    <col collapsed="false" customWidth="true" hidden="false" outlineLevel="0" max="90" min="12" style="0" width="23.42"/>
    <col collapsed="false" customWidth="true" hidden="false" outlineLevel="0" max="91" min="91" style="0" width="12.42"/>
    <col collapsed="false" customWidth="true" hidden="false" outlineLevel="0" max="92" min="92" style="0" width="17.29"/>
    <col collapsed="false" customWidth="true" hidden="false" outlineLevel="0" max="171" min="93" style="0" width="25"/>
    <col collapsed="false" customWidth="true" hidden="false" outlineLevel="0" max="172" min="172" style="0" width="14.15"/>
    <col collapsed="false" customWidth="true" hidden="false" outlineLevel="0" max="1025" min="173" style="0" width="8.86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</row>
    <row r="2" customFormat="false" ht="13.8" hidden="false" customHeight="false" outlineLevel="0" collapsed="false">
      <c r="A2" s="2" t="s">
        <v>172</v>
      </c>
      <c r="B2" s="0" t="s">
        <v>173</v>
      </c>
      <c r="C2" s="0" t="n">
        <v>88</v>
      </c>
      <c r="D2" s="0" t="s">
        <v>174</v>
      </c>
      <c r="G2" s="0" t="n">
        <v>3797.3749</v>
      </c>
      <c r="H2" s="0" t="n">
        <v>231.6935</v>
      </c>
      <c r="I2" s="0" t="n">
        <v>727.8866</v>
      </c>
      <c r="J2" s="0" t="n">
        <v>0.6193875</v>
      </c>
      <c r="K2" s="0" t="n">
        <v>0</v>
      </c>
      <c r="L2" s="0" t="n">
        <v>9.1865</v>
      </c>
      <c r="M2" s="0" t="n">
        <v>28.206</v>
      </c>
      <c r="N2" s="0" t="n">
        <v>435.8132</v>
      </c>
      <c r="O2" s="0" t="n">
        <v>561.2879</v>
      </c>
      <c r="P2" s="0" t="n">
        <v>466.9262</v>
      </c>
      <c r="Q2" s="0" t="n">
        <v>632.9216</v>
      </c>
      <c r="R2" s="0" t="n">
        <v>282.6667</v>
      </c>
      <c r="S2" s="0" t="n">
        <v>181.5745</v>
      </c>
      <c r="T2" s="0" t="n">
        <v>134.2252</v>
      </c>
      <c r="U2" s="0" t="n">
        <v>160.9919</v>
      </c>
      <c r="V2" s="0" t="n">
        <v>61.5662</v>
      </c>
      <c r="W2" s="0" t="n">
        <v>88.9034</v>
      </c>
      <c r="X2" s="0" t="n">
        <v>51.0475</v>
      </c>
      <c r="Y2" s="0" t="n">
        <v>33.2879</v>
      </c>
      <c r="Z2" s="0" t="n">
        <v>40.4841</v>
      </c>
      <c r="AA2" s="0" t="n">
        <v>45.0474</v>
      </c>
      <c r="AB2" s="0" t="n">
        <v>37.8467</v>
      </c>
      <c r="AC2" s="0" t="n">
        <v>32.5079</v>
      </c>
      <c r="AD2" s="0" t="n">
        <v>36.5726</v>
      </c>
      <c r="AE2" s="0" t="n">
        <v>22.8441</v>
      </c>
      <c r="AF2" s="0" t="n">
        <v>32.6888</v>
      </c>
      <c r="AG2" s="0" t="n">
        <v>11.9547</v>
      </c>
      <c r="AH2" s="0" t="n">
        <v>29.1416</v>
      </c>
      <c r="AI2" s="0" t="n">
        <v>42.3222</v>
      </c>
      <c r="AJ2" s="0" t="n">
        <v>19.8208</v>
      </c>
      <c r="AK2" s="0" t="n">
        <v>35.5442</v>
      </c>
      <c r="AL2" s="0" t="n">
        <v>19.3675</v>
      </c>
      <c r="AM2" s="0" t="n">
        <v>29.2769</v>
      </c>
      <c r="AN2" s="0" t="n">
        <v>34.9475</v>
      </c>
      <c r="AO2" s="0" t="n">
        <v>29.669</v>
      </c>
      <c r="AP2" s="0" t="n">
        <v>26.6725</v>
      </c>
      <c r="AQ2" s="0" t="n">
        <v>28.3547</v>
      </c>
      <c r="AR2" s="0" t="n">
        <v>20.4432</v>
      </c>
      <c r="AS2" s="0" t="n">
        <v>14.7104</v>
      </c>
      <c r="AT2" s="0" t="n">
        <v>19.4369</v>
      </c>
      <c r="AU2" s="0" t="n">
        <v>12.8299</v>
      </c>
      <c r="AV2" s="0" t="n">
        <v>6.8734</v>
      </c>
      <c r="AW2" s="0" t="n">
        <v>7.0829</v>
      </c>
      <c r="AX2" s="0" t="n">
        <v>7.4851</v>
      </c>
      <c r="AY2" s="0" t="n">
        <v>5.2436</v>
      </c>
      <c r="AZ2" s="0" t="n">
        <v>3.9816</v>
      </c>
      <c r="BA2" s="0" t="n">
        <v>1.8746</v>
      </c>
      <c r="BB2" s="0" t="n">
        <v>3.0167</v>
      </c>
      <c r="BC2" s="0" t="n">
        <v>1.5371</v>
      </c>
      <c r="BD2" s="0" t="n">
        <v>0.9027</v>
      </c>
      <c r="BE2" s="0" t="n">
        <v>1.1257</v>
      </c>
      <c r="BF2" s="0" t="n">
        <v>0.2285</v>
      </c>
      <c r="BG2" s="0" t="n">
        <v>0.7897</v>
      </c>
      <c r="BH2" s="0" t="n">
        <v>0.4379</v>
      </c>
      <c r="BI2" s="0" t="n">
        <v>0.2337</v>
      </c>
      <c r="BJ2" s="0" t="n">
        <v>0.3444</v>
      </c>
      <c r="BK2" s="0" t="n">
        <v>0.3198</v>
      </c>
      <c r="BL2" s="0" t="n">
        <v>0.2178</v>
      </c>
      <c r="BM2" s="0" t="n">
        <v>0.4721</v>
      </c>
      <c r="BN2" s="0" t="n">
        <v>0.2911</v>
      </c>
      <c r="BO2" s="0" t="n">
        <v>0.8428</v>
      </c>
      <c r="BP2" s="0" t="n">
        <v>0.1961</v>
      </c>
      <c r="BQ2" s="0" t="n">
        <v>0.0354</v>
      </c>
      <c r="BR2" s="0" t="n">
        <v>0.1793</v>
      </c>
      <c r="BS2" s="0" t="n">
        <v>0.0269</v>
      </c>
      <c r="BT2" s="0" t="n">
        <v>0.0201</v>
      </c>
      <c r="BU2" s="0" t="n">
        <v>0.2788</v>
      </c>
      <c r="BV2" s="0" t="n">
        <v>0.6077</v>
      </c>
      <c r="BW2" s="0" t="n">
        <v>0.0285</v>
      </c>
      <c r="BX2" s="0" t="n">
        <v>0.0497</v>
      </c>
      <c r="BY2" s="0" t="n">
        <v>0.0639</v>
      </c>
      <c r="BZ2" s="0" t="n">
        <v>0.0396</v>
      </c>
      <c r="CA2" s="0" t="n">
        <v>0.0201</v>
      </c>
      <c r="CB2" s="0" t="n">
        <v>0.0555</v>
      </c>
      <c r="CC2" s="0" t="n">
        <v>0.0397</v>
      </c>
      <c r="CD2" s="0" t="n">
        <v>0.0576</v>
      </c>
      <c r="CE2" s="0" t="n">
        <v>0.046</v>
      </c>
      <c r="CF2" s="0" t="n">
        <v>0.1349</v>
      </c>
      <c r="CG2" s="0" t="n">
        <v>0.0798</v>
      </c>
      <c r="CH2" s="0" t="n">
        <v>0.0069</v>
      </c>
      <c r="CI2" s="0" t="n">
        <v>0.1808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0.252</v>
      </c>
      <c r="CP2" s="0" t="n">
        <v>1.1514</v>
      </c>
      <c r="CQ2" s="0" t="n">
        <v>24.9174</v>
      </c>
      <c r="CR2" s="0" t="n">
        <v>39.7354</v>
      </c>
      <c r="CS2" s="0" t="n">
        <v>39.144</v>
      </c>
      <c r="CT2" s="0" t="n">
        <v>63.5305</v>
      </c>
      <c r="CU2" s="0" t="n">
        <v>33.5744</v>
      </c>
      <c r="CV2" s="0" t="n">
        <v>24.1877</v>
      </c>
      <c r="CW2" s="0" t="n">
        <v>19.6927</v>
      </c>
      <c r="CX2" s="0" t="n">
        <v>26.7144</v>
      </c>
      <c r="CY2" s="0" t="n">
        <v>11.1725</v>
      </c>
      <c r="CZ2" s="0" t="n">
        <v>17.4078</v>
      </c>
      <c r="DA2" s="0" t="n">
        <v>11.0255</v>
      </c>
      <c r="DB2" s="0" t="n">
        <v>7.5625</v>
      </c>
      <c r="DC2" s="0" t="n">
        <v>9.7964</v>
      </c>
      <c r="DD2" s="0" t="n">
        <v>11.6282</v>
      </c>
      <c r="DE2" s="0" t="n">
        <v>10.4622</v>
      </c>
      <c r="DF2" s="0" t="n">
        <v>9.4415</v>
      </c>
      <c r="DG2" s="0" t="n">
        <v>11.2259</v>
      </c>
      <c r="DH2" s="0" t="n">
        <v>7.3261</v>
      </c>
      <c r="DI2" s="0" t="n">
        <v>11.0807</v>
      </c>
      <c r="DJ2" s="0" t="n">
        <v>4.2458</v>
      </c>
      <c r="DK2" s="0" t="n">
        <v>10.6972</v>
      </c>
      <c r="DL2" s="0" t="n">
        <v>16.3921</v>
      </c>
      <c r="DM2" s="0" t="n">
        <v>7.9314</v>
      </c>
      <c r="DN2" s="0" t="n">
        <v>14.8284</v>
      </c>
      <c r="DO2" s="0" t="n">
        <v>8.3846</v>
      </c>
      <c r="DP2" s="0" t="n">
        <v>13.0421</v>
      </c>
      <c r="DQ2" s="0" t="n">
        <v>16.2012</v>
      </c>
      <c r="DR2" s="0" t="n">
        <v>14.2895</v>
      </c>
      <c r="DS2" s="0" t="n">
        <v>13.1147</v>
      </c>
      <c r="DT2" s="0" t="n">
        <v>14.4447</v>
      </c>
      <c r="DU2" s="0" t="n">
        <v>10.7845</v>
      </c>
      <c r="DV2" s="0" t="n">
        <v>7.9602</v>
      </c>
      <c r="DW2" s="0" t="n">
        <v>10.7846</v>
      </c>
      <c r="DX2" s="0" t="n">
        <v>7.3653</v>
      </c>
      <c r="DY2" s="0" t="n">
        <v>4.0607</v>
      </c>
      <c r="DZ2" s="0" t="n">
        <v>4.2724</v>
      </c>
      <c r="EA2" s="0" t="n">
        <v>4.6494</v>
      </c>
      <c r="EB2" s="0" t="n">
        <v>3.3408</v>
      </c>
      <c r="EC2" s="0" t="n">
        <v>2.6091</v>
      </c>
      <c r="ED2" s="0" t="n">
        <v>1.2479</v>
      </c>
      <c r="EE2" s="0" t="n">
        <v>2.0582</v>
      </c>
      <c r="EF2" s="0" t="n">
        <v>1.0785</v>
      </c>
      <c r="EG2" s="0" t="n">
        <v>0.6467</v>
      </c>
      <c r="EH2" s="0" t="n">
        <v>0.8202</v>
      </c>
      <c r="EI2" s="0" t="n">
        <v>0.1703</v>
      </c>
      <c r="EJ2" s="0" t="n">
        <v>0.5989</v>
      </c>
      <c r="EK2" s="0" t="n">
        <v>0.3413</v>
      </c>
      <c r="EL2" s="0" t="n">
        <v>0.185</v>
      </c>
      <c r="EM2" s="0" t="n">
        <v>0.279</v>
      </c>
      <c r="EN2" s="0" t="n">
        <v>0.265</v>
      </c>
      <c r="EO2" s="0" t="n">
        <v>0.1819</v>
      </c>
      <c r="EP2" s="0" t="n">
        <v>0.4039</v>
      </c>
      <c r="EQ2" s="0" t="n">
        <v>0.2545</v>
      </c>
      <c r="ER2" s="0" t="n">
        <v>0.7503</v>
      </c>
      <c r="ES2" s="0" t="n">
        <v>0.1768</v>
      </c>
      <c r="ET2" s="0" t="n">
        <v>0.0326</v>
      </c>
      <c r="EU2" s="0" t="n">
        <v>0.1678</v>
      </c>
      <c r="EV2" s="0" t="n">
        <v>0.0257</v>
      </c>
      <c r="EW2" s="0" t="n">
        <v>0.0195</v>
      </c>
      <c r="EX2" s="0" t="n">
        <v>0.2745</v>
      </c>
      <c r="EY2" s="0" t="n">
        <v>0.6074</v>
      </c>
      <c r="EZ2" s="0" t="n">
        <v>0.0291</v>
      </c>
      <c r="FA2" s="0" t="n">
        <v>0.0509</v>
      </c>
      <c r="FB2" s="0" t="n">
        <v>0.0667</v>
      </c>
      <c r="FC2" s="0" t="n">
        <v>0.042</v>
      </c>
      <c r="FD2" s="0" t="n">
        <v>0.0216</v>
      </c>
      <c r="FE2" s="0" t="n">
        <v>0.0605</v>
      </c>
      <c r="FF2" s="0" t="n">
        <v>0.044</v>
      </c>
      <c r="FG2" s="0" t="n">
        <v>0.0648</v>
      </c>
      <c r="FH2" s="0" t="n">
        <v>0.0525</v>
      </c>
      <c r="FI2" s="0" t="n">
        <v>0.156</v>
      </c>
      <c r="FJ2" s="0" t="n">
        <v>0.0932</v>
      </c>
      <c r="FK2" s="0" t="n">
        <v>0.0081</v>
      </c>
      <c r="FL2" s="0" t="n">
        <v>0.2172</v>
      </c>
      <c r="FM2" s="0" t="n">
        <v>0</v>
      </c>
      <c r="FN2" s="0" t="n">
        <v>0</v>
      </c>
      <c r="FO2" s="0" t="n">
        <v>0</v>
      </c>
      <c r="FP2" s="0" t="n">
        <v>0</v>
      </c>
    </row>
    <row r="3" customFormat="false" ht="13.8" hidden="false" customHeight="false" outlineLevel="0" collapsed="false">
      <c r="A3" s="2" t="s">
        <v>175</v>
      </c>
      <c r="B3" s="0" t="s">
        <v>176</v>
      </c>
      <c r="C3" s="0" t="n">
        <v>209</v>
      </c>
      <c r="D3" s="0" t="s">
        <v>177</v>
      </c>
      <c r="E3" s="0" t="e">
        <f aca="false">VLOOKUP(A3,[1]RHIZOMES!$A$1:$B$1048576,2,0)</f>
        <v>#N/A</v>
      </c>
      <c r="F3" s="0" t="e">
        <f aca="false">VLOOKUP(A3,[1]ROOT!$A$1:$C$1048576,3,0)</f>
        <v>#N/A</v>
      </c>
      <c r="G3" s="0" t="n">
        <v>2145.3141</v>
      </c>
      <c r="H3" s="0" t="n">
        <v>127.7677</v>
      </c>
      <c r="I3" s="0" t="n">
        <v>401.3938</v>
      </c>
      <c r="J3" s="0" t="n">
        <v>0.589866666666667</v>
      </c>
      <c r="K3" s="0" t="n">
        <v>0</v>
      </c>
      <c r="L3" s="0" t="n">
        <v>317.1966</v>
      </c>
      <c r="M3" s="0" t="n">
        <v>338.9584</v>
      </c>
      <c r="N3" s="0" t="n">
        <v>238.8556</v>
      </c>
      <c r="O3" s="0" t="n">
        <v>0.8348</v>
      </c>
      <c r="P3" s="0" t="n">
        <v>219.9983</v>
      </c>
      <c r="Q3" s="0" t="n">
        <v>80.4491</v>
      </c>
      <c r="R3" s="0" t="n">
        <v>101.9883</v>
      </c>
      <c r="S3" s="0" t="n">
        <v>59.4102</v>
      </c>
      <c r="T3" s="0" t="n">
        <v>12.1238</v>
      </c>
      <c r="U3" s="0" t="n">
        <v>61.7452</v>
      </c>
      <c r="V3" s="0" t="n">
        <v>46.8246</v>
      </c>
      <c r="W3" s="0" t="n">
        <v>24.8101</v>
      </c>
      <c r="X3" s="0" t="n">
        <v>41.016</v>
      </c>
      <c r="Y3" s="0" t="n">
        <v>34.8328</v>
      </c>
      <c r="Z3" s="0" t="n">
        <v>30.7549</v>
      </c>
      <c r="AA3" s="0" t="n">
        <v>18.8355</v>
      </c>
      <c r="AB3" s="0" t="n">
        <v>33.3544</v>
      </c>
      <c r="AC3" s="0" t="n">
        <v>15.352</v>
      </c>
      <c r="AD3" s="0" t="n">
        <v>46.1108</v>
      </c>
      <c r="AE3" s="0" t="n">
        <v>31.0168</v>
      </c>
      <c r="AF3" s="0" t="n">
        <v>45.2447</v>
      </c>
      <c r="AG3" s="0" t="n">
        <v>15.2614</v>
      </c>
      <c r="AH3" s="0" t="n">
        <v>26.519</v>
      </c>
      <c r="AI3" s="0" t="n">
        <v>32.2374</v>
      </c>
      <c r="AJ3" s="0" t="n">
        <v>8.8333</v>
      </c>
      <c r="AK3" s="0" t="n">
        <v>34.2585</v>
      </c>
      <c r="AL3" s="0" t="n">
        <v>29.2679</v>
      </c>
      <c r="AM3" s="0" t="n">
        <v>14.415</v>
      </c>
      <c r="AN3" s="0" t="n">
        <v>11.3145</v>
      </c>
      <c r="AO3" s="0" t="n">
        <v>27.9056</v>
      </c>
      <c r="AP3" s="0" t="n">
        <v>13.6716</v>
      </c>
      <c r="AQ3" s="0" t="n">
        <v>18.669</v>
      </c>
      <c r="AR3" s="0" t="n">
        <v>9.168</v>
      </c>
      <c r="AS3" s="0" t="n">
        <v>6.763</v>
      </c>
      <c r="AT3" s="0" t="n">
        <v>11.9093</v>
      </c>
      <c r="AU3" s="0" t="n">
        <v>8.5352</v>
      </c>
      <c r="AV3" s="0" t="n">
        <v>1.2639</v>
      </c>
      <c r="AW3" s="0" t="n">
        <v>5.142</v>
      </c>
      <c r="AX3" s="0" t="n">
        <v>6.9555</v>
      </c>
      <c r="AY3" s="0" t="n">
        <v>5.3142</v>
      </c>
      <c r="AZ3" s="0" t="n">
        <v>3.8416</v>
      </c>
      <c r="BA3" s="0" t="n">
        <v>6.447</v>
      </c>
      <c r="BB3" s="0" t="n">
        <v>8.0391</v>
      </c>
      <c r="BC3" s="0" t="n">
        <v>4.4617</v>
      </c>
      <c r="BD3" s="0" t="n">
        <v>2.083</v>
      </c>
      <c r="BE3" s="0" t="n">
        <v>5.1152</v>
      </c>
      <c r="BF3" s="0" t="n">
        <v>1.9961</v>
      </c>
      <c r="BG3" s="0" t="n">
        <v>3.3669</v>
      </c>
      <c r="BH3" s="0" t="n">
        <v>2.3822</v>
      </c>
      <c r="BI3" s="0" t="n">
        <v>1.3093</v>
      </c>
      <c r="BJ3" s="0" t="n">
        <v>1.5271</v>
      </c>
      <c r="BK3" s="0" t="n">
        <v>2.4028</v>
      </c>
      <c r="BL3" s="0" t="n">
        <v>0.8819</v>
      </c>
      <c r="BM3" s="0" t="n">
        <v>0.817</v>
      </c>
      <c r="BN3" s="0" t="n">
        <v>2.3543</v>
      </c>
      <c r="BO3" s="0" t="n">
        <v>0.6188</v>
      </c>
      <c r="BP3" s="0" t="n">
        <v>1.5329</v>
      </c>
      <c r="BQ3" s="0" t="n">
        <v>0.1887</v>
      </c>
      <c r="BR3" s="0" t="n">
        <v>0.4694</v>
      </c>
      <c r="BS3" s="0" t="n">
        <v>1.1959</v>
      </c>
      <c r="BT3" s="0" t="n">
        <v>1.1283</v>
      </c>
      <c r="BU3" s="0" t="n">
        <v>1.1069</v>
      </c>
      <c r="BV3" s="0" t="n">
        <v>0.2347</v>
      </c>
      <c r="BW3" s="0" t="n">
        <v>0.9256</v>
      </c>
      <c r="BX3" s="0" t="n">
        <v>0.4943</v>
      </c>
      <c r="BY3" s="0" t="n">
        <v>0.3586</v>
      </c>
      <c r="BZ3" s="0" t="n">
        <v>0.1196</v>
      </c>
      <c r="CA3" s="0" t="n">
        <v>0.6525</v>
      </c>
      <c r="CB3" s="0" t="n">
        <v>0</v>
      </c>
      <c r="CC3" s="0" t="n">
        <v>0.0988</v>
      </c>
      <c r="CD3" s="0" t="n">
        <v>0.657</v>
      </c>
      <c r="CE3" s="0" t="n">
        <v>0</v>
      </c>
      <c r="CF3" s="0" t="n">
        <v>0.1886</v>
      </c>
      <c r="CG3" s="0" t="n">
        <v>0.0656</v>
      </c>
      <c r="CH3" s="0" t="n">
        <v>0</v>
      </c>
      <c r="CI3" s="0" t="n">
        <v>0.2036</v>
      </c>
      <c r="CJ3" s="0" t="n">
        <v>0</v>
      </c>
      <c r="CK3" s="0" t="n">
        <v>0</v>
      </c>
      <c r="CL3" s="0" t="n">
        <v>0</v>
      </c>
      <c r="CM3" s="0" t="n">
        <v>0.2279</v>
      </c>
      <c r="CN3" s="0" t="n">
        <v>0</v>
      </c>
      <c r="CO3" s="0" t="n">
        <v>6.7796</v>
      </c>
      <c r="CP3" s="0" t="n">
        <v>14.3992</v>
      </c>
      <c r="CQ3" s="0" t="n">
        <v>14.5946</v>
      </c>
      <c r="CR3" s="0" t="n">
        <v>0.0576</v>
      </c>
      <c r="CS3" s="0" t="n">
        <v>18.2783</v>
      </c>
      <c r="CT3" s="0" t="n">
        <v>8.1662</v>
      </c>
      <c r="CU3" s="0" t="n">
        <v>11.9255</v>
      </c>
      <c r="CV3" s="0" t="n">
        <v>8.2382</v>
      </c>
      <c r="CW3" s="0" t="n">
        <v>1.7529</v>
      </c>
      <c r="CX3" s="0" t="n">
        <v>10.0249</v>
      </c>
      <c r="CY3" s="0" t="n">
        <v>8.5806</v>
      </c>
      <c r="CZ3" s="0" t="n">
        <v>4.9244</v>
      </c>
      <c r="DA3" s="0" t="n">
        <v>8.6116</v>
      </c>
      <c r="DB3" s="0" t="n">
        <v>7.9231</v>
      </c>
      <c r="DC3" s="0" t="n">
        <v>7.5671</v>
      </c>
      <c r="DD3" s="0" t="n">
        <v>4.8168</v>
      </c>
      <c r="DE3" s="0" t="n">
        <v>9.1291</v>
      </c>
      <c r="DF3" s="0" t="n">
        <v>4.4393</v>
      </c>
      <c r="DG3" s="0" t="n">
        <v>14.0274</v>
      </c>
      <c r="DH3" s="0" t="n">
        <v>9.9716</v>
      </c>
      <c r="DI3" s="0" t="n">
        <v>15.3621</v>
      </c>
      <c r="DJ3" s="0" t="n">
        <v>5.415</v>
      </c>
      <c r="DK3" s="0" t="n">
        <v>9.7913</v>
      </c>
      <c r="DL3" s="0" t="n">
        <v>12.5576</v>
      </c>
      <c r="DM3" s="0" t="n">
        <v>3.517</v>
      </c>
      <c r="DN3" s="0" t="n">
        <v>14.2434</v>
      </c>
      <c r="DO3" s="0" t="n">
        <v>12.7627</v>
      </c>
      <c r="DP3" s="0" t="n">
        <v>6.5448</v>
      </c>
      <c r="DQ3" s="0" t="n">
        <v>5.2042</v>
      </c>
      <c r="DR3" s="0" t="n">
        <v>13.3388</v>
      </c>
      <c r="DS3" s="0" t="n">
        <v>6.788</v>
      </c>
      <c r="DT3" s="0" t="n">
        <v>9.5377</v>
      </c>
      <c r="DU3" s="0" t="n">
        <v>4.8314</v>
      </c>
      <c r="DV3" s="0" t="n">
        <v>3.6329</v>
      </c>
      <c r="DW3" s="0" t="n">
        <v>6.6143</v>
      </c>
      <c r="DX3" s="0" t="n">
        <v>4.9265</v>
      </c>
      <c r="DY3" s="0" t="n">
        <v>0.7489</v>
      </c>
      <c r="DZ3" s="0" t="n">
        <v>3.0796</v>
      </c>
      <c r="EA3" s="0" t="n">
        <v>4.3093</v>
      </c>
      <c r="EB3" s="0" t="n">
        <v>3.3983</v>
      </c>
      <c r="EC3" s="0" t="n">
        <v>2.5027</v>
      </c>
      <c r="ED3" s="0" t="n">
        <v>4.2948</v>
      </c>
      <c r="EE3" s="0" t="n">
        <v>5.4997</v>
      </c>
      <c r="EF3" s="0" t="n">
        <v>3.1263</v>
      </c>
      <c r="EG3" s="0" t="n">
        <v>1.4909</v>
      </c>
      <c r="EH3" s="0" t="n">
        <v>3.7466</v>
      </c>
      <c r="EI3" s="0" t="n">
        <v>1.4843</v>
      </c>
      <c r="EJ3" s="0" t="n">
        <v>2.562</v>
      </c>
      <c r="EK3" s="0" t="n">
        <v>1.8651</v>
      </c>
      <c r="EL3" s="0" t="n">
        <v>1.0414</v>
      </c>
      <c r="EM3" s="0" t="n">
        <v>1.2308</v>
      </c>
      <c r="EN3" s="0" t="n">
        <v>1.9816</v>
      </c>
      <c r="EO3" s="0" t="n">
        <v>0.7466</v>
      </c>
      <c r="EP3" s="0" t="n">
        <v>0.6968</v>
      </c>
      <c r="EQ3" s="0" t="n">
        <v>2.0512</v>
      </c>
      <c r="ER3" s="0" t="n">
        <v>0.5496</v>
      </c>
      <c r="ES3" s="0" t="n">
        <v>1.3803</v>
      </c>
      <c r="ET3" s="0" t="n">
        <v>0.1739</v>
      </c>
      <c r="EU3" s="0" t="n">
        <v>0.437</v>
      </c>
      <c r="EV3" s="0" t="n">
        <v>1.1353</v>
      </c>
      <c r="EW3" s="0" t="n">
        <v>1.0917</v>
      </c>
      <c r="EX3" s="0" t="n">
        <v>1.0923</v>
      </c>
      <c r="EY3" s="0" t="n">
        <v>0.2326</v>
      </c>
      <c r="EZ3" s="0" t="n">
        <v>0.938</v>
      </c>
      <c r="FA3" s="0" t="n">
        <v>0.5114</v>
      </c>
      <c r="FB3" s="0" t="n">
        <v>0.3721</v>
      </c>
      <c r="FC3" s="0" t="n">
        <v>0.1261</v>
      </c>
      <c r="FD3" s="0" t="n">
        <v>0.7051</v>
      </c>
      <c r="FE3" s="0" t="n">
        <v>0</v>
      </c>
      <c r="FF3" s="0" t="n">
        <v>0.1092</v>
      </c>
      <c r="FG3" s="0" t="n">
        <v>0.7416</v>
      </c>
      <c r="FH3" s="0" t="n">
        <v>0</v>
      </c>
      <c r="FI3" s="0" t="n">
        <v>0.2182</v>
      </c>
      <c r="FJ3" s="0" t="n">
        <v>0.0772</v>
      </c>
      <c r="FK3" s="0" t="n">
        <v>0</v>
      </c>
      <c r="FL3" s="0" t="n">
        <v>0.2439</v>
      </c>
      <c r="FM3" s="0" t="n">
        <v>0</v>
      </c>
      <c r="FN3" s="0" t="n">
        <v>0</v>
      </c>
      <c r="FO3" s="0" t="n">
        <v>0</v>
      </c>
      <c r="FP3" s="0" t="n">
        <v>0.2888</v>
      </c>
    </row>
    <row r="4" customFormat="false" ht="13.8" hidden="false" customHeight="false" outlineLevel="0" collapsed="false">
      <c r="A4" s="3" t="s">
        <v>178</v>
      </c>
      <c r="B4" s="0" t="s">
        <v>173</v>
      </c>
      <c r="C4" s="0" t="n">
        <v>110</v>
      </c>
      <c r="D4" s="0" t="s">
        <v>179</v>
      </c>
      <c r="G4" s="0" t="n">
        <v>3070.1213</v>
      </c>
      <c r="H4" s="0" t="n">
        <v>123.4252</v>
      </c>
      <c r="I4" s="0" t="n">
        <v>387.7514</v>
      </c>
      <c r="J4" s="0" t="n">
        <v>0.405325</v>
      </c>
      <c r="K4" s="0" t="n">
        <v>0.0055</v>
      </c>
      <c r="L4" s="0" t="n">
        <v>293.7648</v>
      </c>
      <c r="M4" s="0" t="n">
        <v>373.894</v>
      </c>
      <c r="N4" s="0" t="n">
        <v>635.3421</v>
      </c>
      <c r="O4" s="0" t="n">
        <v>440.3823</v>
      </c>
      <c r="P4" s="0" t="n">
        <v>289.9481</v>
      </c>
      <c r="Q4" s="0" t="n">
        <v>168.8169</v>
      </c>
      <c r="R4" s="0" t="n">
        <v>142.6821</v>
      </c>
      <c r="S4" s="0" t="n">
        <v>91.3621</v>
      </c>
      <c r="T4" s="0" t="n">
        <v>76.9893</v>
      </c>
      <c r="U4" s="0" t="n">
        <v>70.9454</v>
      </c>
      <c r="V4" s="0" t="n">
        <v>45.5949</v>
      </c>
      <c r="W4" s="0" t="n">
        <v>34.9054</v>
      </c>
      <c r="X4" s="0" t="n">
        <v>39.3115</v>
      </c>
      <c r="Y4" s="0" t="n">
        <v>36.0698</v>
      </c>
      <c r="Z4" s="0" t="n">
        <v>24.8657</v>
      </c>
      <c r="AA4" s="0" t="n">
        <v>17.6746</v>
      </c>
      <c r="AB4" s="0" t="n">
        <v>12.2921</v>
      </c>
      <c r="AC4" s="0" t="n">
        <v>9.8238</v>
      </c>
      <c r="AD4" s="0" t="n">
        <v>10.6354</v>
      </c>
      <c r="AE4" s="0" t="n">
        <v>7.4147</v>
      </c>
      <c r="AF4" s="0" t="n">
        <v>8.2239</v>
      </c>
      <c r="AG4" s="0" t="n">
        <v>7.1291</v>
      </c>
      <c r="AH4" s="0" t="n">
        <v>6.0742</v>
      </c>
      <c r="AI4" s="0" t="n">
        <v>9.5785</v>
      </c>
      <c r="AJ4" s="0" t="n">
        <v>12.357</v>
      </c>
      <c r="AK4" s="0" t="n">
        <v>11.5328</v>
      </c>
      <c r="AL4" s="0" t="n">
        <v>15.3064</v>
      </c>
      <c r="AM4" s="0" t="n">
        <v>12.0024</v>
      </c>
      <c r="AN4" s="0" t="n">
        <v>11.2057</v>
      </c>
      <c r="AO4" s="0" t="n">
        <v>10.2581</v>
      </c>
      <c r="AP4" s="0" t="n">
        <v>10.4352</v>
      </c>
      <c r="AQ4" s="0" t="n">
        <v>9.8037</v>
      </c>
      <c r="AR4" s="0" t="n">
        <v>10.4083</v>
      </c>
      <c r="AS4" s="0" t="n">
        <v>9.7103</v>
      </c>
      <c r="AT4" s="0" t="n">
        <v>10.9538</v>
      </c>
      <c r="AU4" s="0" t="n">
        <v>9.5229</v>
      </c>
      <c r="AV4" s="0" t="n">
        <v>11.6918</v>
      </c>
      <c r="AW4" s="0" t="n">
        <v>12.5518</v>
      </c>
      <c r="AX4" s="0" t="n">
        <v>10.9817</v>
      </c>
      <c r="AY4" s="0" t="n">
        <v>10.6236</v>
      </c>
      <c r="AZ4" s="0" t="n">
        <v>8.0632</v>
      </c>
      <c r="BA4" s="0" t="n">
        <v>5.9771</v>
      </c>
      <c r="BB4" s="0" t="n">
        <v>3.9851</v>
      </c>
      <c r="BC4" s="0" t="n">
        <v>3.0291</v>
      </c>
      <c r="BD4" s="0" t="n">
        <v>2.6899</v>
      </c>
      <c r="BE4" s="0" t="n">
        <v>1.7162</v>
      </c>
      <c r="BF4" s="0" t="n">
        <v>1.6919</v>
      </c>
      <c r="BG4" s="0" t="n">
        <v>1.0733</v>
      </c>
      <c r="BH4" s="0" t="n">
        <v>0.4331</v>
      </c>
      <c r="BI4" s="0" t="n">
        <v>0.5003</v>
      </c>
      <c r="BJ4" s="0" t="n">
        <v>0.6651</v>
      </c>
      <c r="BK4" s="0" t="n">
        <v>1.1019</v>
      </c>
      <c r="BL4" s="0" t="n">
        <v>0.2908</v>
      </c>
      <c r="BM4" s="0" t="n">
        <v>0.5247</v>
      </c>
      <c r="BN4" s="0" t="n">
        <v>0.5928</v>
      </c>
      <c r="BO4" s="0" t="n">
        <v>0.4136</v>
      </c>
      <c r="BP4" s="0" t="n">
        <v>0.6167</v>
      </c>
      <c r="BQ4" s="0" t="n">
        <v>0.2391</v>
      </c>
      <c r="BR4" s="0" t="n">
        <v>0.4701</v>
      </c>
      <c r="BS4" s="0" t="n">
        <v>0.2844</v>
      </c>
      <c r="BT4" s="0" t="n">
        <v>0.7505</v>
      </c>
      <c r="BU4" s="0" t="n">
        <v>0.1481</v>
      </c>
      <c r="BV4" s="0" t="n">
        <v>0.0598</v>
      </c>
      <c r="BW4" s="0" t="n">
        <v>0.0931</v>
      </c>
      <c r="BX4" s="0" t="n">
        <v>0.0904</v>
      </c>
      <c r="BY4" s="0" t="n">
        <v>0.073</v>
      </c>
      <c r="BZ4" s="0" t="n">
        <v>0.0915</v>
      </c>
      <c r="CA4" s="0" t="n">
        <v>0.0381</v>
      </c>
      <c r="CB4" s="0" t="n">
        <v>0.3484</v>
      </c>
      <c r="CC4" s="0" t="n">
        <v>0.0264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0.0001</v>
      </c>
      <c r="CO4" s="0" t="n">
        <v>7.7697</v>
      </c>
      <c r="CP4" s="0" t="n">
        <v>14.8396</v>
      </c>
      <c r="CQ4" s="0" t="n">
        <v>34.9558</v>
      </c>
      <c r="CR4" s="0" t="n">
        <v>30.6502</v>
      </c>
      <c r="CS4" s="0" t="n">
        <v>24.7802</v>
      </c>
      <c r="CT4" s="0" t="n">
        <v>17.1385</v>
      </c>
      <c r="CU4" s="0" t="n">
        <v>16.7611</v>
      </c>
      <c r="CV4" s="0" t="n">
        <v>12.2108</v>
      </c>
      <c r="CW4" s="0" t="n">
        <v>11.4655</v>
      </c>
      <c r="CX4" s="0" t="n">
        <v>11.6641</v>
      </c>
      <c r="CY4" s="0" t="n">
        <v>8.2182</v>
      </c>
      <c r="CZ4" s="0" t="n">
        <v>6.8505</v>
      </c>
      <c r="DA4" s="0" t="n">
        <v>8.3344</v>
      </c>
      <c r="DB4" s="0" t="n">
        <v>8.2055</v>
      </c>
      <c r="DC4" s="0" t="n">
        <v>6.045</v>
      </c>
      <c r="DD4" s="0" t="n">
        <v>4.5667</v>
      </c>
      <c r="DE4" s="0" t="n">
        <v>3.3624</v>
      </c>
      <c r="DF4" s="0" t="n">
        <v>2.8538</v>
      </c>
      <c r="DG4" s="0" t="n">
        <v>3.2538</v>
      </c>
      <c r="DH4" s="0" t="n">
        <v>2.3894</v>
      </c>
      <c r="DI4" s="0" t="n">
        <v>2.7881</v>
      </c>
      <c r="DJ4" s="0" t="n">
        <v>2.5192</v>
      </c>
      <c r="DK4" s="0" t="n">
        <v>2.2445</v>
      </c>
      <c r="DL4" s="0" t="n">
        <v>3.6857</v>
      </c>
      <c r="DM4" s="0" t="n">
        <v>4.9441</v>
      </c>
      <c r="DN4" s="0" t="n">
        <v>4.808</v>
      </c>
      <c r="DO4" s="0" t="n">
        <v>6.6224</v>
      </c>
      <c r="DP4" s="0" t="n">
        <v>5.3541</v>
      </c>
      <c r="DQ4" s="0" t="n">
        <v>5.1874</v>
      </c>
      <c r="DR4" s="0" t="n">
        <v>4.9058</v>
      </c>
      <c r="DS4" s="0" t="n">
        <v>5.1727</v>
      </c>
      <c r="DT4" s="0" t="n">
        <v>4.9984</v>
      </c>
      <c r="DU4" s="0" t="n">
        <v>5.4759</v>
      </c>
      <c r="DV4" s="0" t="n">
        <v>5.251</v>
      </c>
      <c r="DW4" s="0" t="n">
        <v>6.1073</v>
      </c>
      <c r="DX4" s="0" t="n">
        <v>5.4594</v>
      </c>
      <c r="DY4" s="0" t="n">
        <v>6.8913</v>
      </c>
      <c r="DZ4" s="0" t="n">
        <v>7.5766</v>
      </c>
      <c r="EA4" s="0" t="n">
        <v>6.813</v>
      </c>
      <c r="EB4" s="0" t="n">
        <v>6.7701</v>
      </c>
      <c r="EC4" s="0" t="n">
        <v>5.2476</v>
      </c>
      <c r="ED4" s="0" t="n">
        <v>3.9953</v>
      </c>
      <c r="EE4" s="0" t="n">
        <v>2.7194</v>
      </c>
      <c r="EF4" s="0" t="n">
        <v>2.1187</v>
      </c>
      <c r="EG4" s="0" t="n">
        <v>1.9268</v>
      </c>
      <c r="EH4" s="0" t="n">
        <v>1.252</v>
      </c>
      <c r="EI4" s="0" t="n">
        <v>1.2607</v>
      </c>
      <c r="EJ4" s="0" t="n">
        <v>0.8171</v>
      </c>
      <c r="EK4" s="0" t="n">
        <v>0.3369</v>
      </c>
      <c r="EL4" s="0" t="n">
        <v>0.396</v>
      </c>
      <c r="EM4" s="0" t="n">
        <v>0.5402</v>
      </c>
      <c r="EN4" s="0" t="n">
        <v>0.9098</v>
      </c>
      <c r="EO4" s="0" t="n">
        <v>0.2436</v>
      </c>
      <c r="EP4" s="0" t="n">
        <v>0.45</v>
      </c>
      <c r="EQ4" s="0" t="n">
        <v>0.5166</v>
      </c>
      <c r="ER4" s="0" t="n">
        <v>0.3681</v>
      </c>
      <c r="ES4" s="0" t="n">
        <v>0.5573</v>
      </c>
      <c r="ET4" s="0" t="n">
        <v>0.219</v>
      </c>
      <c r="EU4" s="0" t="n">
        <v>0.4366</v>
      </c>
      <c r="EV4" s="0" t="n">
        <v>0.2705</v>
      </c>
      <c r="EW4" s="0" t="n">
        <v>0.7227</v>
      </c>
      <c r="EX4" s="0" t="n">
        <v>0.1456</v>
      </c>
      <c r="EY4" s="0" t="n">
        <v>0.0596</v>
      </c>
      <c r="EZ4" s="0" t="n">
        <v>0.0944</v>
      </c>
      <c r="FA4" s="0" t="n">
        <v>0.0931</v>
      </c>
      <c r="FB4" s="0" t="n">
        <v>0.0761</v>
      </c>
      <c r="FC4" s="0" t="n">
        <v>0.0968</v>
      </c>
      <c r="FD4" s="0" t="n">
        <v>0.041</v>
      </c>
      <c r="FE4" s="0" t="n">
        <v>0.3823</v>
      </c>
      <c r="FF4" s="0" t="n">
        <v>0.0293</v>
      </c>
      <c r="FG4" s="0" t="n">
        <v>0</v>
      </c>
      <c r="FH4" s="0" t="n">
        <v>0</v>
      </c>
      <c r="FI4" s="0" t="n">
        <v>0</v>
      </c>
      <c r="FJ4" s="0" t="n">
        <v>0</v>
      </c>
      <c r="FK4" s="0" t="n">
        <v>0</v>
      </c>
      <c r="FL4" s="0" t="n">
        <v>0</v>
      </c>
      <c r="FM4" s="0" t="n">
        <v>0</v>
      </c>
      <c r="FN4" s="0" t="n">
        <v>0</v>
      </c>
      <c r="FO4" s="0" t="n">
        <v>0</v>
      </c>
      <c r="FP4" s="0" t="n">
        <v>0</v>
      </c>
    </row>
    <row r="5" customFormat="false" ht="13.8" hidden="false" customHeight="false" outlineLevel="0" collapsed="false">
      <c r="A5" s="2" t="s">
        <v>180</v>
      </c>
      <c r="B5" s="0" t="s">
        <v>173</v>
      </c>
      <c r="C5" s="0" t="n">
        <v>113</v>
      </c>
      <c r="D5" s="0" t="s">
        <v>181</v>
      </c>
      <c r="G5" s="0" t="n">
        <v>2593.1142</v>
      </c>
      <c r="H5" s="0" t="n">
        <v>164.7268</v>
      </c>
      <c r="I5" s="0" t="n">
        <v>517.5046</v>
      </c>
      <c r="J5" s="0" t="n">
        <v>0.602133333333333</v>
      </c>
      <c r="K5" s="0" t="n">
        <v>0.0345</v>
      </c>
      <c r="L5" s="0" t="n">
        <v>216.8309</v>
      </c>
      <c r="M5" s="0" t="n">
        <v>207.5319</v>
      </c>
      <c r="N5" s="0" t="n">
        <v>318.3106</v>
      </c>
      <c r="O5" s="0" t="n">
        <v>273.7926</v>
      </c>
      <c r="P5" s="0" t="n">
        <v>202.695</v>
      </c>
      <c r="Q5" s="0" t="n">
        <v>128.4362</v>
      </c>
      <c r="R5" s="0" t="n">
        <v>139.8679</v>
      </c>
      <c r="S5" s="0" t="n">
        <v>87.1783</v>
      </c>
      <c r="T5" s="0" t="n">
        <v>77.5847</v>
      </c>
      <c r="U5" s="0" t="n">
        <v>68.7557</v>
      </c>
      <c r="V5" s="0" t="n">
        <v>66.808</v>
      </c>
      <c r="W5" s="0" t="n">
        <v>52.027</v>
      </c>
      <c r="X5" s="0" t="n">
        <v>45.5244</v>
      </c>
      <c r="Y5" s="0" t="n">
        <v>34.0102</v>
      </c>
      <c r="Z5" s="0" t="n">
        <v>30.1178</v>
      </c>
      <c r="AA5" s="0" t="n">
        <v>24.3256</v>
      </c>
      <c r="AB5" s="0" t="n">
        <v>18.9431</v>
      </c>
      <c r="AC5" s="0" t="n">
        <v>17.1142</v>
      </c>
      <c r="AD5" s="0" t="n">
        <v>19.3599</v>
      </c>
      <c r="AE5" s="0" t="n">
        <v>26.1097</v>
      </c>
      <c r="AF5" s="0" t="n">
        <v>19.9086</v>
      </c>
      <c r="AG5" s="0" t="n">
        <v>14.5709</v>
      </c>
      <c r="AH5" s="0" t="n">
        <v>19.084</v>
      </c>
      <c r="AI5" s="0" t="n">
        <v>22.0472</v>
      </c>
      <c r="AJ5" s="0" t="n">
        <v>21.9878</v>
      </c>
      <c r="AK5" s="0" t="n">
        <v>25.4418</v>
      </c>
      <c r="AL5" s="0" t="n">
        <v>20.8825</v>
      </c>
      <c r="AM5" s="0" t="n">
        <v>27.061</v>
      </c>
      <c r="AN5" s="0" t="n">
        <v>22.8123</v>
      </c>
      <c r="AO5" s="0" t="n">
        <v>27.2765</v>
      </c>
      <c r="AP5" s="0" t="n">
        <v>25.2054</v>
      </c>
      <c r="AQ5" s="0" t="n">
        <v>34.1246</v>
      </c>
      <c r="AR5" s="0" t="n">
        <v>35.1132</v>
      </c>
      <c r="AS5" s="0" t="n">
        <v>24.6097</v>
      </c>
      <c r="AT5" s="0" t="n">
        <v>26.8333</v>
      </c>
      <c r="AU5" s="0" t="n">
        <v>18.693</v>
      </c>
      <c r="AV5" s="0" t="n">
        <v>15.9567</v>
      </c>
      <c r="AW5" s="0" t="n">
        <v>15.771</v>
      </c>
      <c r="AX5" s="0" t="n">
        <v>15.3261</v>
      </c>
      <c r="AY5" s="0" t="n">
        <v>16.7394</v>
      </c>
      <c r="AZ5" s="0" t="n">
        <v>11.7887</v>
      </c>
      <c r="BA5" s="0" t="n">
        <v>15.3766</v>
      </c>
      <c r="BB5" s="0" t="n">
        <v>11.5041</v>
      </c>
      <c r="BC5" s="0" t="n">
        <v>10.2398</v>
      </c>
      <c r="BD5" s="0" t="n">
        <v>7.8196</v>
      </c>
      <c r="BE5" s="0" t="n">
        <v>6.3674</v>
      </c>
      <c r="BF5" s="0" t="n">
        <v>4.8122</v>
      </c>
      <c r="BG5" s="0" t="n">
        <v>5.6023</v>
      </c>
      <c r="BH5" s="0" t="n">
        <v>3.7287</v>
      </c>
      <c r="BI5" s="0" t="n">
        <v>2.1805</v>
      </c>
      <c r="BJ5" s="0" t="n">
        <v>1.7388</v>
      </c>
      <c r="BK5" s="0" t="n">
        <v>1.6509</v>
      </c>
      <c r="BL5" s="0" t="n">
        <v>0.503</v>
      </c>
      <c r="BM5" s="0" t="n">
        <v>0.7784</v>
      </c>
      <c r="BN5" s="0" t="n">
        <v>1.0639</v>
      </c>
      <c r="BO5" s="0" t="n">
        <v>0.2528</v>
      </c>
      <c r="BP5" s="0" t="n">
        <v>0.4569</v>
      </c>
      <c r="BQ5" s="0" t="n">
        <v>0.3967</v>
      </c>
      <c r="BR5" s="0" t="n">
        <v>0.477</v>
      </c>
      <c r="BS5" s="0" t="n">
        <v>0.1658</v>
      </c>
      <c r="BT5" s="0" t="n">
        <v>0.0063</v>
      </c>
      <c r="BU5" s="0" t="n">
        <v>0.3346</v>
      </c>
      <c r="BV5" s="0" t="n">
        <v>0.0137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0.0628</v>
      </c>
      <c r="CB5" s="0" t="n">
        <v>0.0206</v>
      </c>
      <c r="CC5" s="0" t="n">
        <v>0</v>
      </c>
      <c r="CD5" s="0" t="n">
        <v>0</v>
      </c>
      <c r="CE5" s="0" t="n">
        <v>0.0343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0.0004</v>
      </c>
      <c r="CO5" s="0" t="n">
        <v>5.705</v>
      </c>
      <c r="CP5" s="0" t="n">
        <v>8.0317</v>
      </c>
      <c r="CQ5" s="0" t="n">
        <v>17.5746</v>
      </c>
      <c r="CR5" s="0" t="n">
        <v>19.0117</v>
      </c>
      <c r="CS5" s="0" t="n">
        <v>17.4011</v>
      </c>
      <c r="CT5" s="0" t="n">
        <v>13.0602</v>
      </c>
      <c r="CU5" s="0" t="n">
        <v>16.4911</v>
      </c>
      <c r="CV5" s="0" t="n">
        <v>11.6523</v>
      </c>
      <c r="CW5" s="0" t="n">
        <v>11.5317</v>
      </c>
      <c r="CX5" s="0" t="n">
        <v>11.3207</v>
      </c>
      <c r="CY5" s="0" t="n">
        <v>12.1129</v>
      </c>
      <c r="CZ5" s="0" t="n">
        <v>10.193</v>
      </c>
      <c r="DA5" s="0" t="n">
        <v>9.6348</v>
      </c>
      <c r="DB5" s="0" t="n">
        <v>7.7369</v>
      </c>
      <c r="DC5" s="0" t="n">
        <v>7.3381</v>
      </c>
      <c r="DD5" s="0" t="n">
        <v>6.2859</v>
      </c>
      <c r="DE5" s="0" t="n">
        <v>5.1979</v>
      </c>
      <c r="DF5" s="0" t="n">
        <v>4.975</v>
      </c>
      <c r="DG5" s="0" t="n">
        <v>5.9338</v>
      </c>
      <c r="DH5" s="0" t="n">
        <v>8.4154</v>
      </c>
      <c r="DI5" s="0" t="n">
        <v>6.726</v>
      </c>
      <c r="DJ5" s="0" t="n">
        <v>5.1477</v>
      </c>
      <c r="DK5" s="0" t="n">
        <v>7.0365</v>
      </c>
      <c r="DL5" s="0" t="n">
        <v>8.5078</v>
      </c>
      <c r="DM5" s="0" t="n">
        <v>8.7996</v>
      </c>
      <c r="DN5" s="0" t="n">
        <v>10.5884</v>
      </c>
      <c r="DO5" s="0" t="n">
        <v>9.0451</v>
      </c>
      <c r="DP5" s="0" t="n">
        <v>12.1051</v>
      </c>
      <c r="DQ5" s="0" t="n">
        <v>10.5602</v>
      </c>
      <c r="DR5" s="0" t="n">
        <v>13.0771</v>
      </c>
      <c r="DS5" s="0" t="n">
        <v>12.4881</v>
      </c>
      <c r="DT5" s="0" t="n">
        <v>17.4155</v>
      </c>
      <c r="DU5" s="0" t="n">
        <v>18.4716</v>
      </c>
      <c r="DV5" s="0" t="n">
        <v>13.3383</v>
      </c>
      <c r="DW5" s="0" t="n">
        <v>14.9381</v>
      </c>
      <c r="DX5" s="0" t="n">
        <v>10.7275</v>
      </c>
      <c r="DY5" s="0" t="n">
        <v>9.396</v>
      </c>
      <c r="DZ5" s="0" t="n">
        <v>9.5324</v>
      </c>
      <c r="EA5" s="0" t="n">
        <v>9.5138</v>
      </c>
      <c r="EB5" s="0" t="n">
        <v>10.6505</v>
      </c>
      <c r="EC5" s="0" t="n">
        <v>7.6829</v>
      </c>
      <c r="ED5" s="0" t="n">
        <v>10.2712</v>
      </c>
      <c r="EE5" s="0" t="n">
        <v>7.8581</v>
      </c>
      <c r="EF5" s="0" t="n">
        <v>7.1563</v>
      </c>
      <c r="EG5" s="0" t="n">
        <v>5.5843</v>
      </c>
      <c r="EH5" s="0" t="n">
        <v>4.6551</v>
      </c>
      <c r="EI5" s="0" t="n">
        <v>3.594</v>
      </c>
      <c r="EJ5" s="0" t="n">
        <v>4.2646</v>
      </c>
      <c r="EK5" s="0" t="n">
        <v>2.8985</v>
      </c>
      <c r="EL5" s="0" t="n">
        <v>1.7289</v>
      </c>
      <c r="EM5" s="0" t="n">
        <v>1.409</v>
      </c>
      <c r="EN5" s="0" t="n">
        <v>1.361</v>
      </c>
      <c r="EO5" s="0" t="n">
        <v>0.4217</v>
      </c>
      <c r="EP5" s="0" t="n">
        <v>0.6663</v>
      </c>
      <c r="EQ5" s="0" t="n">
        <v>0.927</v>
      </c>
      <c r="ER5" s="0" t="n">
        <v>0.2256</v>
      </c>
      <c r="ES5" s="0" t="n">
        <v>0.4141</v>
      </c>
      <c r="ET5" s="0" t="n">
        <v>0.3642</v>
      </c>
      <c r="EU5" s="0" t="n">
        <v>0.4456</v>
      </c>
      <c r="EV5" s="0" t="n">
        <v>0.1585</v>
      </c>
      <c r="EW5" s="0" t="n">
        <v>0.0061</v>
      </c>
      <c r="EX5" s="0" t="n">
        <v>0.3262</v>
      </c>
      <c r="EY5" s="0" t="n">
        <v>0.0137</v>
      </c>
      <c r="EZ5" s="0" t="n">
        <v>0</v>
      </c>
      <c r="FA5" s="0" t="n">
        <v>0</v>
      </c>
      <c r="FB5" s="0" t="n">
        <v>0</v>
      </c>
      <c r="FC5" s="0" t="n">
        <v>0</v>
      </c>
      <c r="FD5" s="0" t="n">
        <v>0.0675</v>
      </c>
      <c r="FE5" s="0" t="n">
        <v>0.0225</v>
      </c>
      <c r="FF5" s="0" t="n">
        <v>0</v>
      </c>
      <c r="FG5" s="0" t="n">
        <v>0</v>
      </c>
      <c r="FH5" s="0" t="n">
        <v>0.0391</v>
      </c>
      <c r="FI5" s="0" t="n">
        <v>0</v>
      </c>
      <c r="FJ5" s="0" t="n">
        <v>0</v>
      </c>
      <c r="FK5" s="0" t="n">
        <v>0</v>
      </c>
      <c r="FL5" s="0" t="n">
        <v>0</v>
      </c>
      <c r="FM5" s="0" t="n">
        <v>0</v>
      </c>
      <c r="FN5" s="0" t="n">
        <v>0</v>
      </c>
      <c r="FO5" s="0" t="n">
        <v>0</v>
      </c>
      <c r="FP5" s="0" t="n">
        <v>0</v>
      </c>
    </row>
    <row r="6" customFormat="false" ht="13.8" hidden="false" customHeight="false" outlineLevel="0" collapsed="false">
      <c r="A6" s="4" t="s">
        <v>182</v>
      </c>
      <c r="B6" s="0" t="e">
        <f aca="false">#N/A</f>
        <v>#N/A</v>
      </c>
      <c r="C6" s="0" t="e">
        <f aca="false">#N/A</f>
        <v>#N/A</v>
      </c>
      <c r="D6" s="0" t="e">
        <f aca="false">#N/A</f>
        <v>#N/A</v>
      </c>
      <c r="G6" s="0" t="n">
        <v>3805.0056</v>
      </c>
      <c r="H6" s="0" t="n">
        <v>300.6121</v>
      </c>
      <c r="I6" s="0" t="n">
        <v>944.4006</v>
      </c>
      <c r="J6" s="0" t="n">
        <v>0.797675</v>
      </c>
      <c r="K6" s="0" t="n">
        <v>0</v>
      </c>
      <c r="L6" s="0" t="n">
        <v>318.7504</v>
      </c>
      <c r="M6" s="0" t="n">
        <v>291.6321</v>
      </c>
      <c r="N6" s="0" t="n">
        <v>398.4549</v>
      </c>
      <c r="O6" s="0" t="n">
        <v>283.4076</v>
      </c>
      <c r="P6" s="0" t="n">
        <v>187.5639</v>
      </c>
      <c r="Q6" s="0" t="n">
        <v>117.2967</v>
      </c>
      <c r="R6" s="0" t="n">
        <v>122.957</v>
      </c>
      <c r="S6" s="0" t="n">
        <v>82.3927</v>
      </c>
      <c r="T6" s="0" t="n">
        <v>67.5163</v>
      </c>
      <c r="U6" s="0" t="n">
        <v>72.5652</v>
      </c>
      <c r="V6" s="0" t="n">
        <v>69.1319</v>
      </c>
      <c r="W6" s="0" t="n">
        <v>58.9985</v>
      </c>
      <c r="X6" s="0" t="n">
        <v>58.7689</v>
      </c>
      <c r="Y6" s="0" t="n">
        <v>52.6793</v>
      </c>
      <c r="Z6" s="0" t="n">
        <v>50.8233</v>
      </c>
      <c r="AA6" s="0" t="n">
        <v>56.9947</v>
      </c>
      <c r="AB6" s="0" t="n">
        <v>57.1931</v>
      </c>
      <c r="AC6" s="0" t="n">
        <v>51.5096</v>
      </c>
      <c r="AD6" s="0" t="n">
        <v>56.0431</v>
      </c>
      <c r="AE6" s="0" t="n">
        <v>63.6671</v>
      </c>
      <c r="AF6" s="0" t="n">
        <v>64.0947</v>
      </c>
      <c r="AG6" s="0" t="n">
        <v>62.2617</v>
      </c>
      <c r="AH6" s="0" t="n">
        <v>62.5784</v>
      </c>
      <c r="AI6" s="0" t="n">
        <v>63.8472</v>
      </c>
      <c r="AJ6" s="0" t="n">
        <v>68.507</v>
      </c>
      <c r="AK6" s="0" t="n">
        <v>72.9236</v>
      </c>
      <c r="AL6" s="0" t="n">
        <v>70.7699</v>
      </c>
      <c r="AM6" s="0" t="n">
        <v>73.2751</v>
      </c>
      <c r="AN6" s="0" t="n">
        <v>67.5943</v>
      </c>
      <c r="AO6" s="0" t="n">
        <v>80.1769</v>
      </c>
      <c r="AP6" s="0" t="n">
        <v>71.3798</v>
      </c>
      <c r="AQ6" s="0" t="n">
        <v>70.2537</v>
      </c>
      <c r="AR6" s="0" t="n">
        <v>68.175</v>
      </c>
      <c r="AS6" s="0" t="n">
        <v>61.8112</v>
      </c>
      <c r="AT6" s="0" t="n">
        <v>73.6779</v>
      </c>
      <c r="AU6" s="0" t="n">
        <v>56.8702</v>
      </c>
      <c r="AV6" s="0" t="n">
        <v>37.6256</v>
      </c>
      <c r="AW6" s="0" t="n">
        <v>29.0175</v>
      </c>
      <c r="AX6" s="0" t="n">
        <v>28.4819</v>
      </c>
      <c r="AY6" s="0" t="n">
        <v>21.9609</v>
      </c>
      <c r="AZ6" s="0" t="n">
        <v>16.871</v>
      </c>
      <c r="BA6" s="0" t="n">
        <v>15.843</v>
      </c>
      <c r="BB6" s="0" t="n">
        <v>7.312</v>
      </c>
      <c r="BC6" s="0" t="n">
        <v>7.6784</v>
      </c>
      <c r="BD6" s="0" t="n">
        <v>7.7277</v>
      </c>
      <c r="BE6" s="0" t="n">
        <v>4.1542</v>
      </c>
      <c r="BF6" s="0" t="n">
        <v>3.6676</v>
      </c>
      <c r="BG6" s="0" t="n">
        <v>3.3459</v>
      </c>
      <c r="BH6" s="0" t="n">
        <v>2.2197</v>
      </c>
      <c r="BI6" s="0" t="n">
        <v>1.6033</v>
      </c>
      <c r="BJ6" s="0" t="n">
        <v>1.367</v>
      </c>
      <c r="BK6" s="0" t="n">
        <v>0.7211</v>
      </c>
      <c r="BL6" s="0" t="n">
        <v>0.6198</v>
      </c>
      <c r="BM6" s="0" t="n">
        <v>1.0961</v>
      </c>
      <c r="BN6" s="0" t="n">
        <v>1.4596</v>
      </c>
      <c r="BO6" s="0" t="n">
        <v>0.5068</v>
      </c>
      <c r="BP6" s="0" t="n">
        <v>0.5403</v>
      </c>
      <c r="BQ6" s="0" t="n">
        <v>0.4704</v>
      </c>
      <c r="BR6" s="0" t="n">
        <v>0.424</v>
      </c>
      <c r="BS6" s="0" t="n">
        <v>0.1957</v>
      </c>
      <c r="BT6" s="0" t="n">
        <v>0.0926</v>
      </c>
      <c r="BU6" s="0" t="n">
        <v>0.4856</v>
      </c>
      <c r="BV6" s="0" t="n">
        <v>0.0449</v>
      </c>
      <c r="BW6" s="0" t="n">
        <v>0.0544</v>
      </c>
      <c r="BX6" s="0" t="n">
        <v>0.0296</v>
      </c>
      <c r="BY6" s="0" t="n">
        <v>0.104</v>
      </c>
      <c r="BZ6" s="0" t="n">
        <v>0.0545</v>
      </c>
      <c r="CA6" s="0" t="n">
        <v>0.0386</v>
      </c>
      <c r="CB6" s="0" t="n">
        <v>0.1222</v>
      </c>
      <c r="CC6" s="0" t="n">
        <v>0.2864</v>
      </c>
      <c r="CD6" s="0" t="n">
        <v>0.0676</v>
      </c>
      <c r="CE6" s="0" t="n">
        <v>0.111</v>
      </c>
      <c r="CF6" s="0" t="n">
        <v>0.093</v>
      </c>
      <c r="CG6" s="0" t="n">
        <v>0.0159</v>
      </c>
      <c r="CH6" s="0" t="n">
        <v>0.2548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8.3806</v>
      </c>
      <c r="CP6" s="0" t="n">
        <v>11.1687</v>
      </c>
      <c r="CQ6" s="0" t="n">
        <v>21.862</v>
      </c>
      <c r="CR6" s="0" t="n">
        <v>19.6583</v>
      </c>
      <c r="CS6" s="0" t="n">
        <v>16.121</v>
      </c>
      <c r="CT6" s="0" t="n">
        <v>11.9659</v>
      </c>
      <c r="CU6" s="0" t="n">
        <v>14.5473</v>
      </c>
      <c r="CV6" s="0" t="n">
        <v>10.9718</v>
      </c>
      <c r="CW6" s="0" t="n">
        <v>10.0443</v>
      </c>
      <c r="CX6" s="0" t="n">
        <v>11.9555</v>
      </c>
      <c r="CY6" s="0" t="n">
        <v>12.5209</v>
      </c>
      <c r="CZ6" s="0" t="n">
        <v>11.5622</v>
      </c>
      <c r="DA6" s="0" t="n">
        <v>12.4401</v>
      </c>
      <c r="DB6" s="0" t="n">
        <v>11.9997</v>
      </c>
      <c r="DC6" s="0" t="n">
        <v>12.3974</v>
      </c>
      <c r="DD6" s="0" t="n">
        <v>14.7661</v>
      </c>
      <c r="DE6" s="0" t="n">
        <v>15.7052</v>
      </c>
      <c r="DF6" s="0" t="n">
        <v>14.982</v>
      </c>
      <c r="DG6" s="0" t="n">
        <v>17.1581</v>
      </c>
      <c r="DH6" s="0" t="n">
        <v>20.5061</v>
      </c>
      <c r="DI6" s="0" t="n">
        <v>21.6716</v>
      </c>
      <c r="DJ6" s="0" t="n">
        <v>21.9669</v>
      </c>
      <c r="DK6" s="0" t="n">
        <v>23.1256</v>
      </c>
      <c r="DL6" s="0" t="n">
        <v>24.5982</v>
      </c>
      <c r="DM6" s="0" t="n">
        <v>27.4032</v>
      </c>
      <c r="DN6" s="0" t="n">
        <v>30.3485</v>
      </c>
      <c r="DO6" s="0" t="n">
        <v>30.6167</v>
      </c>
      <c r="DP6" s="0" t="n">
        <v>32.7727</v>
      </c>
      <c r="DQ6" s="0" t="n">
        <v>31.3263</v>
      </c>
      <c r="DR6" s="0" t="n">
        <v>38.4254</v>
      </c>
      <c r="DS6" s="0" t="n">
        <v>35.3514</v>
      </c>
      <c r="DT6" s="0" t="n">
        <v>35.8341</v>
      </c>
      <c r="DU6" s="0" t="n">
        <v>35.8746</v>
      </c>
      <c r="DV6" s="0" t="n">
        <v>33.4779</v>
      </c>
      <c r="DW6" s="0" t="n">
        <v>41.0665</v>
      </c>
      <c r="DX6" s="0" t="n">
        <v>32.614</v>
      </c>
      <c r="DY6" s="0" t="n">
        <v>22.1449</v>
      </c>
      <c r="DZ6" s="0" t="n">
        <v>17.5351</v>
      </c>
      <c r="EA6" s="0" t="n">
        <v>17.67</v>
      </c>
      <c r="EB6" s="0" t="n">
        <v>13.9856</v>
      </c>
      <c r="EC6" s="0" t="n">
        <v>10.9849</v>
      </c>
      <c r="ED6" s="0" t="n">
        <v>10.574</v>
      </c>
      <c r="EE6" s="0" t="n">
        <v>4.996</v>
      </c>
      <c r="EF6" s="0" t="n">
        <v>5.3686</v>
      </c>
      <c r="EG6" s="0" t="n">
        <v>5.5259</v>
      </c>
      <c r="EH6" s="0" t="n">
        <v>3.0327</v>
      </c>
      <c r="EI6" s="0" t="n">
        <v>2.7395</v>
      </c>
      <c r="EJ6" s="0" t="n">
        <v>2.5436</v>
      </c>
      <c r="EK6" s="0" t="n">
        <v>1.7287</v>
      </c>
      <c r="EL6" s="0" t="n">
        <v>1.2711</v>
      </c>
      <c r="EM6" s="0" t="n">
        <v>1.1053</v>
      </c>
      <c r="EN6" s="0" t="n">
        <v>0.5939</v>
      </c>
      <c r="EO6" s="0" t="n">
        <v>0.5212</v>
      </c>
      <c r="EP6" s="0" t="n">
        <v>0.9388</v>
      </c>
      <c r="EQ6" s="0" t="n">
        <v>1.2705</v>
      </c>
      <c r="ER6" s="0" t="n">
        <v>0.4478</v>
      </c>
      <c r="ES6" s="0" t="n">
        <v>0.4876</v>
      </c>
      <c r="ET6" s="0" t="n">
        <v>0.4916</v>
      </c>
      <c r="EU6" s="0" t="n">
        <v>0.396</v>
      </c>
      <c r="EV6" s="0" t="n">
        <v>0.186</v>
      </c>
      <c r="EW6" s="0" t="n">
        <v>0.0896</v>
      </c>
      <c r="EX6" s="0" t="n">
        <v>0.4761</v>
      </c>
      <c r="EY6" s="0" t="n">
        <v>0.0447</v>
      </c>
      <c r="EZ6" s="0" t="n">
        <v>0.0551</v>
      </c>
      <c r="FA6" s="0" t="n">
        <v>0.0306</v>
      </c>
      <c r="FB6" s="0" t="n">
        <v>0.1091</v>
      </c>
      <c r="FC6" s="0" t="n">
        <v>0.0577</v>
      </c>
      <c r="FD6" s="0" t="n">
        <v>0.0417</v>
      </c>
      <c r="FE6" s="0" t="n">
        <v>0.1334</v>
      </c>
      <c r="FF6" s="0" t="n">
        <v>0.3173</v>
      </c>
      <c r="FG6" s="0" t="n">
        <v>0.0761</v>
      </c>
      <c r="FH6" s="0" t="n">
        <v>0.126</v>
      </c>
      <c r="FI6" s="0" t="n">
        <v>0.1074</v>
      </c>
      <c r="FJ6" s="0" t="n">
        <v>0.0185</v>
      </c>
      <c r="FK6" s="0" t="n">
        <v>0.3019</v>
      </c>
      <c r="FL6" s="0" t="n">
        <v>0</v>
      </c>
      <c r="FM6" s="0" t="n">
        <v>0</v>
      </c>
      <c r="FN6" s="0" t="n">
        <v>0</v>
      </c>
      <c r="FO6" s="0" t="n">
        <v>0</v>
      </c>
      <c r="FP6" s="0" t="n">
        <v>0</v>
      </c>
    </row>
    <row r="7" customFormat="false" ht="13.8" hidden="false" customHeight="false" outlineLevel="0" collapsed="false">
      <c r="A7" s="2" t="s">
        <v>183</v>
      </c>
      <c r="B7" s="0" t="s">
        <v>176</v>
      </c>
      <c r="C7" s="0" t="n">
        <v>229</v>
      </c>
      <c r="D7" s="0" t="s">
        <v>184</v>
      </c>
      <c r="G7" s="0" t="n">
        <v>4860.4815</v>
      </c>
      <c r="H7" s="0" t="n">
        <v>296.3589</v>
      </c>
      <c r="I7" s="0" t="n">
        <v>931.0394</v>
      </c>
      <c r="J7" s="0" t="n">
        <v>0.532275</v>
      </c>
      <c r="K7" s="0" t="n">
        <v>0</v>
      </c>
      <c r="L7" s="0" t="n">
        <v>290.1695</v>
      </c>
      <c r="M7" s="0" t="n">
        <v>272.2632</v>
      </c>
      <c r="N7" s="0" t="n">
        <v>489.3699</v>
      </c>
      <c r="O7" s="0" t="n">
        <v>575.4285</v>
      </c>
      <c r="P7" s="0" t="n">
        <v>478.9836</v>
      </c>
      <c r="Q7" s="0" t="n">
        <v>332.2738</v>
      </c>
      <c r="R7" s="0" t="n">
        <v>333.5504</v>
      </c>
      <c r="S7" s="0" t="n">
        <v>200.7279</v>
      </c>
      <c r="T7" s="0" t="n">
        <v>169.9577</v>
      </c>
      <c r="U7" s="0" t="n">
        <v>165.8835</v>
      </c>
      <c r="V7" s="0" t="n">
        <v>140.6839</v>
      </c>
      <c r="W7" s="0" t="n">
        <v>109.1165</v>
      </c>
      <c r="X7" s="0" t="n">
        <v>89.2331</v>
      </c>
      <c r="Y7" s="0" t="n">
        <v>72.5795</v>
      </c>
      <c r="Z7" s="0" t="n">
        <v>60.5953</v>
      </c>
      <c r="AA7" s="0" t="n">
        <v>52.1791</v>
      </c>
      <c r="AB7" s="0" t="n">
        <v>50.4253</v>
      </c>
      <c r="AC7" s="0" t="n">
        <v>40.0549</v>
      </c>
      <c r="AD7" s="0" t="n">
        <v>46.4844</v>
      </c>
      <c r="AE7" s="0" t="n">
        <v>52.6074</v>
      </c>
      <c r="AF7" s="0" t="n">
        <v>53.8481</v>
      </c>
      <c r="AG7" s="0" t="n">
        <v>36.2528</v>
      </c>
      <c r="AH7" s="0" t="n">
        <v>28.7576</v>
      </c>
      <c r="AI7" s="0" t="n">
        <v>26.947</v>
      </c>
      <c r="AJ7" s="0" t="n">
        <v>28.6309</v>
      </c>
      <c r="AK7" s="0" t="n">
        <v>36.0824</v>
      </c>
      <c r="AL7" s="0" t="n">
        <v>34.2312</v>
      </c>
      <c r="AM7" s="0" t="n">
        <v>30.4752</v>
      </c>
      <c r="AN7" s="0" t="n">
        <v>27.6682</v>
      </c>
      <c r="AO7" s="0" t="n">
        <v>34.0269</v>
      </c>
      <c r="AP7" s="0" t="n">
        <v>37.428</v>
      </c>
      <c r="AQ7" s="0" t="n">
        <v>32.566</v>
      </c>
      <c r="AR7" s="0" t="n">
        <v>36.2084</v>
      </c>
      <c r="AS7" s="0" t="n">
        <v>44.2947</v>
      </c>
      <c r="AT7" s="0" t="n">
        <v>49.8577</v>
      </c>
      <c r="AU7" s="0" t="n">
        <v>45.9957</v>
      </c>
      <c r="AV7" s="0" t="n">
        <v>33.223</v>
      </c>
      <c r="AW7" s="0" t="n">
        <v>28.7827</v>
      </c>
      <c r="AX7" s="0" t="n">
        <v>29.7466</v>
      </c>
      <c r="AY7" s="0" t="n">
        <v>21.6057</v>
      </c>
      <c r="AZ7" s="0" t="n">
        <v>17.153</v>
      </c>
      <c r="BA7" s="0" t="n">
        <v>18.1024</v>
      </c>
      <c r="BB7" s="0" t="n">
        <v>14.3446</v>
      </c>
      <c r="BC7" s="0" t="n">
        <v>14.3446</v>
      </c>
      <c r="BD7" s="0" t="n">
        <v>9.6193</v>
      </c>
      <c r="BE7" s="0" t="n">
        <v>9.5072</v>
      </c>
      <c r="BF7" s="0" t="n">
        <v>11.9466</v>
      </c>
      <c r="BG7" s="0" t="n">
        <v>10.7907</v>
      </c>
      <c r="BH7" s="0" t="n">
        <v>7.1082</v>
      </c>
      <c r="BI7" s="0" t="n">
        <v>5.7818</v>
      </c>
      <c r="BJ7" s="0" t="n">
        <v>4.4681</v>
      </c>
      <c r="BK7" s="0" t="n">
        <v>3.6023</v>
      </c>
      <c r="BL7" s="0" t="n">
        <v>1.9388</v>
      </c>
      <c r="BM7" s="0" t="n">
        <v>2.4167</v>
      </c>
      <c r="BN7" s="0" t="n">
        <v>2.5187</v>
      </c>
      <c r="BO7" s="0" t="n">
        <v>1.6959</v>
      </c>
      <c r="BP7" s="0" t="n">
        <v>0.9824</v>
      </c>
      <c r="BQ7" s="0" t="n">
        <v>0.4887</v>
      </c>
      <c r="BR7" s="0" t="n">
        <v>0.9402</v>
      </c>
      <c r="BS7" s="0" t="n">
        <v>0.1151</v>
      </c>
      <c r="BT7" s="0" t="n">
        <v>0.0069</v>
      </c>
      <c r="BU7" s="0" t="n">
        <v>0.4287</v>
      </c>
      <c r="BV7" s="0" t="n">
        <v>0.0797</v>
      </c>
      <c r="BW7" s="0" t="n">
        <v>0.0476</v>
      </c>
      <c r="BX7" s="0" t="n">
        <v>0.2226</v>
      </c>
      <c r="BY7" s="0" t="n">
        <v>0.0275</v>
      </c>
      <c r="BZ7" s="0" t="n">
        <v>0.2372</v>
      </c>
      <c r="CA7" s="0" t="n">
        <v>0</v>
      </c>
      <c r="CB7" s="0" t="n">
        <v>0.1574</v>
      </c>
      <c r="CC7" s="0" t="n">
        <v>0.3728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0.1474</v>
      </c>
      <c r="CN7" s="0" t="n">
        <v>0</v>
      </c>
      <c r="CO7" s="0" t="n">
        <v>7.5824</v>
      </c>
      <c r="CP7" s="0" t="n">
        <v>10.557</v>
      </c>
      <c r="CQ7" s="0" t="n">
        <v>27.2336</v>
      </c>
      <c r="CR7" s="0" t="n">
        <v>40.266</v>
      </c>
      <c r="CS7" s="0" t="n">
        <v>41.1489</v>
      </c>
      <c r="CT7" s="0" t="n">
        <v>33.8289</v>
      </c>
      <c r="CU7" s="0" t="n">
        <v>39.2821</v>
      </c>
      <c r="CV7" s="0" t="n">
        <v>26.7823</v>
      </c>
      <c r="CW7" s="0" t="n">
        <v>25.306</v>
      </c>
      <c r="CX7" s="0" t="n">
        <v>27.3063</v>
      </c>
      <c r="CY7" s="0" t="n">
        <v>25.4497</v>
      </c>
      <c r="CZ7" s="0" t="n">
        <v>21.3578</v>
      </c>
      <c r="DA7" s="0" t="n">
        <v>18.8911</v>
      </c>
      <c r="DB7" s="0" t="n">
        <v>16.5105</v>
      </c>
      <c r="DC7" s="0" t="n">
        <v>14.7689</v>
      </c>
      <c r="DD7" s="0" t="n">
        <v>13.4964</v>
      </c>
      <c r="DE7" s="0" t="n">
        <v>13.8436</v>
      </c>
      <c r="DF7" s="0" t="n">
        <v>11.6368</v>
      </c>
      <c r="DG7" s="0" t="n">
        <v>14.2337</v>
      </c>
      <c r="DH7" s="0" t="n">
        <v>16.9639</v>
      </c>
      <c r="DI7" s="0" t="n">
        <v>18.1827</v>
      </c>
      <c r="DJ7" s="0" t="n">
        <v>12.8019</v>
      </c>
      <c r="DK7" s="0" t="n">
        <v>10.6206</v>
      </c>
      <c r="DL7" s="0" t="n">
        <v>10.3772</v>
      </c>
      <c r="DM7" s="0" t="n">
        <v>11.4552</v>
      </c>
      <c r="DN7" s="0" t="n">
        <v>15.0056</v>
      </c>
      <c r="DO7" s="0" t="n">
        <v>14.8221</v>
      </c>
      <c r="DP7" s="0" t="n">
        <v>13.6317</v>
      </c>
      <c r="DQ7" s="0" t="n">
        <v>12.8137</v>
      </c>
      <c r="DR7" s="0" t="n">
        <v>16.3104</v>
      </c>
      <c r="DS7" s="0" t="n">
        <v>18.5308</v>
      </c>
      <c r="DT7" s="0" t="n">
        <v>16.6284</v>
      </c>
      <c r="DU7" s="0" t="n">
        <v>19.0495</v>
      </c>
      <c r="DV7" s="0" t="n">
        <v>23.976</v>
      </c>
      <c r="DW7" s="0" t="n">
        <v>27.7984</v>
      </c>
      <c r="DX7" s="0" t="n">
        <v>26.4086</v>
      </c>
      <c r="DY7" s="0" t="n">
        <v>19.5659</v>
      </c>
      <c r="DZ7" s="0" t="n">
        <v>17.3948</v>
      </c>
      <c r="EA7" s="0" t="n">
        <v>18.4513</v>
      </c>
      <c r="EB7" s="0" t="n">
        <v>13.7521</v>
      </c>
      <c r="EC7" s="0" t="n">
        <v>11.1762</v>
      </c>
      <c r="ED7" s="0" t="n">
        <v>12.0839</v>
      </c>
      <c r="EE7" s="0" t="n">
        <v>9.7956</v>
      </c>
      <c r="EF7" s="0" t="n">
        <v>10.0316</v>
      </c>
      <c r="EG7" s="0" t="n">
        <v>6.878</v>
      </c>
      <c r="EH7" s="0" t="n">
        <v>6.9511</v>
      </c>
      <c r="EI7" s="0" t="n">
        <v>8.9141</v>
      </c>
      <c r="EJ7" s="0" t="n">
        <v>8.2132</v>
      </c>
      <c r="EK7" s="0" t="n">
        <v>5.5323</v>
      </c>
      <c r="EL7" s="0" t="n">
        <v>4.5788</v>
      </c>
      <c r="EM7" s="0" t="n">
        <v>3.6137</v>
      </c>
      <c r="EN7" s="0" t="n">
        <v>2.9654</v>
      </c>
      <c r="EO7" s="0" t="n">
        <v>1.6332</v>
      </c>
      <c r="EP7" s="0" t="n">
        <v>2.0694</v>
      </c>
      <c r="EQ7" s="0" t="n">
        <v>2.1908</v>
      </c>
      <c r="ER7" s="0" t="n">
        <v>1.5053</v>
      </c>
      <c r="ES7" s="0" t="n">
        <v>0.8882</v>
      </c>
      <c r="ET7" s="0" t="n">
        <v>0.448</v>
      </c>
      <c r="EU7" s="0" t="n">
        <v>0.8766</v>
      </c>
      <c r="EV7" s="0" t="n">
        <v>0.1097</v>
      </c>
      <c r="EW7" s="0" t="n">
        <v>0.0066</v>
      </c>
      <c r="EX7" s="0" t="n">
        <v>0.4204</v>
      </c>
      <c r="EY7" s="0" t="n">
        <v>0.0798</v>
      </c>
      <c r="EZ7" s="0" t="n">
        <v>0.0481</v>
      </c>
      <c r="FA7" s="0" t="n">
        <v>0.2301</v>
      </c>
      <c r="FB7" s="0" t="n">
        <v>0.0287</v>
      </c>
      <c r="FC7" s="0" t="n">
        <v>0.2511</v>
      </c>
      <c r="FD7" s="0" t="n">
        <v>0</v>
      </c>
      <c r="FE7" s="0" t="n">
        <v>0.1718</v>
      </c>
      <c r="FF7" s="0" t="n">
        <v>0.4107</v>
      </c>
      <c r="FG7" s="0" t="n">
        <v>0</v>
      </c>
      <c r="FH7" s="0" t="n">
        <v>0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0" t="n">
        <v>0</v>
      </c>
      <c r="FP7" s="0" t="n">
        <v>0.2068</v>
      </c>
    </row>
    <row r="8" customFormat="false" ht="13.8" hidden="false" customHeight="false" outlineLevel="0" collapsed="false">
      <c r="A8" s="2" t="s">
        <v>185</v>
      </c>
      <c r="B8" s="0" t="s">
        <v>173</v>
      </c>
      <c r="C8" s="0" t="n">
        <v>34</v>
      </c>
      <c r="D8" s="0" t="s">
        <v>186</v>
      </c>
      <c r="G8" s="0" t="n">
        <v>1748.8858</v>
      </c>
      <c r="H8" s="0" t="n">
        <v>86.7061</v>
      </c>
      <c r="I8" s="0" t="n">
        <v>272.3952</v>
      </c>
      <c r="J8" s="0" t="n">
        <v>0.47745</v>
      </c>
      <c r="K8" s="0" t="n">
        <v>0.0287</v>
      </c>
      <c r="L8" s="0" t="n">
        <v>228.2021</v>
      </c>
      <c r="M8" s="0" t="n">
        <v>228.6715</v>
      </c>
      <c r="N8" s="0" t="n">
        <v>244.3511</v>
      </c>
      <c r="O8" s="0" t="n">
        <v>175.6024</v>
      </c>
      <c r="P8" s="0" t="n">
        <v>138.1198</v>
      </c>
      <c r="Q8" s="0" t="n">
        <v>93.5331</v>
      </c>
      <c r="R8" s="0" t="n">
        <v>82.7162</v>
      </c>
      <c r="S8" s="0" t="n">
        <v>50.07</v>
      </c>
      <c r="T8" s="0" t="n">
        <v>40.6416</v>
      </c>
      <c r="U8" s="0" t="n">
        <v>31.0002</v>
      </c>
      <c r="V8" s="0" t="n">
        <v>28.9715</v>
      </c>
      <c r="W8" s="0" t="n">
        <v>28.1618</v>
      </c>
      <c r="X8" s="0" t="n">
        <v>32.5799</v>
      </c>
      <c r="Y8" s="0" t="n">
        <v>21.1039</v>
      </c>
      <c r="Z8" s="0" t="n">
        <v>17.7185</v>
      </c>
      <c r="AA8" s="0" t="n">
        <v>12.7146</v>
      </c>
      <c r="AB8" s="0" t="n">
        <v>12.8468</v>
      </c>
      <c r="AC8" s="0" t="n">
        <v>13.2714</v>
      </c>
      <c r="AD8" s="0" t="n">
        <v>14.6252</v>
      </c>
      <c r="AE8" s="0" t="n">
        <v>13.0938</v>
      </c>
      <c r="AF8" s="0" t="n">
        <v>11.2066</v>
      </c>
      <c r="AG8" s="0" t="n">
        <v>15.705</v>
      </c>
      <c r="AH8" s="0" t="n">
        <v>14.0148</v>
      </c>
      <c r="AI8" s="0" t="n">
        <v>9.5956</v>
      </c>
      <c r="AJ8" s="0" t="n">
        <v>10.2079</v>
      </c>
      <c r="AK8" s="0" t="n">
        <v>11.7981</v>
      </c>
      <c r="AL8" s="0" t="n">
        <v>11.3301</v>
      </c>
      <c r="AM8" s="0" t="n">
        <v>10.7166</v>
      </c>
      <c r="AN8" s="0" t="n">
        <v>5.8184</v>
      </c>
      <c r="AO8" s="0" t="n">
        <v>10.8551</v>
      </c>
      <c r="AP8" s="0" t="n">
        <v>12.4392</v>
      </c>
      <c r="AQ8" s="0" t="n">
        <v>10.7973</v>
      </c>
      <c r="AR8" s="0" t="n">
        <v>10.1977</v>
      </c>
      <c r="AS8" s="0" t="n">
        <v>9.6371</v>
      </c>
      <c r="AT8" s="0" t="n">
        <v>12.988</v>
      </c>
      <c r="AU8" s="0" t="n">
        <v>11.7656</v>
      </c>
      <c r="AV8" s="0" t="n">
        <v>9.77</v>
      </c>
      <c r="AW8" s="0" t="n">
        <v>8.4714</v>
      </c>
      <c r="AX8" s="0" t="n">
        <v>9.4737</v>
      </c>
      <c r="AY8" s="0" t="n">
        <v>7.528</v>
      </c>
      <c r="AZ8" s="0" t="n">
        <v>5.7631</v>
      </c>
      <c r="BA8" s="0" t="n">
        <v>5.4109</v>
      </c>
      <c r="BB8" s="0" t="n">
        <v>3.9212</v>
      </c>
      <c r="BC8" s="0" t="n">
        <v>1.7229</v>
      </c>
      <c r="BD8" s="0" t="n">
        <v>1.056</v>
      </c>
      <c r="BE8" s="0" t="n">
        <v>1.9452</v>
      </c>
      <c r="BF8" s="0" t="n">
        <v>1.0056</v>
      </c>
      <c r="BG8" s="0" t="n">
        <v>0.9194</v>
      </c>
      <c r="BH8" s="0" t="n">
        <v>0.4943</v>
      </c>
      <c r="BI8" s="0" t="n">
        <v>0.814</v>
      </c>
      <c r="BJ8" s="0" t="n">
        <v>0.1394</v>
      </c>
      <c r="BK8" s="0" t="n">
        <v>1.081</v>
      </c>
      <c r="BL8" s="0" t="n">
        <v>0.1347</v>
      </c>
      <c r="BM8" s="0" t="n">
        <v>0.0745</v>
      </c>
      <c r="BN8" s="0" t="n">
        <v>0.0465</v>
      </c>
      <c r="BO8" s="0" t="n">
        <v>0.0328</v>
      </c>
      <c r="BP8" s="0" t="n">
        <v>0.2451</v>
      </c>
      <c r="BQ8" s="0" t="n">
        <v>0.1595</v>
      </c>
      <c r="BR8" s="0" t="n">
        <v>0.0254</v>
      </c>
      <c r="BS8" s="0" t="n">
        <v>0.2557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0.0003</v>
      </c>
      <c r="CO8" s="0" t="n">
        <v>5.8614</v>
      </c>
      <c r="CP8" s="0" t="n">
        <v>9.0564</v>
      </c>
      <c r="CQ8" s="0" t="n">
        <v>13.4091</v>
      </c>
      <c r="CR8" s="0" t="n">
        <v>12.2865</v>
      </c>
      <c r="CS8" s="0" t="n">
        <v>11.8425</v>
      </c>
      <c r="CT8" s="0" t="n">
        <v>9.5185</v>
      </c>
      <c r="CU8" s="0" t="n">
        <v>9.7375</v>
      </c>
      <c r="CV8" s="0" t="n">
        <v>6.6746</v>
      </c>
      <c r="CW8" s="0" t="n">
        <v>6.0401</v>
      </c>
      <c r="CX8" s="0" t="n">
        <v>5.0908</v>
      </c>
      <c r="CY8" s="0" t="n">
        <v>5.2543</v>
      </c>
      <c r="CZ8" s="0" t="n">
        <v>5.5281</v>
      </c>
      <c r="DA8" s="0" t="n">
        <v>6.8815</v>
      </c>
      <c r="DB8" s="0" t="n">
        <v>4.7967</v>
      </c>
      <c r="DC8" s="0" t="n">
        <v>4.3104</v>
      </c>
      <c r="DD8" s="0" t="n">
        <v>3.2949</v>
      </c>
      <c r="DE8" s="0" t="n">
        <v>3.5249</v>
      </c>
      <c r="DF8" s="0" t="n">
        <v>3.8625</v>
      </c>
      <c r="DG8" s="0" t="n">
        <v>4.489</v>
      </c>
      <c r="DH8" s="0" t="n">
        <v>4.2134</v>
      </c>
      <c r="DI8" s="0" t="n">
        <v>3.7826</v>
      </c>
      <c r="DJ8" s="0" t="n">
        <v>5.5427</v>
      </c>
      <c r="DK8" s="0" t="n">
        <v>5.1688</v>
      </c>
      <c r="DL8" s="0" t="n">
        <v>3.7035</v>
      </c>
      <c r="DM8" s="0" t="n">
        <v>4.0851</v>
      </c>
      <c r="DN8" s="0" t="n">
        <v>4.9159</v>
      </c>
      <c r="DO8" s="0" t="n">
        <v>4.9018</v>
      </c>
      <c r="DP8" s="0" t="n">
        <v>4.7885</v>
      </c>
      <c r="DQ8" s="0" t="n">
        <v>2.6954</v>
      </c>
      <c r="DR8" s="0" t="n">
        <v>5.2038</v>
      </c>
      <c r="DS8" s="0" t="n">
        <v>6.1679</v>
      </c>
      <c r="DT8" s="0" t="n">
        <v>5.5118</v>
      </c>
      <c r="DU8" s="0" t="n">
        <v>5.3656</v>
      </c>
      <c r="DV8" s="0" t="n">
        <v>5.2242</v>
      </c>
      <c r="DW8" s="0" t="n">
        <v>7.2392</v>
      </c>
      <c r="DX8" s="0" t="n">
        <v>6.7479</v>
      </c>
      <c r="DY8" s="0" t="n">
        <v>5.7582</v>
      </c>
      <c r="DZ8" s="0" t="n">
        <v>5.1181</v>
      </c>
      <c r="EA8" s="0" t="n">
        <v>5.8699</v>
      </c>
      <c r="EB8" s="0" t="n">
        <v>4.7911</v>
      </c>
      <c r="EC8" s="0" t="n">
        <v>3.7605</v>
      </c>
      <c r="ED8" s="0" t="n">
        <v>3.6048</v>
      </c>
      <c r="EE8" s="0" t="n">
        <v>2.6739</v>
      </c>
      <c r="EF8" s="0" t="n">
        <v>1.201</v>
      </c>
      <c r="EG8" s="0" t="n">
        <v>0.7551</v>
      </c>
      <c r="EH8" s="0" t="n">
        <v>1.4206</v>
      </c>
      <c r="EI8" s="0" t="n">
        <v>0.7496</v>
      </c>
      <c r="EJ8" s="0" t="n">
        <v>0.7</v>
      </c>
      <c r="EK8" s="0" t="n">
        <v>0.3853</v>
      </c>
      <c r="EL8" s="0" t="n">
        <v>0.6453</v>
      </c>
      <c r="EM8" s="0" t="n">
        <v>0.1126</v>
      </c>
      <c r="EN8" s="0" t="n">
        <v>0.8935</v>
      </c>
      <c r="EO8" s="0" t="n">
        <v>0.113</v>
      </c>
      <c r="EP8" s="0" t="n">
        <v>0.0638</v>
      </c>
      <c r="EQ8" s="0" t="n">
        <v>0.0405</v>
      </c>
      <c r="ER8" s="0" t="n">
        <v>0.0291</v>
      </c>
      <c r="ES8" s="0" t="n">
        <v>0.2216</v>
      </c>
      <c r="ET8" s="0" t="n">
        <v>0.1458</v>
      </c>
      <c r="EU8" s="0" t="n">
        <v>0.0238</v>
      </c>
      <c r="EV8" s="0" t="n">
        <v>0.2421</v>
      </c>
      <c r="EW8" s="0" t="n">
        <v>0</v>
      </c>
      <c r="EX8" s="0" t="n">
        <v>0</v>
      </c>
      <c r="EY8" s="0" t="n">
        <v>0</v>
      </c>
      <c r="EZ8" s="0" t="n">
        <v>0</v>
      </c>
      <c r="FA8" s="0" t="n">
        <v>0</v>
      </c>
      <c r="FB8" s="0" t="n">
        <v>0</v>
      </c>
      <c r="FC8" s="0" t="n">
        <v>0</v>
      </c>
      <c r="FD8" s="0" t="n">
        <v>0</v>
      </c>
      <c r="FE8" s="0" t="n">
        <v>0</v>
      </c>
      <c r="FF8" s="0" t="n">
        <v>0</v>
      </c>
      <c r="FG8" s="0" t="n">
        <v>0</v>
      </c>
      <c r="FH8" s="0" t="n">
        <v>0</v>
      </c>
      <c r="FI8" s="0" t="n">
        <v>0</v>
      </c>
      <c r="FJ8" s="0" t="n">
        <v>0</v>
      </c>
      <c r="FK8" s="0" t="n">
        <v>0</v>
      </c>
      <c r="FL8" s="0" t="n">
        <v>0</v>
      </c>
      <c r="FM8" s="0" t="n">
        <v>0</v>
      </c>
      <c r="FN8" s="0" t="n">
        <v>0</v>
      </c>
      <c r="FO8" s="0" t="n">
        <v>0</v>
      </c>
      <c r="FP8" s="0" t="n">
        <v>0</v>
      </c>
    </row>
    <row r="9" customFormat="false" ht="13.8" hidden="false" customHeight="false" outlineLevel="0" collapsed="false">
      <c r="A9" s="2" t="s">
        <v>187</v>
      </c>
      <c r="B9" s="0" t="s">
        <v>173</v>
      </c>
      <c r="C9" s="0" t="n">
        <v>93</v>
      </c>
      <c r="D9" s="0" t="s">
        <v>188</v>
      </c>
      <c r="F9" s="0" t="e">
        <f aca="false">VLOOKUP(A9,[1]ROOT!$A$1:$C$1048576,3,0)</f>
        <v>#N/A</v>
      </c>
      <c r="G9" s="0" t="n">
        <v>3607.0072</v>
      </c>
      <c r="H9" s="0" t="n">
        <v>154.2429</v>
      </c>
      <c r="I9" s="0" t="n">
        <v>484.5682</v>
      </c>
      <c r="J9" s="0" t="n">
        <v>0.42716</v>
      </c>
      <c r="K9" s="0" t="n">
        <v>0</v>
      </c>
      <c r="L9" s="0" t="n">
        <v>569.8465</v>
      </c>
      <c r="M9" s="0" t="n">
        <v>714.3384</v>
      </c>
      <c r="N9" s="0" t="n">
        <v>509.6048</v>
      </c>
      <c r="O9" s="0" t="n">
        <v>1.7962</v>
      </c>
      <c r="P9" s="0" t="n">
        <v>500.9732</v>
      </c>
      <c r="Q9" s="0" t="n">
        <v>165.0198</v>
      </c>
      <c r="R9" s="0" t="n">
        <v>225.6799</v>
      </c>
      <c r="S9" s="0" t="n">
        <v>123.5269</v>
      </c>
      <c r="T9" s="0" t="n">
        <v>21.015</v>
      </c>
      <c r="U9" s="0" t="n">
        <v>99.2841</v>
      </c>
      <c r="V9" s="0" t="n">
        <v>66.4479</v>
      </c>
      <c r="W9" s="0" t="n">
        <v>32.126</v>
      </c>
      <c r="X9" s="0" t="n">
        <v>50.984</v>
      </c>
      <c r="Y9" s="0" t="n">
        <v>45.2701</v>
      </c>
      <c r="Z9" s="0" t="n">
        <v>36.3888</v>
      </c>
      <c r="AA9" s="0" t="n">
        <v>22.4159</v>
      </c>
      <c r="AB9" s="0" t="n">
        <v>37.9932</v>
      </c>
      <c r="AC9" s="0" t="n">
        <v>13.1267</v>
      </c>
      <c r="AD9" s="0" t="n">
        <v>37.3292</v>
      </c>
      <c r="AE9" s="0" t="n">
        <v>20.4806</v>
      </c>
      <c r="AF9" s="0" t="n">
        <v>33.9153</v>
      </c>
      <c r="AG9" s="0" t="n">
        <v>9.4144</v>
      </c>
      <c r="AH9" s="0" t="n">
        <v>21.7202</v>
      </c>
      <c r="AI9" s="0" t="n">
        <v>22.0927</v>
      </c>
      <c r="AJ9" s="0" t="n">
        <v>4.6504</v>
      </c>
      <c r="AK9" s="0" t="n">
        <v>20.0577</v>
      </c>
      <c r="AL9" s="0" t="n">
        <v>19.54</v>
      </c>
      <c r="AM9" s="0" t="n">
        <v>9.0677</v>
      </c>
      <c r="AN9" s="0" t="n">
        <v>7.7793</v>
      </c>
      <c r="AO9" s="0" t="n">
        <v>23.649</v>
      </c>
      <c r="AP9" s="0" t="n">
        <v>10.7549</v>
      </c>
      <c r="AQ9" s="0" t="n">
        <v>17.8976</v>
      </c>
      <c r="AR9" s="0" t="n">
        <v>8.1278</v>
      </c>
      <c r="AS9" s="0" t="n">
        <v>6.9461</v>
      </c>
      <c r="AT9" s="0" t="n">
        <v>18.3848</v>
      </c>
      <c r="AU9" s="0" t="n">
        <v>18.7326</v>
      </c>
      <c r="AV9" s="0" t="n">
        <v>0.6439</v>
      </c>
      <c r="AW9" s="0" t="n">
        <v>10.3083</v>
      </c>
      <c r="AX9" s="0" t="n">
        <v>7.0043</v>
      </c>
      <c r="AY9" s="0" t="n">
        <v>3.0846</v>
      </c>
      <c r="AZ9" s="0" t="n">
        <v>3.5808</v>
      </c>
      <c r="BA9" s="0" t="n">
        <v>4.0737</v>
      </c>
      <c r="BB9" s="0" t="n">
        <v>4.1873</v>
      </c>
      <c r="BC9" s="0" t="n">
        <v>2.1778</v>
      </c>
      <c r="BD9" s="0" t="n">
        <v>2.4618</v>
      </c>
      <c r="BE9" s="0" t="n">
        <v>3.0782</v>
      </c>
      <c r="BF9" s="0" t="n">
        <v>1.5611</v>
      </c>
      <c r="BG9" s="0" t="n">
        <v>4.4142</v>
      </c>
      <c r="BH9" s="0" t="n">
        <v>2.6736</v>
      </c>
      <c r="BI9" s="0" t="n">
        <v>0.1947</v>
      </c>
      <c r="BJ9" s="0" t="n">
        <v>1.5041</v>
      </c>
      <c r="BK9" s="0" t="n">
        <v>1.7129</v>
      </c>
      <c r="BL9" s="0" t="n">
        <v>1.5659</v>
      </c>
      <c r="BM9" s="0" t="n">
        <v>0.403</v>
      </c>
      <c r="BN9" s="0" t="n">
        <v>0.4638</v>
      </c>
      <c r="BO9" s="0" t="n">
        <v>0.2359</v>
      </c>
      <c r="BP9" s="0" t="n">
        <v>0.9596</v>
      </c>
      <c r="BQ9" s="0" t="n">
        <v>0.322</v>
      </c>
      <c r="BR9" s="0" t="n">
        <v>0.338</v>
      </c>
      <c r="BS9" s="0" t="n">
        <v>0.4336</v>
      </c>
      <c r="BT9" s="0" t="n">
        <v>0.0629</v>
      </c>
      <c r="BU9" s="0" t="n">
        <v>0.1349</v>
      </c>
      <c r="BV9" s="0" t="n">
        <v>0.4237</v>
      </c>
      <c r="BW9" s="0" t="n">
        <v>0.0614</v>
      </c>
      <c r="BX9" s="0" t="n">
        <v>0</v>
      </c>
      <c r="BY9" s="0" t="n">
        <v>0.065</v>
      </c>
      <c r="BZ9" s="0" t="n">
        <v>0</v>
      </c>
      <c r="CA9" s="0" t="n">
        <v>0.0137</v>
      </c>
      <c r="CB9" s="0" t="n">
        <v>0</v>
      </c>
      <c r="CC9" s="0" t="n">
        <v>0.0861</v>
      </c>
      <c r="CD9" s="0" t="n">
        <v>0.2947</v>
      </c>
      <c r="CE9" s="0" t="n">
        <v>0.3272</v>
      </c>
      <c r="CF9" s="0" t="n">
        <v>0.0296</v>
      </c>
      <c r="CG9" s="0" t="n">
        <v>0.1322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0.1628</v>
      </c>
      <c r="CN9" s="0" t="n">
        <v>0</v>
      </c>
      <c r="CO9" s="0" t="n">
        <v>12.2274</v>
      </c>
      <c r="CP9" s="0" t="n">
        <v>30.4432</v>
      </c>
      <c r="CQ9" s="0" t="n">
        <v>31.1431</v>
      </c>
      <c r="CR9" s="0" t="n">
        <v>0.1243</v>
      </c>
      <c r="CS9" s="0" t="n">
        <v>41.8418</v>
      </c>
      <c r="CT9" s="0" t="n">
        <v>16.7633</v>
      </c>
      <c r="CU9" s="0" t="n">
        <v>26.3227</v>
      </c>
      <c r="CV9" s="0" t="n">
        <v>17.1355</v>
      </c>
      <c r="CW9" s="0" t="n">
        <v>3.0384</v>
      </c>
      <c r="CX9" s="0" t="n">
        <v>16.1237</v>
      </c>
      <c r="CY9" s="0" t="n">
        <v>12.1677</v>
      </c>
      <c r="CZ9" s="0" t="n">
        <v>6.3687</v>
      </c>
      <c r="DA9" s="0" t="n">
        <v>10.6768</v>
      </c>
      <c r="DB9" s="0" t="n">
        <v>10.2895</v>
      </c>
      <c r="DC9" s="0" t="n">
        <v>8.9374</v>
      </c>
      <c r="DD9" s="0" t="n">
        <v>5.7189</v>
      </c>
      <c r="DE9" s="0" t="n">
        <v>10.3956</v>
      </c>
      <c r="DF9" s="0" t="n">
        <v>3.7959</v>
      </c>
      <c r="DG9" s="0" t="n">
        <v>11.3618</v>
      </c>
      <c r="DH9" s="0" t="n">
        <v>6.5888</v>
      </c>
      <c r="DI9" s="0" t="n">
        <v>11.559</v>
      </c>
      <c r="DJ9" s="0" t="n">
        <v>3.3395</v>
      </c>
      <c r="DK9" s="0" t="n">
        <v>8.0135</v>
      </c>
      <c r="DL9" s="0" t="n">
        <v>8.6268</v>
      </c>
      <c r="DM9" s="0" t="n">
        <v>1.8433</v>
      </c>
      <c r="DN9" s="0" t="n">
        <v>8.3288</v>
      </c>
      <c r="DO9" s="0" t="n">
        <v>8.5289</v>
      </c>
      <c r="DP9" s="0" t="n">
        <v>4.1081</v>
      </c>
      <c r="DQ9" s="0" t="n">
        <v>3.5807</v>
      </c>
      <c r="DR9" s="0" t="n">
        <v>11.3422</v>
      </c>
      <c r="DS9" s="0" t="n">
        <v>5.336</v>
      </c>
      <c r="DT9" s="0" t="n">
        <v>9.143</v>
      </c>
      <c r="DU9" s="0" t="n">
        <v>4.298</v>
      </c>
      <c r="DV9" s="0" t="n">
        <v>3.7308</v>
      </c>
      <c r="DW9" s="0" t="n">
        <v>10.213</v>
      </c>
      <c r="DX9" s="0" t="n">
        <v>10.8046</v>
      </c>
      <c r="DY9" s="0" t="n">
        <v>0.3814</v>
      </c>
      <c r="DZ9" s="0" t="n">
        <v>6.2094</v>
      </c>
      <c r="EA9" s="0" t="n">
        <v>4.3421</v>
      </c>
      <c r="EB9" s="0" t="n">
        <v>1.9713</v>
      </c>
      <c r="EC9" s="0" t="n">
        <v>2.3238</v>
      </c>
      <c r="ED9" s="0" t="n">
        <v>2.714</v>
      </c>
      <c r="EE9" s="0" t="n">
        <v>2.8651</v>
      </c>
      <c r="EF9" s="0" t="n">
        <v>1.5267</v>
      </c>
      <c r="EG9" s="0" t="n">
        <v>1.7618</v>
      </c>
      <c r="EH9" s="0" t="n">
        <v>2.2514</v>
      </c>
      <c r="EI9" s="0" t="n">
        <v>1.1607</v>
      </c>
      <c r="EJ9" s="0" t="n">
        <v>3.3607</v>
      </c>
      <c r="EK9" s="0" t="n">
        <v>2.0961</v>
      </c>
      <c r="EL9" s="0" t="n">
        <v>0.1551</v>
      </c>
      <c r="EM9" s="0" t="n">
        <v>1.2117</v>
      </c>
      <c r="EN9" s="0" t="n">
        <v>1.4148</v>
      </c>
      <c r="EO9" s="0" t="n">
        <v>1.3236</v>
      </c>
      <c r="EP9" s="0" t="n">
        <v>0.3439</v>
      </c>
      <c r="EQ9" s="0" t="n">
        <v>0.4045</v>
      </c>
      <c r="ER9" s="0" t="n">
        <v>0.2095</v>
      </c>
      <c r="ES9" s="0" t="n">
        <v>0.8668</v>
      </c>
      <c r="ET9" s="0" t="n">
        <v>0.2967</v>
      </c>
      <c r="EU9" s="0" t="n">
        <v>0.3142</v>
      </c>
      <c r="EV9" s="0" t="n">
        <v>0.4119</v>
      </c>
      <c r="EW9" s="0" t="n">
        <v>0.0608</v>
      </c>
      <c r="EX9" s="0" t="n">
        <v>0.132</v>
      </c>
      <c r="EY9" s="0" t="n">
        <v>0.4204</v>
      </c>
      <c r="EZ9" s="0" t="n">
        <v>0.0621</v>
      </c>
      <c r="FA9" s="0" t="n">
        <v>0</v>
      </c>
      <c r="FB9" s="0" t="n">
        <v>0.0679</v>
      </c>
      <c r="FC9" s="0" t="n">
        <v>0</v>
      </c>
      <c r="FD9" s="0" t="n">
        <v>0.0149</v>
      </c>
      <c r="FE9" s="0" t="n">
        <v>0</v>
      </c>
      <c r="FF9" s="0" t="n">
        <v>0.0948</v>
      </c>
      <c r="FG9" s="0" t="n">
        <v>0.349</v>
      </c>
      <c r="FH9" s="0" t="n">
        <v>0.3719</v>
      </c>
      <c r="FI9" s="0" t="n">
        <v>0.0341</v>
      </c>
      <c r="FJ9" s="0" t="n">
        <v>0.1556</v>
      </c>
      <c r="FK9" s="0" t="n">
        <v>0</v>
      </c>
      <c r="FL9" s="0" t="n">
        <v>0</v>
      </c>
      <c r="FM9" s="0" t="n">
        <v>0</v>
      </c>
      <c r="FN9" s="0" t="n">
        <v>0</v>
      </c>
      <c r="FO9" s="0" t="n">
        <v>0</v>
      </c>
      <c r="FP9" s="0" t="n">
        <v>0.2075</v>
      </c>
    </row>
    <row r="10" customFormat="false" ht="13.8" hidden="false" customHeight="false" outlineLevel="0" collapsed="false">
      <c r="A10" s="2" t="s">
        <v>189</v>
      </c>
      <c r="B10" s="0" t="s">
        <v>173</v>
      </c>
      <c r="C10" s="0" t="n">
        <v>132</v>
      </c>
      <c r="D10" s="0" t="s">
        <v>190</v>
      </c>
      <c r="G10" s="0" t="n">
        <v>4021.144</v>
      </c>
      <c r="H10" s="0" t="n">
        <v>278.5149</v>
      </c>
      <c r="I10" s="0" t="n">
        <v>874.9805</v>
      </c>
      <c r="J10" s="0" t="n">
        <v>0.7852</v>
      </c>
      <c r="K10" s="0" t="n">
        <v>0.0317</v>
      </c>
      <c r="L10" s="0" t="n">
        <v>12.0005</v>
      </c>
      <c r="M10" s="0" t="n">
        <v>33.5589</v>
      </c>
      <c r="N10" s="0" t="n">
        <v>328.7657</v>
      </c>
      <c r="O10" s="0" t="n">
        <v>497.1979</v>
      </c>
      <c r="P10" s="0" t="n">
        <v>417.2418</v>
      </c>
      <c r="Q10" s="0" t="n">
        <v>580.4393</v>
      </c>
      <c r="R10" s="0" t="n">
        <v>277.8119</v>
      </c>
      <c r="S10" s="0" t="n">
        <v>237.5606</v>
      </c>
      <c r="T10" s="0" t="n">
        <v>176.6227</v>
      </c>
      <c r="U10" s="0" t="n">
        <v>190.716</v>
      </c>
      <c r="V10" s="0" t="n">
        <v>86.9068</v>
      </c>
      <c r="W10" s="0" t="n">
        <v>137.4172</v>
      </c>
      <c r="X10" s="0" t="n">
        <v>85.2611</v>
      </c>
      <c r="Y10" s="0" t="n">
        <v>60.1336</v>
      </c>
      <c r="Z10" s="0" t="n">
        <v>67.8099</v>
      </c>
      <c r="AA10" s="0" t="n">
        <v>69.1235</v>
      </c>
      <c r="AB10" s="0" t="n">
        <v>56.1509</v>
      </c>
      <c r="AC10" s="0" t="n">
        <v>37.4992</v>
      </c>
      <c r="AD10" s="0" t="n">
        <v>42.1048</v>
      </c>
      <c r="AE10" s="0" t="n">
        <v>33.8439</v>
      </c>
      <c r="AF10" s="0" t="n">
        <v>42.4206</v>
      </c>
      <c r="AG10" s="0" t="n">
        <v>16.5781</v>
      </c>
      <c r="AH10" s="0" t="n">
        <v>33.4005</v>
      </c>
      <c r="AI10" s="0" t="n">
        <v>40.5605</v>
      </c>
      <c r="AJ10" s="0" t="n">
        <v>29.2172</v>
      </c>
      <c r="AK10" s="0" t="n">
        <v>38.5226</v>
      </c>
      <c r="AL10" s="0" t="n">
        <v>20.1287</v>
      </c>
      <c r="AM10" s="0" t="n">
        <v>27.2288</v>
      </c>
      <c r="AN10" s="0" t="n">
        <v>32.4135</v>
      </c>
      <c r="AO10" s="0" t="n">
        <v>29.4003</v>
      </c>
      <c r="AP10" s="0" t="n">
        <v>24.5843</v>
      </c>
      <c r="AQ10" s="0" t="n">
        <v>29.5993</v>
      </c>
      <c r="AR10" s="0" t="n">
        <v>28.0961</v>
      </c>
      <c r="AS10" s="0" t="n">
        <v>20.7354</v>
      </c>
      <c r="AT10" s="0" t="n">
        <v>33.1793</v>
      </c>
      <c r="AU10" s="0" t="n">
        <v>30.0713</v>
      </c>
      <c r="AV10" s="0" t="n">
        <v>15.5314</v>
      </c>
      <c r="AW10" s="0" t="n">
        <v>18.3322</v>
      </c>
      <c r="AX10" s="0" t="n">
        <v>15.5876</v>
      </c>
      <c r="AY10" s="0" t="n">
        <v>8.1567</v>
      </c>
      <c r="AZ10" s="0" t="n">
        <v>10.463</v>
      </c>
      <c r="BA10" s="0" t="n">
        <v>5.9363</v>
      </c>
      <c r="BB10" s="0" t="n">
        <v>10.2449</v>
      </c>
      <c r="BC10" s="0" t="n">
        <v>7.0076</v>
      </c>
      <c r="BD10" s="0" t="n">
        <v>3.6535</v>
      </c>
      <c r="BE10" s="0" t="n">
        <v>3.5681</v>
      </c>
      <c r="BF10" s="0" t="n">
        <v>2.1626</v>
      </c>
      <c r="BG10" s="0" t="n">
        <v>2.1206</v>
      </c>
      <c r="BH10" s="0" t="n">
        <v>1.3056</v>
      </c>
      <c r="BI10" s="0" t="n">
        <v>1.7721</v>
      </c>
      <c r="BJ10" s="0" t="n">
        <v>2.2929</v>
      </c>
      <c r="BK10" s="0" t="n">
        <v>1.3401</v>
      </c>
      <c r="BL10" s="0" t="n">
        <v>0.958</v>
      </c>
      <c r="BM10" s="0" t="n">
        <v>0.8456</v>
      </c>
      <c r="BN10" s="0" t="n">
        <v>0.3252</v>
      </c>
      <c r="BO10" s="0" t="n">
        <v>0.3743</v>
      </c>
      <c r="BP10" s="0" t="n">
        <v>0.2056</v>
      </c>
      <c r="BQ10" s="0" t="n">
        <v>0.4023</v>
      </c>
      <c r="BR10" s="0" t="n">
        <v>0.2554</v>
      </c>
      <c r="BS10" s="0" t="n">
        <v>0.6059</v>
      </c>
      <c r="BT10" s="0" t="n">
        <v>0.0972</v>
      </c>
      <c r="BU10" s="0" t="n">
        <v>0.2332</v>
      </c>
      <c r="BV10" s="0" t="n">
        <v>0.458</v>
      </c>
      <c r="BW10" s="0" t="n">
        <v>0.1597</v>
      </c>
      <c r="BX10" s="0" t="n">
        <v>0.0275</v>
      </c>
      <c r="BY10" s="0" t="n">
        <v>0.2109</v>
      </c>
      <c r="BZ10" s="0" t="n">
        <v>0.0497</v>
      </c>
      <c r="CA10" s="0" t="n">
        <v>0.0596</v>
      </c>
      <c r="CB10" s="0" t="n">
        <v>0.0597</v>
      </c>
      <c r="CC10" s="0" t="n">
        <v>0.0397</v>
      </c>
      <c r="CD10" s="0" t="n">
        <v>0.0338</v>
      </c>
      <c r="CE10" s="0" t="n">
        <v>0.0824</v>
      </c>
      <c r="CF10" s="0" t="n">
        <v>0.393</v>
      </c>
      <c r="CG10" s="0" t="n">
        <v>0.0386</v>
      </c>
      <c r="CH10" s="0" t="n">
        <v>0.0338</v>
      </c>
      <c r="CI10" s="0" t="n">
        <v>0.0069</v>
      </c>
      <c r="CJ10" s="0" t="n">
        <v>0</v>
      </c>
      <c r="CK10" s="0" t="n">
        <v>0</v>
      </c>
      <c r="CL10" s="0" t="n">
        <v>0</v>
      </c>
      <c r="CM10" s="0" t="n">
        <v>0.1644</v>
      </c>
      <c r="CN10" s="0" t="n">
        <v>0.0005</v>
      </c>
      <c r="CO10" s="0" t="n">
        <v>0.3253</v>
      </c>
      <c r="CP10" s="0" t="n">
        <v>1.3484</v>
      </c>
      <c r="CQ10" s="0" t="n">
        <v>18.7914</v>
      </c>
      <c r="CR10" s="0" t="n">
        <v>35.3068</v>
      </c>
      <c r="CS10" s="0" t="n">
        <v>34.9246</v>
      </c>
      <c r="CT10" s="0" t="n">
        <v>58.4189</v>
      </c>
      <c r="CU10" s="0" t="n">
        <v>33.0504</v>
      </c>
      <c r="CV10" s="0" t="n">
        <v>31.6617</v>
      </c>
      <c r="CW10" s="0" t="n">
        <v>25.9192</v>
      </c>
      <c r="CX10" s="0" t="n">
        <v>31.6154</v>
      </c>
      <c r="CY10" s="0" t="n">
        <v>15.7683</v>
      </c>
      <c r="CZ10" s="0" t="n">
        <v>26.9245</v>
      </c>
      <c r="DA10" s="0" t="n">
        <v>18.3901</v>
      </c>
      <c r="DB10" s="0" t="n">
        <v>13.6426</v>
      </c>
      <c r="DC10" s="0" t="n">
        <v>16.4149</v>
      </c>
      <c r="DD10" s="0" t="n">
        <v>17.8576</v>
      </c>
      <c r="DE10" s="0" t="n">
        <v>15.4993</v>
      </c>
      <c r="DF10" s="0" t="n">
        <v>10.9016</v>
      </c>
      <c r="DG10" s="0" t="n">
        <v>12.9093</v>
      </c>
      <c r="DH10" s="0" t="n">
        <v>10.8441</v>
      </c>
      <c r="DI10" s="0" t="n">
        <v>14.3951</v>
      </c>
      <c r="DJ10" s="0" t="n">
        <v>5.9018</v>
      </c>
      <c r="DK10" s="0" t="n">
        <v>12.2619</v>
      </c>
      <c r="DL10" s="0" t="n">
        <v>15.6914</v>
      </c>
      <c r="DM10" s="0" t="n">
        <v>11.7008</v>
      </c>
      <c r="DN10" s="0" t="n">
        <v>16.0583</v>
      </c>
      <c r="DO10" s="0" t="n">
        <v>8.7266</v>
      </c>
      <c r="DP10" s="0" t="n">
        <v>12.1248</v>
      </c>
      <c r="DQ10" s="0" t="n">
        <v>15.0138</v>
      </c>
      <c r="DR10" s="0" t="n">
        <v>14.1569</v>
      </c>
      <c r="DS10" s="0" t="n">
        <v>12.0995</v>
      </c>
      <c r="DT10" s="0" t="n">
        <v>15.0824</v>
      </c>
      <c r="DU10" s="0" t="n">
        <v>14.8112</v>
      </c>
      <c r="DV10" s="0" t="n">
        <v>11.1971</v>
      </c>
      <c r="DW10" s="0" t="n">
        <v>18.4196</v>
      </c>
      <c r="DX10" s="0" t="n">
        <v>17.2659</v>
      </c>
      <c r="DY10" s="0" t="n">
        <v>9.1801</v>
      </c>
      <c r="DZ10" s="0" t="n">
        <v>11.0394</v>
      </c>
      <c r="EA10" s="0" t="n">
        <v>9.6779</v>
      </c>
      <c r="EB10" s="0" t="n">
        <v>5.1986</v>
      </c>
      <c r="EC10" s="0" t="n">
        <v>6.838</v>
      </c>
      <c r="ED10" s="0" t="n">
        <v>3.9417</v>
      </c>
      <c r="EE10" s="0" t="n">
        <v>6.982</v>
      </c>
      <c r="EF10" s="0" t="n">
        <v>4.9131</v>
      </c>
      <c r="EG10" s="0" t="n">
        <v>2.6209</v>
      </c>
      <c r="EH10" s="0" t="n">
        <v>2.6046</v>
      </c>
      <c r="EI10" s="0" t="n">
        <v>1.6087</v>
      </c>
      <c r="EJ10" s="0" t="n">
        <v>1.6134</v>
      </c>
      <c r="EK10" s="0" t="n">
        <v>1.0158</v>
      </c>
      <c r="EL10" s="0" t="n">
        <v>1.405</v>
      </c>
      <c r="EM10" s="0" t="n">
        <v>1.8563</v>
      </c>
      <c r="EN10" s="0" t="n">
        <v>1.1086</v>
      </c>
      <c r="EO10" s="0" t="n">
        <v>0.8035</v>
      </c>
      <c r="EP10" s="0" t="n">
        <v>0.7243</v>
      </c>
      <c r="EQ10" s="0" t="n">
        <v>0.2843</v>
      </c>
      <c r="ER10" s="0" t="n">
        <v>0.3319</v>
      </c>
      <c r="ES10" s="0" t="n">
        <v>0.1853</v>
      </c>
      <c r="ET10" s="0" t="n">
        <v>0.3705</v>
      </c>
      <c r="EU10" s="0" t="n">
        <v>0.2393</v>
      </c>
      <c r="EV10" s="0" t="n">
        <v>0.5767</v>
      </c>
      <c r="EW10" s="0" t="n">
        <v>0.094</v>
      </c>
      <c r="EX10" s="0" t="n">
        <v>0.2298</v>
      </c>
      <c r="EY10" s="0" t="n">
        <v>0.4579</v>
      </c>
      <c r="EZ10" s="0" t="n">
        <v>0.1622</v>
      </c>
      <c r="FA10" s="0" t="n">
        <v>0.0282</v>
      </c>
      <c r="FB10" s="0" t="n">
        <v>0.2203</v>
      </c>
      <c r="FC10" s="0" t="n">
        <v>0.0528</v>
      </c>
      <c r="FD10" s="0" t="n">
        <v>0.0641</v>
      </c>
      <c r="FE10" s="0" t="n">
        <v>0.065</v>
      </c>
      <c r="FF10" s="0" t="n">
        <v>0.044</v>
      </c>
      <c r="FG10" s="0" t="n">
        <v>0.0381</v>
      </c>
      <c r="FH10" s="0" t="n">
        <v>0.0935</v>
      </c>
      <c r="FI10" s="0" t="n">
        <v>0.4538</v>
      </c>
      <c r="FJ10" s="0" t="n">
        <v>0.0453</v>
      </c>
      <c r="FK10" s="0" t="n">
        <v>0.0403</v>
      </c>
      <c r="FL10" s="0" t="n">
        <v>0.0083</v>
      </c>
      <c r="FM10" s="0" t="n">
        <v>0</v>
      </c>
      <c r="FN10" s="0" t="n">
        <v>0</v>
      </c>
      <c r="FO10" s="0" t="n">
        <v>0</v>
      </c>
      <c r="FP10" s="0" t="n">
        <v>0.2518</v>
      </c>
    </row>
    <row r="11" customFormat="false" ht="13.8" hidden="false" customHeight="false" outlineLevel="0" collapsed="false">
      <c r="A11" s="4" t="s">
        <v>191</v>
      </c>
      <c r="B11" s="0" t="e">
        <f aca="false">#N/A</f>
        <v>#N/A</v>
      </c>
      <c r="C11" s="0" t="e">
        <f aca="false">#N/A</f>
        <v>#N/A</v>
      </c>
      <c r="D11" s="0" t="e">
        <f aca="false">#N/A</f>
        <v>#N/A</v>
      </c>
      <c r="G11" s="0" t="n">
        <v>2435.1772</v>
      </c>
      <c r="H11" s="0" t="n">
        <v>209.2967</v>
      </c>
      <c r="I11" s="0" t="n">
        <v>657.5249</v>
      </c>
      <c r="J11" s="0" t="n">
        <v>0.7793</v>
      </c>
      <c r="K11" s="0" t="n">
        <v>0</v>
      </c>
      <c r="L11" s="0" t="n">
        <v>176.946</v>
      </c>
      <c r="M11" s="0" t="n">
        <v>163.714</v>
      </c>
      <c r="N11" s="0" t="n">
        <v>259.0864</v>
      </c>
      <c r="O11" s="0" t="n">
        <v>182.8252</v>
      </c>
      <c r="P11" s="0" t="n">
        <v>117.212</v>
      </c>
      <c r="Q11" s="0" t="n">
        <v>79.7303</v>
      </c>
      <c r="R11" s="0" t="n">
        <v>75.366</v>
      </c>
      <c r="S11" s="0" t="n">
        <v>51.7665</v>
      </c>
      <c r="T11" s="0" t="n">
        <v>49.3118</v>
      </c>
      <c r="U11" s="0" t="n">
        <v>37.0043</v>
      </c>
      <c r="V11" s="0" t="n">
        <v>37.8611</v>
      </c>
      <c r="W11" s="0" t="n">
        <v>31.9411</v>
      </c>
      <c r="X11" s="0" t="n">
        <v>26.2037</v>
      </c>
      <c r="Y11" s="0" t="n">
        <v>22.6433</v>
      </c>
      <c r="Z11" s="0" t="n">
        <v>23.6778</v>
      </c>
      <c r="AA11" s="0" t="n">
        <v>24.0854</v>
      </c>
      <c r="AB11" s="0" t="n">
        <v>23.1042</v>
      </c>
      <c r="AC11" s="0" t="n">
        <v>24.9109</v>
      </c>
      <c r="AD11" s="0" t="n">
        <v>29.0367</v>
      </c>
      <c r="AE11" s="0" t="n">
        <v>40.5873</v>
      </c>
      <c r="AF11" s="0" t="n">
        <v>42.6566</v>
      </c>
      <c r="AG11" s="0" t="n">
        <v>41.4448</v>
      </c>
      <c r="AH11" s="0" t="n">
        <v>38.7104</v>
      </c>
      <c r="AI11" s="0" t="n">
        <v>34.942</v>
      </c>
      <c r="AJ11" s="0" t="n">
        <v>45.352</v>
      </c>
      <c r="AK11" s="0" t="n">
        <v>53.6739</v>
      </c>
      <c r="AL11" s="0" t="n">
        <v>57.3407</v>
      </c>
      <c r="AM11" s="0" t="n">
        <v>53.6459</v>
      </c>
      <c r="AN11" s="0" t="n">
        <v>54.5856</v>
      </c>
      <c r="AO11" s="0" t="n">
        <v>51.9021</v>
      </c>
      <c r="AP11" s="0" t="n">
        <v>52.836</v>
      </c>
      <c r="AQ11" s="0" t="n">
        <v>56.0088</v>
      </c>
      <c r="AR11" s="0" t="n">
        <v>52.6543</v>
      </c>
      <c r="AS11" s="0" t="n">
        <v>55.2999</v>
      </c>
      <c r="AT11" s="0" t="n">
        <v>46.8208</v>
      </c>
      <c r="AU11" s="0" t="n">
        <v>38.7711</v>
      </c>
      <c r="AV11" s="0" t="n">
        <v>28.7527</v>
      </c>
      <c r="AW11" s="0" t="n">
        <v>26.9802</v>
      </c>
      <c r="AX11" s="0" t="n">
        <v>25.7331</v>
      </c>
      <c r="AY11" s="0" t="n">
        <v>18.5936</v>
      </c>
      <c r="AZ11" s="0" t="n">
        <v>12.7881</v>
      </c>
      <c r="BA11" s="0" t="n">
        <v>13.1397</v>
      </c>
      <c r="BB11" s="0" t="n">
        <v>8.564</v>
      </c>
      <c r="BC11" s="0" t="n">
        <v>7.2034</v>
      </c>
      <c r="BD11" s="0" t="n">
        <v>5.4737</v>
      </c>
      <c r="BE11" s="0" t="n">
        <v>4.7613</v>
      </c>
      <c r="BF11" s="0" t="n">
        <v>3.478</v>
      </c>
      <c r="BG11" s="0" t="n">
        <v>4.4476</v>
      </c>
      <c r="BH11" s="0" t="n">
        <v>3.5391</v>
      </c>
      <c r="BI11" s="0" t="n">
        <v>2.9097</v>
      </c>
      <c r="BJ11" s="0" t="n">
        <v>2.1521</v>
      </c>
      <c r="BK11" s="0" t="n">
        <v>1.5652</v>
      </c>
      <c r="BL11" s="0" t="n">
        <v>1.08</v>
      </c>
      <c r="BM11" s="0" t="n">
        <v>0.8967</v>
      </c>
      <c r="BN11" s="0" t="n">
        <v>1.0041</v>
      </c>
      <c r="BO11" s="0" t="n">
        <v>1.0936</v>
      </c>
      <c r="BP11" s="0" t="n">
        <v>0.7214</v>
      </c>
      <c r="BQ11" s="0" t="n">
        <v>0.8536</v>
      </c>
      <c r="BR11" s="0" t="n">
        <v>0.544</v>
      </c>
      <c r="BS11" s="0" t="n">
        <v>0.6193</v>
      </c>
      <c r="BT11" s="0" t="n">
        <v>0.4338</v>
      </c>
      <c r="BU11" s="0" t="n">
        <v>0.283</v>
      </c>
      <c r="BV11" s="0" t="n">
        <v>0.3938</v>
      </c>
      <c r="BW11" s="0" t="n">
        <v>0.397</v>
      </c>
      <c r="BX11" s="0" t="n">
        <v>0.0846</v>
      </c>
      <c r="BY11" s="0" t="n">
        <v>0.2406</v>
      </c>
      <c r="BZ11" s="0" t="n">
        <v>0.1608</v>
      </c>
      <c r="CA11" s="0" t="n">
        <v>0.2072</v>
      </c>
      <c r="CB11" s="0" t="n">
        <v>0.0783</v>
      </c>
      <c r="CC11" s="0" t="n">
        <v>0.054</v>
      </c>
      <c r="CD11" s="0" t="n">
        <v>0.0551</v>
      </c>
      <c r="CE11" s="0" t="n">
        <v>0.0752</v>
      </c>
      <c r="CF11" s="0" t="n">
        <v>0.2505</v>
      </c>
      <c r="CG11" s="0" t="n">
        <v>0.1274</v>
      </c>
      <c r="CH11" s="0" t="n">
        <v>0.0761</v>
      </c>
      <c r="CI11" s="0" t="n">
        <v>0.1051</v>
      </c>
      <c r="CJ11" s="0" t="n">
        <v>0.0244</v>
      </c>
      <c r="CK11" s="0" t="n">
        <v>0.0201</v>
      </c>
      <c r="CL11" s="0" t="n">
        <v>0.0222</v>
      </c>
      <c r="CM11" s="0" t="n">
        <v>0.1348</v>
      </c>
      <c r="CN11" s="0" t="n">
        <v>0</v>
      </c>
      <c r="CO11" s="0" t="n">
        <v>4.6949</v>
      </c>
      <c r="CP11" s="0" t="n">
        <v>6.3535</v>
      </c>
      <c r="CQ11" s="0" t="n">
        <v>14.2498</v>
      </c>
      <c r="CR11" s="0" t="n">
        <v>12.6941</v>
      </c>
      <c r="CS11" s="0" t="n">
        <v>10.0599</v>
      </c>
      <c r="CT11" s="0" t="n">
        <v>8.1012</v>
      </c>
      <c r="CU11" s="0" t="n">
        <v>8.8855</v>
      </c>
      <c r="CV11" s="0" t="n">
        <v>6.9072</v>
      </c>
      <c r="CW11" s="0" t="n">
        <v>7.3223</v>
      </c>
      <c r="CX11" s="0" t="n">
        <v>6.0976</v>
      </c>
      <c r="CY11" s="0" t="n">
        <v>6.8476</v>
      </c>
      <c r="CZ11" s="0" t="n">
        <v>6.2579</v>
      </c>
      <c r="DA11" s="0" t="n">
        <v>5.5464</v>
      </c>
      <c r="DB11" s="0" t="n">
        <v>5.1525</v>
      </c>
      <c r="DC11" s="0" t="n">
        <v>5.77</v>
      </c>
      <c r="DD11" s="0" t="n">
        <v>6.2365</v>
      </c>
      <c r="DE11" s="0" t="n">
        <v>6.3403</v>
      </c>
      <c r="DF11" s="0" t="n">
        <v>7.2529</v>
      </c>
      <c r="DG11" s="0" t="n">
        <v>8.8973</v>
      </c>
      <c r="DH11" s="0" t="n">
        <v>13.0752</v>
      </c>
      <c r="DI11" s="0" t="n">
        <v>14.4214</v>
      </c>
      <c r="DJ11" s="0" t="n">
        <v>14.6297</v>
      </c>
      <c r="DK11" s="0" t="n">
        <v>14.2873</v>
      </c>
      <c r="DL11" s="0" t="n">
        <v>13.4578</v>
      </c>
      <c r="DM11" s="0" t="n">
        <v>18.1629</v>
      </c>
      <c r="DN11" s="0" t="n">
        <v>22.3651</v>
      </c>
      <c r="DO11" s="0" t="n">
        <v>24.8046</v>
      </c>
      <c r="DP11" s="0" t="n">
        <v>23.9813</v>
      </c>
      <c r="DQ11" s="0" t="n">
        <v>25.2669</v>
      </c>
      <c r="DR11" s="0" t="n">
        <v>24.8633</v>
      </c>
      <c r="DS11" s="0" t="n">
        <v>26.1733</v>
      </c>
      <c r="DT11" s="0" t="n">
        <v>28.5998</v>
      </c>
      <c r="DU11" s="0" t="n">
        <v>27.7013</v>
      </c>
      <c r="DV11" s="0" t="n">
        <v>29.9222</v>
      </c>
      <c r="DW11" s="0" t="n">
        <v>26.1231</v>
      </c>
      <c r="DX11" s="0" t="n">
        <v>22.2306</v>
      </c>
      <c r="DY11" s="0" t="n">
        <v>16.9313</v>
      </c>
      <c r="DZ11" s="0" t="n">
        <v>16.2974</v>
      </c>
      <c r="EA11" s="0" t="n">
        <v>15.9717</v>
      </c>
      <c r="EB11" s="0" t="n">
        <v>11.8375</v>
      </c>
      <c r="EC11" s="0" t="n">
        <v>8.3282</v>
      </c>
      <c r="ED11" s="0" t="n">
        <v>8.7655</v>
      </c>
      <c r="EE11" s="0" t="n">
        <v>5.8405</v>
      </c>
      <c r="EF11" s="0" t="n">
        <v>5.0341</v>
      </c>
      <c r="EG11" s="0" t="n">
        <v>3.9113</v>
      </c>
      <c r="EH11" s="0" t="n">
        <v>3.4699</v>
      </c>
      <c r="EI11" s="0" t="n">
        <v>2.5901</v>
      </c>
      <c r="EJ11" s="0" t="n">
        <v>3.3931</v>
      </c>
      <c r="EK11" s="0" t="n">
        <v>2.7481</v>
      </c>
      <c r="EL11" s="0" t="n">
        <v>2.3038</v>
      </c>
      <c r="EM11" s="0" t="n">
        <v>1.7428</v>
      </c>
      <c r="EN11" s="0" t="n">
        <v>1.2897</v>
      </c>
      <c r="EO11" s="0" t="n">
        <v>0.9061</v>
      </c>
      <c r="EP11" s="0" t="n">
        <v>0.7674</v>
      </c>
      <c r="EQ11" s="0" t="n">
        <v>0.8739</v>
      </c>
      <c r="ER11" s="0" t="n">
        <v>0.9675</v>
      </c>
      <c r="ES11" s="0" t="n">
        <v>0.652</v>
      </c>
      <c r="ET11" s="0" t="n">
        <v>0.7862</v>
      </c>
      <c r="EU11" s="0" t="n">
        <v>0.5085</v>
      </c>
      <c r="EV11" s="0" t="n">
        <v>0.5898</v>
      </c>
      <c r="EW11" s="0" t="n">
        <v>0.4188</v>
      </c>
      <c r="EX11" s="0" t="n">
        <v>0.2779</v>
      </c>
      <c r="EY11" s="0" t="n">
        <v>0.3916</v>
      </c>
      <c r="EZ11" s="0" t="n">
        <v>0.4031</v>
      </c>
      <c r="FA11" s="0" t="n">
        <v>0.0872</v>
      </c>
      <c r="FB11" s="0" t="n">
        <v>0.252</v>
      </c>
      <c r="FC11" s="0" t="n">
        <v>0.1705</v>
      </c>
      <c r="FD11" s="0" t="n">
        <v>0.2234</v>
      </c>
      <c r="FE11" s="0" t="n">
        <v>0.0854</v>
      </c>
      <c r="FF11" s="0" t="n">
        <v>0.0598</v>
      </c>
      <c r="FG11" s="0" t="n">
        <v>0.0617</v>
      </c>
      <c r="FH11" s="0" t="n">
        <v>0.0857</v>
      </c>
      <c r="FI11" s="0" t="n">
        <v>0.2896</v>
      </c>
      <c r="FJ11" s="0" t="n">
        <v>0.1486</v>
      </c>
      <c r="FK11" s="0" t="n">
        <v>0.0902</v>
      </c>
      <c r="FL11" s="0" t="n">
        <v>0.1262</v>
      </c>
      <c r="FM11" s="0" t="n">
        <v>0.0296</v>
      </c>
      <c r="FN11" s="0" t="n">
        <v>0.0248</v>
      </c>
      <c r="FO11" s="0" t="n">
        <v>0.0277</v>
      </c>
      <c r="FP11" s="0" t="n">
        <v>0.174</v>
      </c>
    </row>
    <row r="12" customFormat="false" ht="13.8" hidden="false" customHeight="false" outlineLevel="0" collapsed="false">
      <c r="A12" s="2" t="s">
        <v>192</v>
      </c>
      <c r="B12" s="0" t="s">
        <v>176</v>
      </c>
      <c r="C12" s="0" t="n">
        <v>232</v>
      </c>
      <c r="D12" s="0" t="s">
        <v>193</v>
      </c>
      <c r="F12" s="0" t="n">
        <v>3.7361</v>
      </c>
      <c r="G12" s="0" t="n">
        <v>3422.334</v>
      </c>
      <c r="H12" s="0" t="n">
        <v>204.5562</v>
      </c>
      <c r="I12" s="0" t="n">
        <v>642.6322</v>
      </c>
      <c r="J12" s="0" t="n">
        <v>0.6112</v>
      </c>
      <c r="K12" s="0" t="n">
        <v>0</v>
      </c>
      <c r="L12" s="0" t="n">
        <v>485.2995</v>
      </c>
      <c r="M12" s="0" t="n">
        <v>589.9582</v>
      </c>
      <c r="N12" s="0" t="n">
        <v>391.0086</v>
      </c>
      <c r="O12" s="0" t="n">
        <v>0.6957</v>
      </c>
      <c r="P12" s="0" t="n">
        <v>338.5125</v>
      </c>
      <c r="Q12" s="0" t="n">
        <v>114.2993</v>
      </c>
      <c r="R12" s="0" t="n">
        <v>149.1622</v>
      </c>
      <c r="S12" s="0" t="n">
        <v>86.4309</v>
      </c>
      <c r="T12" s="0" t="n">
        <v>17.4238</v>
      </c>
      <c r="U12" s="0" t="n">
        <v>83.9934</v>
      </c>
      <c r="V12" s="0" t="n">
        <v>67.5302</v>
      </c>
      <c r="W12" s="0" t="n">
        <v>42.0356</v>
      </c>
      <c r="X12" s="0" t="n">
        <v>53.1896</v>
      </c>
      <c r="Y12" s="0" t="n">
        <v>41.3924</v>
      </c>
      <c r="Z12" s="0" t="n">
        <v>37.7218</v>
      </c>
      <c r="AA12" s="0" t="n">
        <v>24.8412</v>
      </c>
      <c r="AB12" s="0" t="n">
        <v>43.8007</v>
      </c>
      <c r="AC12" s="0" t="n">
        <v>19.3015</v>
      </c>
      <c r="AD12" s="0" t="n">
        <v>50.2133</v>
      </c>
      <c r="AE12" s="0" t="n">
        <v>29.2568</v>
      </c>
      <c r="AF12" s="0" t="n">
        <v>54.4321</v>
      </c>
      <c r="AG12" s="0" t="n">
        <v>29.9338</v>
      </c>
      <c r="AH12" s="0" t="n">
        <v>45.2461</v>
      </c>
      <c r="AI12" s="0" t="n">
        <v>66.1634</v>
      </c>
      <c r="AJ12" s="0" t="n">
        <v>13.3364</v>
      </c>
      <c r="AK12" s="0" t="n">
        <v>78.2103</v>
      </c>
      <c r="AL12" s="0" t="n">
        <v>71.1495</v>
      </c>
      <c r="AM12" s="0" t="n">
        <v>35.1053</v>
      </c>
      <c r="AN12" s="0" t="n">
        <v>25.4004</v>
      </c>
      <c r="AO12" s="0" t="n">
        <v>55.7075</v>
      </c>
      <c r="AP12" s="0" t="n">
        <v>34.3522</v>
      </c>
      <c r="AQ12" s="0" t="n">
        <v>36.2387</v>
      </c>
      <c r="AR12" s="0" t="n">
        <v>23.244</v>
      </c>
      <c r="AS12" s="0" t="n">
        <v>28.2806</v>
      </c>
      <c r="AT12" s="0" t="n">
        <v>34.2436</v>
      </c>
      <c r="AU12" s="0" t="n">
        <v>29.8976</v>
      </c>
      <c r="AV12" s="0" t="n">
        <v>0.8958</v>
      </c>
      <c r="AW12" s="0" t="n">
        <v>19.6141</v>
      </c>
      <c r="AX12" s="0" t="n">
        <v>13.7233</v>
      </c>
      <c r="AY12" s="0" t="n">
        <v>12.5721</v>
      </c>
      <c r="AZ12" s="0" t="n">
        <v>9.2797</v>
      </c>
      <c r="BA12" s="0" t="n">
        <v>6.4326</v>
      </c>
      <c r="BB12" s="0" t="n">
        <v>10.7757</v>
      </c>
      <c r="BC12" s="0" t="n">
        <v>3.5112</v>
      </c>
      <c r="BD12" s="0" t="n">
        <v>2.6786</v>
      </c>
      <c r="BE12" s="0" t="n">
        <v>2.9133</v>
      </c>
      <c r="BF12" s="0" t="n">
        <v>0.6966</v>
      </c>
      <c r="BG12" s="0" t="n">
        <v>3.0886</v>
      </c>
      <c r="BH12" s="0" t="n">
        <v>1.8481</v>
      </c>
      <c r="BI12" s="0" t="n">
        <v>0.6649</v>
      </c>
      <c r="BJ12" s="0" t="n">
        <v>1.2882</v>
      </c>
      <c r="BK12" s="0" t="n">
        <v>0.8657</v>
      </c>
      <c r="BL12" s="0" t="n">
        <v>1.3453</v>
      </c>
      <c r="BM12" s="0" t="n">
        <v>0.2015</v>
      </c>
      <c r="BN12" s="0" t="n">
        <v>0.1576</v>
      </c>
      <c r="BO12" s="0" t="n">
        <v>0</v>
      </c>
      <c r="BP12" s="0" t="n">
        <v>0.0137</v>
      </c>
      <c r="BQ12" s="0" t="n">
        <v>0</v>
      </c>
      <c r="BR12" s="0" t="n">
        <v>0</v>
      </c>
      <c r="BS12" s="0" t="n">
        <v>0.2083</v>
      </c>
      <c r="BT12" s="0" t="n">
        <v>0.3555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0.1559</v>
      </c>
      <c r="BZ12" s="0" t="n">
        <v>0.0629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0.1645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10.4093</v>
      </c>
      <c r="CP12" s="0" t="n">
        <v>25.0797</v>
      </c>
      <c r="CQ12" s="0" t="n">
        <v>23.8707</v>
      </c>
      <c r="CR12" s="0" t="n">
        <v>0.0481</v>
      </c>
      <c r="CS12" s="0" t="n">
        <v>28.1643</v>
      </c>
      <c r="CT12" s="0" t="n">
        <v>11.6092</v>
      </c>
      <c r="CU12" s="0" t="n">
        <v>17.45</v>
      </c>
      <c r="CV12" s="0" t="n">
        <v>12.0048</v>
      </c>
      <c r="CW12" s="0" t="n">
        <v>2.5192</v>
      </c>
      <c r="CX12" s="0" t="n">
        <v>13.6271</v>
      </c>
      <c r="CY12" s="0" t="n">
        <v>12.3351</v>
      </c>
      <c r="CZ12" s="0" t="n">
        <v>8.3457</v>
      </c>
      <c r="DA12" s="0" t="n">
        <v>11.197</v>
      </c>
      <c r="DB12" s="0" t="n">
        <v>9.4106</v>
      </c>
      <c r="DC12" s="0" t="n">
        <v>9.2434</v>
      </c>
      <c r="DD12" s="0" t="n">
        <v>6.366</v>
      </c>
      <c r="DE12" s="0" t="n">
        <v>12.0011</v>
      </c>
      <c r="DF12" s="0" t="n">
        <v>5.5815</v>
      </c>
      <c r="DG12" s="0" t="n">
        <v>15.2766</v>
      </c>
      <c r="DH12" s="0" t="n">
        <v>9.3942</v>
      </c>
      <c r="DI12" s="0" t="n">
        <v>18.4706</v>
      </c>
      <c r="DJ12" s="0" t="n">
        <v>10.6326</v>
      </c>
      <c r="DK12" s="0" t="n">
        <v>16.7377</v>
      </c>
      <c r="DL12" s="0" t="n">
        <v>25.7472</v>
      </c>
      <c r="DM12" s="0" t="n">
        <v>5.3146</v>
      </c>
      <c r="DN12" s="0" t="n">
        <v>32.4858</v>
      </c>
      <c r="DO12" s="0" t="n">
        <v>31.0191</v>
      </c>
      <c r="DP12" s="0" t="n">
        <v>15.936</v>
      </c>
      <c r="DQ12" s="0" t="n">
        <v>11.6789</v>
      </c>
      <c r="DR12" s="0" t="n">
        <v>26.6276</v>
      </c>
      <c r="DS12" s="0" t="n">
        <v>17.0548</v>
      </c>
      <c r="DT12" s="0" t="n">
        <v>18.5566</v>
      </c>
      <c r="DU12" s="0" t="n">
        <v>12.2394</v>
      </c>
      <c r="DV12" s="0" t="n">
        <v>15.1949</v>
      </c>
      <c r="DW12" s="0" t="n">
        <v>19.0506</v>
      </c>
      <c r="DX12" s="0" t="n">
        <v>17.2648</v>
      </c>
      <c r="DY12" s="0" t="n">
        <v>0.5307</v>
      </c>
      <c r="DZ12" s="0" t="n">
        <v>11.7451</v>
      </c>
      <c r="EA12" s="0" t="n">
        <v>8.504</v>
      </c>
      <c r="EB12" s="0" t="n">
        <v>8.037</v>
      </c>
      <c r="EC12" s="0" t="n">
        <v>6.055</v>
      </c>
      <c r="ED12" s="0" t="n">
        <v>4.268</v>
      </c>
      <c r="EE12" s="0" t="n">
        <v>7.3484</v>
      </c>
      <c r="EF12" s="0" t="n">
        <v>2.4594</v>
      </c>
      <c r="EG12" s="0" t="n">
        <v>1.9176</v>
      </c>
      <c r="EH12" s="0" t="n">
        <v>2.1346</v>
      </c>
      <c r="EI12" s="0" t="n">
        <v>0.518</v>
      </c>
      <c r="EJ12" s="0" t="n">
        <v>2.348</v>
      </c>
      <c r="EK12" s="0" t="n">
        <v>1.4433</v>
      </c>
      <c r="EL12" s="0" t="n">
        <v>0.5301</v>
      </c>
      <c r="EM12" s="0" t="n">
        <v>1.0383</v>
      </c>
      <c r="EN12" s="0" t="n">
        <v>0.7161</v>
      </c>
      <c r="EO12" s="0" t="n">
        <v>1.1335</v>
      </c>
      <c r="EP12" s="0" t="n">
        <v>0.1723</v>
      </c>
      <c r="EQ12" s="0" t="n">
        <v>0.1383</v>
      </c>
      <c r="ER12" s="0" t="n">
        <v>0</v>
      </c>
      <c r="ES12" s="0" t="n">
        <v>0.0125</v>
      </c>
      <c r="ET12" s="0" t="n">
        <v>0</v>
      </c>
      <c r="EU12" s="0" t="n">
        <v>0</v>
      </c>
      <c r="EV12" s="0" t="n">
        <v>0.2888</v>
      </c>
      <c r="EW12" s="0" t="n">
        <v>0.3451</v>
      </c>
      <c r="EX12" s="0" t="n">
        <v>0</v>
      </c>
      <c r="EY12" s="0" t="n">
        <v>0</v>
      </c>
      <c r="EZ12" s="0" t="n">
        <v>0</v>
      </c>
      <c r="FA12" s="0" t="n">
        <v>0</v>
      </c>
      <c r="FB12" s="0" t="n">
        <v>0.1617</v>
      </c>
      <c r="FC12" s="0" t="n">
        <v>0.0903</v>
      </c>
      <c r="FD12" s="0" t="n">
        <v>0</v>
      </c>
      <c r="FE12" s="0" t="n">
        <v>0</v>
      </c>
      <c r="FF12" s="0" t="n">
        <v>0</v>
      </c>
      <c r="FG12" s="0" t="n">
        <v>0</v>
      </c>
      <c r="FH12" s="0" t="n">
        <v>0.1868</v>
      </c>
      <c r="FI12" s="0" t="n">
        <v>0</v>
      </c>
      <c r="FJ12" s="0" t="n">
        <v>0</v>
      </c>
      <c r="FK12" s="0" t="n">
        <v>0</v>
      </c>
      <c r="FL12" s="0" t="n">
        <v>0</v>
      </c>
      <c r="FM12" s="0" t="n">
        <v>0</v>
      </c>
      <c r="FN12" s="0" t="n">
        <v>0</v>
      </c>
      <c r="FO12" s="0" t="n">
        <v>0</v>
      </c>
      <c r="FP12" s="0" t="n">
        <v>0</v>
      </c>
    </row>
    <row r="13" customFormat="false" ht="13.8" hidden="false" customHeight="false" outlineLevel="0" collapsed="false">
      <c r="A13" s="2" t="s">
        <v>194</v>
      </c>
      <c r="B13" s="0" t="s">
        <v>176</v>
      </c>
      <c r="C13" s="0" t="n">
        <v>290</v>
      </c>
      <c r="D13" s="0" t="s">
        <v>195</v>
      </c>
      <c r="G13" s="0" t="n">
        <v>4310.778</v>
      </c>
      <c r="H13" s="0" t="n">
        <v>204.2557</v>
      </c>
      <c r="I13" s="0" t="n">
        <v>641.688</v>
      </c>
      <c r="J13" s="0" t="n">
        <v>0.48185</v>
      </c>
      <c r="K13" s="0" t="n">
        <v>0.0452</v>
      </c>
      <c r="L13" s="0" t="n">
        <v>484.5817</v>
      </c>
      <c r="M13" s="0" t="n">
        <v>496.6873</v>
      </c>
      <c r="N13" s="0" t="n">
        <v>798.946</v>
      </c>
      <c r="O13" s="0" t="n">
        <v>561.5307</v>
      </c>
      <c r="P13" s="0" t="n">
        <v>344.8129</v>
      </c>
      <c r="Q13" s="0" t="n">
        <v>212.0202</v>
      </c>
      <c r="R13" s="0" t="n">
        <v>179.0519</v>
      </c>
      <c r="S13" s="0" t="n">
        <v>95.2503</v>
      </c>
      <c r="T13" s="0" t="n">
        <v>81.4573</v>
      </c>
      <c r="U13" s="0" t="n">
        <v>66.6244</v>
      </c>
      <c r="V13" s="0" t="n">
        <v>58.3537</v>
      </c>
      <c r="W13" s="0" t="n">
        <v>47.2475</v>
      </c>
      <c r="X13" s="0" t="n">
        <v>49.0332</v>
      </c>
      <c r="Y13" s="0" t="n">
        <v>41.7036</v>
      </c>
      <c r="Z13" s="0" t="n">
        <v>32.9567</v>
      </c>
      <c r="AA13" s="0" t="n">
        <v>35.1936</v>
      </c>
      <c r="AB13" s="0" t="n">
        <v>30.4989</v>
      </c>
      <c r="AC13" s="0" t="n">
        <v>32.6431</v>
      </c>
      <c r="AD13" s="0" t="n">
        <v>32.7051</v>
      </c>
      <c r="AE13" s="0" t="n">
        <v>29.2356</v>
      </c>
      <c r="AF13" s="0" t="n">
        <v>33.1409</v>
      </c>
      <c r="AG13" s="0" t="n">
        <v>35.6725</v>
      </c>
      <c r="AH13" s="0" t="n">
        <v>35.4535</v>
      </c>
      <c r="AI13" s="0" t="n">
        <v>33.5038</v>
      </c>
      <c r="AJ13" s="0" t="n">
        <v>30.4718</v>
      </c>
      <c r="AK13" s="0" t="n">
        <v>38.5387</v>
      </c>
      <c r="AL13" s="0" t="n">
        <v>40.771</v>
      </c>
      <c r="AM13" s="0" t="n">
        <v>37.4577</v>
      </c>
      <c r="AN13" s="0" t="n">
        <v>39.6455</v>
      </c>
      <c r="AO13" s="0" t="n">
        <v>46.9296</v>
      </c>
      <c r="AP13" s="0" t="n">
        <v>37.2984</v>
      </c>
      <c r="AQ13" s="0" t="n">
        <v>33.3911</v>
      </c>
      <c r="AR13" s="0" t="n">
        <v>26.666</v>
      </c>
      <c r="AS13" s="0" t="n">
        <v>22.8749</v>
      </c>
      <c r="AT13" s="0" t="n">
        <v>17.9082</v>
      </c>
      <c r="AU13" s="0" t="n">
        <v>17.9568</v>
      </c>
      <c r="AV13" s="0" t="n">
        <v>12.1366</v>
      </c>
      <c r="AW13" s="0" t="n">
        <v>9.167</v>
      </c>
      <c r="AX13" s="0" t="n">
        <v>8.0799</v>
      </c>
      <c r="AY13" s="0" t="n">
        <v>6.9863</v>
      </c>
      <c r="AZ13" s="0" t="n">
        <v>6.8909</v>
      </c>
      <c r="BA13" s="0" t="n">
        <v>4.2758</v>
      </c>
      <c r="BB13" s="0" t="n">
        <v>3.0199</v>
      </c>
      <c r="BC13" s="0" t="n">
        <v>2.7586</v>
      </c>
      <c r="BD13" s="0" t="n">
        <v>2.6879</v>
      </c>
      <c r="BE13" s="0" t="n">
        <v>3.1548</v>
      </c>
      <c r="BF13" s="0" t="n">
        <v>1.4511</v>
      </c>
      <c r="BG13" s="0" t="n">
        <v>2.0734</v>
      </c>
      <c r="BH13" s="0" t="n">
        <v>1.6598</v>
      </c>
      <c r="BI13" s="0" t="n">
        <v>1.0676</v>
      </c>
      <c r="BJ13" s="0" t="n">
        <v>1.1135</v>
      </c>
      <c r="BK13" s="0" t="n">
        <v>0.5477</v>
      </c>
      <c r="BL13" s="0" t="n">
        <v>0.3809</v>
      </c>
      <c r="BM13" s="0" t="n">
        <v>0.3775</v>
      </c>
      <c r="BN13" s="0" t="n">
        <v>0.284</v>
      </c>
      <c r="BO13" s="0" t="n">
        <v>0.2296</v>
      </c>
      <c r="BP13" s="0" t="n">
        <v>0.1636</v>
      </c>
      <c r="BQ13" s="0" t="n">
        <v>0.0491</v>
      </c>
      <c r="BR13" s="0" t="n">
        <v>0.0999</v>
      </c>
      <c r="BS13" s="0" t="n">
        <v>0.0765</v>
      </c>
      <c r="BT13" s="0" t="n">
        <v>0.0654</v>
      </c>
      <c r="BU13" s="0" t="n">
        <v>0.0829</v>
      </c>
      <c r="BV13" s="0" t="n">
        <v>0.1209</v>
      </c>
      <c r="BW13" s="0" t="n">
        <v>0.0655</v>
      </c>
      <c r="BX13" s="0" t="n">
        <v>0.1531</v>
      </c>
      <c r="BY13" s="0" t="n">
        <v>0</v>
      </c>
      <c r="BZ13" s="0" t="n">
        <v>0.0296</v>
      </c>
      <c r="CA13" s="0" t="n">
        <v>0</v>
      </c>
      <c r="CB13" s="0" t="n">
        <v>0.075</v>
      </c>
      <c r="CC13" s="0" t="n">
        <v>0.0415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0.1806</v>
      </c>
      <c r="CN13" s="0" t="n">
        <v>0.0006</v>
      </c>
      <c r="CO13" s="0" t="n">
        <v>12.6554</v>
      </c>
      <c r="CP13" s="0" t="n">
        <v>19.6336</v>
      </c>
      <c r="CQ13" s="0" t="n">
        <v>43.9495</v>
      </c>
      <c r="CR13" s="0" t="n">
        <v>38.9695</v>
      </c>
      <c r="CS13" s="0" t="n">
        <v>29.5024</v>
      </c>
      <c r="CT13" s="0" t="n">
        <v>21.5518</v>
      </c>
      <c r="CU13" s="0" t="n">
        <v>21.0158</v>
      </c>
      <c r="CV13" s="0" t="n">
        <v>12.7188</v>
      </c>
      <c r="CW13" s="0" t="n">
        <v>12.1233</v>
      </c>
      <c r="CX13" s="0" t="n">
        <v>10.9779</v>
      </c>
      <c r="CY13" s="0" t="n">
        <v>10.5535</v>
      </c>
      <c r="CZ13" s="0" t="n">
        <v>9.2723</v>
      </c>
      <c r="DA13" s="0" t="n">
        <v>10.3844</v>
      </c>
      <c r="DB13" s="0" t="n">
        <v>9.4898</v>
      </c>
      <c r="DC13" s="0" t="n">
        <v>8.0379</v>
      </c>
      <c r="DD13" s="0" t="n">
        <v>9.1172</v>
      </c>
      <c r="DE13" s="0" t="n">
        <v>8.378</v>
      </c>
      <c r="DF13" s="0" t="n">
        <v>9.4959</v>
      </c>
      <c r="DG13" s="0" t="n">
        <v>10.0162</v>
      </c>
      <c r="DH13" s="0" t="n">
        <v>9.3915</v>
      </c>
      <c r="DI13" s="0" t="n">
        <v>11.199</v>
      </c>
      <c r="DJ13" s="0" t="n">
        <v>12.6104</v>
      </c>
      <c r="DK13" s="0" t="n">
        <v>13.0822</v>
      </c>
      <c r="DL13" s="0" t="n">
        <v>12.9012</v>
      </c>
      <c r="DM13" s="0" t="n">
        <v>12.1907</v>
      </c>
      <c r="DN13" s="0" t="n">
        <v>16.0476</v>
      </c>
      <c r="DO13" s="0" t="n">
        <v>17.6329</v>
      </c>
      <c r="DP13" s="0" t="n">
        <v>16.7726</v>
      </c>
      <c r="DQ13" s="0" t="n">
        <v>18.3568</v>
      </c>
      <c r="DR13" s="0" t="n">
        <v>22.4796</v>
      </c>
      <c r="DS13" s="0" t="n">
        <v>18.4563</v>
      </c>
      <c r="DT13" s="0" t="n">
        <v>17.0733</v>
      </c>
      <c r="DU13" s="0" t="n">
        <v>14.0155</v>
      </c>
      <c r="DV13" s="0" t="n">
        <v>12.3835</v>
      </c>
      <c r="DW13" s="0" t="n">
        <v>9.9768</v>
      </c>
      <c r="DX13" s="0" t="n">
        <v>10.2944</v>
      </c>
      <c r="DY13" s="0" t="n">
        <v>7.1454</v>
      </c>
      <c r="DZ13" s="0" t="n">
        <v>5.5394</v>
      </c>
      <c r="EA13" s="0" t="n">
        <v>5.0115</v>
      </c>
      <c r="EB13" s="0" t="n">
        <v>4.4492</v>
      </c>
      <c r="EC13" s="0" t="n">
        <v>4.4906</v>
      </c>
      <c r="ED13" s="0" t="n">
        <v>2.8538</v>
      </c>
      <c r="EE13" s="0" t="n">
        <v>2.0614</v>
      </c>
      <c r="EF13" s="0" t="n">
        <v>1.9281</v>
      </c>
      <c r="EG13" s="0" t="n">
        <v>1.9179</v>
      </c>
      <c r="EH13" s="0" t="n">
        <v>2.2996</v>
      </c>
      <c r="EI13" s="0" t="n">
        <v>1.0832</v>
      </c>
      <c r="EJ13" s="0" t="n">
        <v>1.5811</v>
      </c>
      <c r="EK13" s="0" t="n">
        <v>1.2913</v>
      </c>
      <c r="EL13" s="0" t="n">
        <v>0.8474</v>
      </c>
      <c r="EM13" s="0" t="n">
        <v>0.8988</v>
      </c>
      <c r="EN13" s="0" t="n">
        <v>0.4508</v>
      </c>
      <c r="EO13" s="0" t="n">
        <v>0.3183</v>
      </c>
      <c r="EP13" s="0" t="n">
        <v>0.323</v>
      </c>
      <c r="EQ13" s="0" t="n">
        <v>0.2464</v>
      </c>
      <c r="ER13" s="0" t="n">
        <v>0.2026</v>
      </c>
      <c r="ES13" s="0" t="n">
        <v>0.1483</v>
      </c>
      <c r="ET13" s="0" t="n">
        <v>0.0452</v>
      </c>
      <c r="EU13" s="0" t="n">
        <v>0.0937</v>
      </c>
      <c r="EV13" s="0" t="n">
        <v>0.0731</v>
      </c>
      <c r="EW13" s="0" t="n">
        <v>0.0628</v>
      </c>
      <c r="EX13" s="0" t="n">
        <v>0.081</v>
      </c>
      <c r="EY13" s="0" t="n">
        <v>0.1209</v>
      </c>
      <c r="EZ13" s="0" t="n">
        <v>0.0661</v>
      </c>
      <c r="FA13" s="0" t="n">
        <v>0.1577</v>
      </c>
      <c r="FB13" s="0" t="n">
        <v>0</v>
      </c>
      <c r="FC13" s="0" t="n">
        <v>0.0315</v>
      </c>
      <c r="FD13" s="0" t="n">
        <v>0</v>
      </c>
      <c r="FE13" s="0" t="n">
        <v>0.0813</v>
      </c>
      <c r="FF13" s="0" t="n">
        <v>0.0458</v>
      </c>
      <c r="FG13" s="0" t="n">
        <v>0</v>
      </c>
      <c r="FH13" s="0" t="n">
        <v>0</v>
      </c>
      <c r="FI13" s="0" t="n">
        <v>0</v>
      </c>
      <c r="FJ13" s="0" t="n">
        <v>0</v>
      </c>
      <c r="FK13" s="0" t="n">
        <v>0</v>
      </c>
      <c r="FL13" s="0" t="n">
        <v>0</v>
      </c>
      <c r="FM13" s="0" t="n">
        <v>0</v>
      </c>
      <c r="FN13" s="0" t="n">
        <v>0</v>
      </c>
      <c r="FO13" s="0" t="n">
        <v>0</v>
      </c>
      <c r="FP13" s="0" t="n">
        <v>0.2365</v>
      </c>
    </row>
    <row r="14" customFormat="false" ht="13.8" hidden="false" customHeight="false" outlineLevel="0" collapsed="false">
      <c r="A14" s="2" t="s">
        <v>196</v>
      </c>
      <c r="B14" s="0" t="s">
        <v>173</v>
      </c>
      <c r="C14" s="0" t="n">
        <v>71</v>
      </c>
      <c r="D14" s="0" t="s">
        <v>197</v>
      </c>
      <c r="G14" s="0" t="n">
        <v>2770.7851</v>
      </c>
      <c r="H14" s="0" t="n">
        <v>179.4354</v>
      </c>
      <c r="I14" s="0" t="n">
        <v>563.7129</v>
      </c>
      <c r="J14" s="0" t="n">
        <v>0.6406</v>
      </c>
      <c r="K14" s="0" t="n">
        <v>0.0231</v>
      </c>
      <c r="L14" s="0" t="n">
        <v>312.4906</v>
      </c>
      <c r="M14" s="0" t="n">
        <v>304.5197</v>
      </c>
      <c r="N14" s="0" t="n">
        <v>372.789</v>
      </c>
      <c r="O14" s="0" t="n">
        <v>279.5538</v>
      </c>
      <c r="P14" s="0" t="n">
        <v>187.9168</v>
      </c>
      <c r="Q14" s="0" t="n">
        <v>112.1812</v>
      </c>
      <c r="R14" s="0" t="n">
        <v>112.7161</v>
      </c>
      <c r="S14" s="0" t="n">
        <v>61.8261</v>
      </c>
      <c r="T14" s="0" t="n">
        <v>55.6948</v>
      </c>
      <c r="U14" s="0" t="n">
        <v>43.2795</v>
      </c>
      <c r="V14" s="0" t="n">
        <v>42.0038</v>
      </c>
      <c r="W14" s="0" t="n">
        <v>41.4886</v>
      </c>
      <c r="X14" s="0" t="n">
        <v>47.443</v>
      </c>
      <c r="Y14" s="0" t="n">
        <v>36.3575</v>
      </c>
      <c r="Z14" s="0" t="n">
        <v>33.1078</v>
      </c>
      <c r="AA14" s="0" t="n">
        <v>26.1974</v>
      </c>
      <c r="AB14" s="0" t="n">
        <v>27.7842</v>
      </c>
      <c r="AC14" s="0" t="n">
        <v>28.5826</v>
      </c>
      <c r="AD14" s="0" t="n">
        <v>23.3459</v>
      </c>
      <c r="AE14" s="0" t="n">
        <v>25.3366</v>
      </c>
      <c r="AF14" s="0" t="n">
        <v>17.5555</v>
      </c>
      <c r="AG14" s="0" t="n">
        <v>16.3311</v>
      </c>
      <c r="AH14" s="0" t="n">
        <v>15.9775</v>
      </c>
      <c r="AI14" s="0" t="n">
        <v>15.7845</v>
      </c>
      <c r="AJ14" s="0" t="n">
        <v>16.8689</v>
      </c>
      <c r="AK14" s="0" t="n">
        <v>22.193</v>
      </c>
      <c r="AL14" s="0" t="n">
        <v>22.9739</v>
      </c>
      <c r="AM14" s="0" t="n">
        <v>23.8427</v>
      </c>
      <c r="AN14" s="0" t="n">
        <v>21.5964</v>
      </c>
      <c r="AO14" s="0" t="n">
        <v>25.3808</v>
      </c>
      <c r="AP14" s="0" t="n">
        <v>26.9178</v>
      </c>
      <c r="AQ14" s="0" t="n">
        <v>23.2278</v>
      </c>
      <c r="AR14" s="0" t="n">
        <v>27.1303</v>
      </c>
      <c r="AS14" s="0" t="n">
        <v>31.3453</v>
      </c>
      <c r="AT14" s="0" t="n">
        <v>32.5353</v>
      </c>
      <c r="AU14" s="0" t="n">
        <v>29.4322</v>
      </c>
      <c r="AV14" s="0" t="n">
        <v>24.7366</v>
      </c>
      <c r="AW14" s="0" t="n">
        <v>26.0718</v>
      </c>
      <c r="AX14" s="0" t="n">
        <v>22.6104</v>
      </c>
      <c r="AY14" s="0" t="n">
        <v>25.2651</v>
      </c>
      <c r="AZ14" s="0" t="n">
        <v>19.3839</v>
      </c>
      <c r="BA14" s="0" t="n">
        <v>18.0497</v>
      </c>
      <c r="BB14" s="0" t="n">
        <v>14.632</v>
      </c>
      <c r="BC14" s="0" t="n">
        <v>15.2192</v>
      </c>
      <c r="BD14" s="0" t="n">
        <v>15.9583</v>
      </c>
      <c r="BE14" s="0" t="n">
        <v>8.4801</v>
      </c>
      <c r="BF14" s="0" t="n">
        <v>7.7875</v>
      </c>
      <c r="BG14" s="0" t="n">
        <v>8.0727</v>
      </c>
      <c r="BH14" s="0" t="n">
        <v>3.9867</v>
      </c>
      <c r="BI14" s="0" t="n">
        <v>2.1008</v>
      </c>
      <c r="BJ14" s="0" t="n">
        <v>2.5797</v>
      </c>
      <c r="BK14" s="0" t="n">
        <v>1.8654</v>
      </c>
      <c r="BL14" s="0" t="n">
        <v>2.121</v>
      </c>
      <c r="BM14" s="0" t="n">
        <v>1.1713</v>
      </c>
      <c r="BN14" s="0" t="n">
        <v>1.3854</v>
      </c>
      <c r="BO14" s="0" t="n">
        <v>0.8517</v>
      </c>
      <c r="BP14" s="0" t="n">
        <v>1.0952</v>
      </c>
      <c r="BQ14" s="0" t="n">
        <v>0.1489</v>
      </c>
      <c r="BR14" s="0" t="n">
        <v>0.1706</v>
      </c>
      <c r="BS14" s="0" t="n">
        <v>0.3981</v>
      </c>
      <c r="BT14" s="0" t="n">
        <v>0.0856</v>
      </c>
      <c r="BU14" s="0" t="n">
        <v>0.2576</v>
      </c>
      <c r="BV14" s="0" t="n">
        <v>0.159</v>
      </c>
      <c r="BW14" s="0" t="n">
        <v>0.038</v>
      </c>
      <c r="BX14" s="0" t="n">
        <v>0.0872</v>
      </c>
      <c r="BY14" s="0" t="n">
        <v>0.0296</v>
      </c>
      <c r="BZ14" s="0" t="n">
        <v>0.0518</v>
      </c>
      <c r="CA14" s="0" t="n">
        <v>0</v>
      </c>
      <c r="CB14" s="0" t="n">
        <v>0.284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0.065</v>
      </c>
      <c r="CH14" s="0" t="n">
        <v>0.0475</v>
      </c>
      <c r="CI14" s="0" t="n">
        <v>0</v>
      </c>
      <c r="CJ14" s="0" t="n">
        <v>0.1077</v>
      </c>
      <c r="CK14" s="0" t="n">
        <v>0</v>
      </c>
      <c r="CL14" s="0" t="n">
        <v>0</v>
      </c>
      <c r="CM14" s="0" t="n">
        <v>0.0586</v>
      </c>
      <c r="CN14" s="0" t="n">
        <v>0.0002</v>
      </c>
      <c r="CO14" s="0" t="n">
        <v>8.0391</v>
      </c>
      <c r="CP14" s="0" t="n">
        <v>12.0462</v>
      </c>
      <c r="CQ14" s="0" t="n">
        <v>20.5282</v>
      </c>
      <c r="CR14" s="0" t="n">
        <v>19.4624</v>
      </c>
      <c r="CS14" s="0" t="n">
        <v>16.096</v>
      </c>
      <c r="CT14" s="0" t="n">
        <v>11.4342</v>
      </c>
      <c r="CU14" s="0" t="n">
        <v>13.2301</v>
      </c>
      <c r="CV14" s="0" t="n">
        <v>8.2462</v>
      </c>
      <c r="CW14" s="0" t="n">
        <v>8.3012</v>
      </c>
      <c r="CX14" s="0" t="n">
        <v>7.1099</v>
      </c>
      <c r="CY14" s="0" t="n">
        <v>7.6157</v>
      </c>
      <c r="CZ14" s="0" t="n">
        <v>8.1277</v>
      </c>
      <c r="DA14" s="0" t="n">
        <v>10.0803</v>
      </c>
      <c r="DB14" s="0" t="n">
        <v>8.2695</v>
      </c>
      <c r="DC14" s="0" t="n">
        <v>8.0668</v>
      </c>
      <c r="DD14" s="0" t="n">
        <v>6.7805</v>
      </c>
      <c r="DE14" s="0" t="n">
        <v>7.6329</v>
      </c>
      <c r="DF14" s="0" t="n">
        <v>8.3114</v>
      </c>
      <c r="DG14" s="0" t="n">
        <v>7.1481</v>
      </c>
      <c r="DH14" s="0" t="n">
        <v>8.1535</v>
      </c>
      <c r="DI14" s="0" t="n">
        <v>5.9329</v>
      </c>
      <c r="DJ14" s="0" t="n">
        <v>5.7579</v>
      </c>
      <c r="DK14" s="0" t="n">
        <v>5.8983</v>
      </c>
      <c r="DL14" s="0" t="n">
        <v>6.0827</v>
      </c>
      <c r="DM14" s="0" t="n">
        <v>6.7628</v>
      </c>
      <c r="DN14" s="0" t="n">
        <v>9.2555</v>
      </c>
      <c r="DO14" s="0" t="n">
        <v>9.9381</v>
      </c>
      <c r="DP14" s="0" t="n">
        <v>10.6572</v>
      </c>
      <c r="DQ14" s="0" t="n">
        <v>9.9877</v>
      </c>
      <c r="DR14" s="0" t="n">
        <v>12.1554</v>
      </c>
      <c r="DS14" s="0" t="n">
        <v>13.3331</v>
      </c>
      <c r="DT14" s="0" t="n">
        <v>11.8657</v>
      </c>
      <c r="DU14" s="0" t="n">
        <v>14.3033</v>
      </c>
      <c r="DV14" s="0" t="n">
        <v>16.9822</v>
      </c>
      <c r="DW14" s="0" t="n">
        <v>18.1267</v>
      </c>
      <c r="DX14" s="0" t="n">
        <v>16.8918</v>
      </c>
      <c r="DY14" s="0" t="n">
        <v>14.5589</v>
      </c>
      <c r="DZ14" s="0" t="n">
        <v>15.7665</v>
      </c>
      <c r="EA14" s="0" t="n">
        <v>14.0129</v>
      </c>
      <c r="EB14" s="0" t="n">
        <v>16.0996</v>
      </c>
      <c r="EC14" s="0" t="n">
        <v>12.6247</v>
      </c>
      <c r="ED14" s="0" t="n">
        <v>12.0416</v>
      </c>
      <c r="EE14" s="0" t="n">
        <v>9.9891</v>
      </c>
      <c r="EF14" s="0" t="n">
        <v>10.6417</v>
      </c>
      <c r="EG14" s="0" t="n">
        <v>11.4109</v>
      </c>
      <c r="EH14" s="0" t="n">
        <v>6.1861</v>
      </c>
      <c r="EI14" s="0" t="n">
        <v>5.8087</v>
      </c>
      <c r="EJ14" s="0" t="n">
        <v>6.1382</v>
      </c>
      <c r="EK14" s="0" t="n">
        <v>3.0999</v>
      </c>
      <c r="EL14" s="0" t="n">
        <v>1.6637</v>
      </c>
      <c r="EM14" s="0" t="n">
        <v>2.0877</v>
      </c>
      <c r="EN14" s="0" t="n">
        <v>1.5344</v>
      </c>
      <c r="EO14" s="0" t="n">
        <v>1.7817</v>
      </c>
      <c r="EP14" s="0" t="n">
        <v>1.0012</v>
      </c>
      <c r="EQ14" s="0" t="n">
        <v>1.2053</v>
      </c>
      <c r="ER14" s="0" t="n">
        <v>0.7533</v>
      </c>
      <c r="ES14" s="0" t="n">
        <v>0.9894</v>
      </c>
      <c r="ET14" s="0" t="n">
        <v>0.1361</v>
      </c>
      <c r="EU14" s="0" t="n">
        <v>0.1588</v>
      </c>
      <c r="EV14" s="0" t="n">
        <v>0.3794</v>
      </c>
      <c r="EW14" s="0" t="n">
        <v>0.0822</v>
      </c>
      <c r="EX14" s="0" t="n">
        <v>0.2537</v>
      </c>
      <c r="EY14" s="0" t="n">
        <v>0.1586</v>
      </c>
      <c r="EZ14" s="0" t="n">
        <v>0.0385</v>
      </c>
      <c r="FA14" s="0" t="n">
        <v>0.0901</v>
      </c>
      <c r="FB14" s="0" t="n">
        <v>0.0307</v>
      </c>
      <c r="FC14" s="0" t="n">
        <v>0.0553</v>
      </c>
      <c r="FD14" s="0" t="n">
        <v>0</v>
      </c>
      <c r="FE14" s="0" t="n">
        <v>0.3095</v>
      </c>
      <c r="FF14" s="0" t="n">
        <v>0</v>
      </c>
      <c r="FG14" s="0" t="n">
        <v>0</v>
      </c>
      <c r="FH14" s="0" t="n">
        <v>0</v>
      </c>
      <c r="FI14" s="0" t="n">
        <v>0</v>
      </c>
      <c r="FJ14" s="0" t="n">
        <v>0.0764</v>
      </c>
      <c r="FK14" s="0" t="n">
        <v>0.0565</v>
      </c>
      <c r="FL14" s="0" t="n">
        <v>0</v>
      </c>
      <c r="FM14" s="0" t="n">
        <v>0.1307</v>
      </c>
      <c r="FN14" s="0" t="n">
        <v>0</v>
      </c>
      <c r="FO14" s="0" t="n">
        <v>0</v>
      </c>
      <c r="FP14" s="0" t="n">
        <v>0.0772</v>
      </c>
    </row>
    <row r="15" customFormat="false" ht="13.8" hidden="false" customHeight="false" outlineLevel="0" collapsed="false">
      <c r="A15" s="2" t="s">
        <v>198</v>
      </c>
      <c r="B15" s="0" t="s">
        <v>199</v>
      </c>
      <c r="C15" s="0" t="s">
        <v>200</v>
      </c>
      <c r="D15" s="0" t="s">
        <v>201</v>
      </c>
      <c r="G15" s="0" t="n">
        <v>1936.9365</v>
      </c>
      <c r="H15" s="0" t="n">
        <v>221.9747</v>
      </c>
      <c r="I15" s="0" t="n">
        <v>697.3541</v>
      </c>
      <c r="J15" s="0" t="n">
        <v>1.1499</v>
      </c>
      <c r="K15" s="0" t="n">
        <v>0.1111</v>
      </c>
      <c r="L15" s="0" t="n">
        <v>14.6172</v>
      </c>
      <c r="M15" s="0" t="n">
        <v>21.2723</v>
      </c>
      <c r="N15" s="0" t="n">
        <v>64.4091</v>
      </c>
      <c r="O15" s="0" t="n">
        <v>76.2393</v>
      </c>
      <c r="P15" s="0" t="n">
        <v>81.9768</v>
      </c>
      <c r="Q15" s="0" t="n">
        <v>135.345</v>
      </c>
      <c r="R15" s="0" t="n">
        <v>84.3346</v>
      </c>
      <c r="S15" s="0" t="n">
        <v>83.1017</v>
      </c>
      <c r="T15" s="0" t="n">
        <v>75.0063</v>
      </c>
      <c r="U15" s="0" t="n">
        <v>95.3265</v>
      </c>
      <c r="V15" s="0" t="n">
        <v>43.1979</v>
      </c>
      <c r="W15" s="0" t="n">
        <v>79.5887</v>
      </c>
      <c r="X15" s="0" t="n">
        <v>59.0014</v>
      </c>
      <c r="Y15" s="0" t="n">
        <v>41.1745</v>
      </c>
      <c r="Z15" s="0" t="n">
        <v>46.0106</v>
      </c>
      <c r="AA15" s="0" t="n">
        <v>55.0691</v>
      </c>
      <c r="AB15" s="0" t="n">
        <v>54.1168</v>
      </c>
      <c r="AC15" s="0" t="n">
        <v>35.3027</v>
      </c>
      <c r="AD15" s="0" t="n">
        <v>43.0124</v>
      </c>
      <c r="AE15" s="0" t="n">
        <v>34.3551</v>
      </c>
      <c r="AF15" s="0" t="n">
        <v>39.1824</v>
      </c>
      <c r="AG15" s="0" t="n">
        <v>19.4447</v>
      </c>
      <c r="AH15" s="0" t="n">
        <v>28.3776</v>
      </c>
      <c r="AI15" s="0" t="n">
        <v>37.2003</v>
      </c>
      <c r="AJ15" s="0" t="n">
        <v>18.9553</v>
      </c>
      <c r="AK15" s="0" t="n">
        <v>26.2478</v>
      </c>
      <c r="AL15" s="0" t="n">
        <v>19.3617</v>
      </c>
      <c r="AM15" s="0" t="n">
        <v>17.6934</v>
      </c>
      <c r="AN15" s="0" t="n">
        <v>20.9927</v>
      </c>
      <c r="AO15" s="0" t="n">
        <v>23.1037</v>
      </c>
      <c r="AP15" s="0" t="n">
        <v>20.2925</v>
      </c>
      <c r="AQ15" s="0" t="n">
        <v>24.097</v>
      </c>
      <c r="AR15" s="0" t="n">
        <v>23.6183</v>
      </c>
      <c r="AS15" s="0" t="n">
        <v>20.497</v>
      </c>
      <c r="AT15" s="0" t="n">
        <v>31.1848</v>
      </c>
      <c r="AU15" s="0" t="n">
        <v>26.2489</v>
      </c>
      <c r="AV15" s="0" t="n">
        <v>17.1938</v>
      </c>
      <c r="AW15" s="0" t="n">
        <v>17.3005</v>
      </c>
      <c r="AX15" s="0" t="n">
        <v>30.7346</v>
      </c>
      <c r="AY15" s="0" t="n">
        <v>15.664</v>
      </c>
      <c r="AZ15" s="0" t="n">
        <v>23.6084</v>
      </c>
      <c r="BA15" s="0" t="n">
        <v>12.3272</v>
      </c>
      <c r="BB15" s="0" t="n">
        <v>23.6688</v>
      </c>
      <c r="BC15" s="0" t="n">
        <v>21.1518</v>
      </c>
      <c r="BD15" s="0" t="n">
        <v>17.4353</v>
      </c>
      <c r="BE15" s="0" t="n">
        <v>15.7968</v>
      </c>
      <c r="BF15" s="0" t="n">
        <v>12.0135</v>
      </c>
      <c r="BG15" s="0" t="n">
        <v>13.4834</v>
      </c>
      <c r="BH15" s="0" t="n">
        <v>12.5614</v>
      </c>
      <c r="BI15" s="0" t="n">
        <v>9.7666</v>
      </c>
      <c r="BJ15" s="0" t="n">
        <v>8.2835</v>
      </c>
      <c r="BK15" s="0" t="n">
        <v>9.9612</v>
      </c>
      <c r="BL15" s="0" t="n">
        <v>6.6415</v>
      </c>
      <c r="BM15" s="0" t="n">
        <v>7.7735</v>
      </c>
      <c r="BN15" s="0" t="n">
        <v>4.6185</v>
      </c>
      <c r="BO15" s="0" t="n">
        <v>6.1699</v>
      </c>
      <c r="BP15" s="0" t="n">
        <v>3.4341</v>
      </c>
      <c r="BQ15" s="0" t="n">
        <v>3.3476</v>
      </c>
      <c r="BR15" s="0" t="n">
        <v>1.6911</v>
      </c>
      <c r="BS15" s="0" t="n">
        <v>4.2024</v>
      </c>
      <c r="BT15" s="0" t="n">
        <v>1.9494</v>
      </c>
      <c r="BU15" s="0" t="n">
        <v>1.6976</v>
      </c>
      <c r="BV15" s="0" t="n">
        <v>2.5058</v>
      </c>
      <c r="BW15" s="0" t="n">
        <v>2.2714</v>
      </c>
      <c r="BX15" s="0" t="n">
        <v>1.0738</v>
      </c>
      <c r="BY15" s="0" t="n">
        <v>0.7039</v>
      </c>
      <c r="BZ15" s="0" t="n">
        <v>1.0512</v>
      </c>
      <c r="CA15" s="0" t="n">
        <v>0.9743</v>
      </c>
      <c r="CB15" s="0" t="n">
        <v>0.1798</v>
      </c>
      <c r="CC15" s="0" t="n">
        <v>1.0646</v>
      </c>
      <c r="CD15" s="0" t="n">
        <v>1.0619</v>
      </c>
      <c r="CE15" s="0" t="n">
        <v>0.7733</v>
      </c>
      <c r="CF15" s="0" t="n">
        <v>0.4024</v>
      </c>
      <c r="CG15" s="0" t="n">
        <v>0.2141</v>
      </c>
      <c r="CH15" s="0" t="n">
        <v>0.2869</v>
      </c>
      <c r="CI15" s="0" t="n">
        <v>0.2394</v>
      </c>
      <c r="CJ15" s="0" t="n">
        <v>0.376</v>
      </c>
      <c r="CK15" s="0" t="n">
        <v>0.2015</v>
      </c>
      <c r="CL15" s="0" t="n">
        <v>0.1396</v>
      </c>
      <c r="CM15" s="0" t="n">
        <v>1.8728</v>
      </c>
      <c r="CN15" s="0" t="n">
        <v>0.0014</v>
      </c>
      <c r="CO15" s="0" t="n">
        <v>0.386</v>
      </c>
      <c r="CP15" s="0" t="n">
        <v>0.8384</v>
      </c>
      <c r="CQ15" s="0" t="n">
        <v>3.6098</v>
      </c>
      <c r="CR15" s="0" t="n">
        <v>5.5074</v>
      </c>
      <c r="CS15" s="0" t="n">
        <v>7.0401</v>
      </c>
      <c r="CT15" s="0" t="n">
        <v>13.6984</v>
      </c>
      <c r="CU15" s="0" t="n">
        <v>10.0183</v>
      </c>
      <c r="CV15" s="0" t="n">
        <v>11.0685</v>
      </c>
      <c r="CW15" s="0" t="n">
        <v>11.0038</v>
      </c>
      <c r="CX15" s="0" t="n">
        <v>15.8374</v>
      </c>
      <c r="CY15" s="0" t="n">
        <v>7.8604</v>
      </c>
      <c r="CZ15" s="0" t="n">
        <v>15.5588</v>
      </c>
      <c r="DA15" s="0" t="n">
        <v>12.7238</v>
      </c>
      <c r="DB15" s="0" t="n">
        <v>9.366</v>
      </c>
      <c r="DC15" s="0" t="n">
        <v>11.1455</v>
      </c>
      <c r="DD15" s="0" t="n">
        <v>14.2096</v>
      </c>
      <c r="DE15" s="0" t="n">
        <v>14.944</v>
      </c>
      <c r="DF15" s="0" t="n">
        <v>10.2551</v>
      </c>
      <c r="DG15" s="0" t="n">
        <v>13.1465</v>
      </c>
      <c r="DH15" s="0" t="n">
        <v>10.9965</v>
      </c>
      <c r="DI15" s="0" t="n">
        <v>13.2763</v>
      </c>
      <c r="DJ15" s="0" t="n">
        <v>6.9553</v>
      </c>
      <c r="DK15" s="0" t="n">
        <v>10.4216</v>
      </c>
      <c r="DL15" s="0" t="n">
        <v>14.3725</v>
      </c>
      <c r="DM15" s="0" t="n">
        <v>7.5821</v>
      </c>
      <c r="DN15" s="0" t="n">
        <v>10.9321</v>
      </c>
      <c r="DO15" s="0" t="n">
        <v>8.3908</v>
      </c>
      <c r="DP15" s="0" t="n">
        <v>7.8802</v>
      </c>
      <c r="DQ15" s="0" t="n">
        <v>9.721</v>
      </c>
      <c r="DR15" s="0" t="n">
        <v>11.1124</v>
      </c>
      <c r="DS15" s="0" t="n">
        <v>10.0255</v>
      </c>
      <c r="DT15" s="0" t="n">
        <v>12.274</v>
      </c>
      <c r="DU15" s="0" t="n">
        <v>12.423</v>
      </c>
      <c r="DV15" s="0" t="n">
        <v>11.0803</v>
      </c>
      <c r="DW15" s="0" t="n">
        <v>17.3302</v>
      </c>
      <c r="DX15" s="0" t="n">
        <v>15.0738</v>
      </c>
      <c r="DY15" s="0" t="n">
        <v>10.1642</v>
      </c>
      <c r="DZ15" s="0" t="n">
        <v>10.414</v>
      </c>
      <c r="EA15" s="0" t="n">
        <v>19.0717</v>
      </c>
      <c r="EB15" s="0" t="n">
        <v>9.9845</v>
      </c>
      <c r="EC15" s="0" t="n">
        <v>15.4172</v>
      </c>
      <c r="ED15" s="0" t="n">
        <v>8.1876</v>
      </c>
      <c r="EE15" s="0" t="n">
        <v>16.1154</v>
      </c>
      <c r="EF15" s="0" t="n">
        <v>14.8285</v>
      </c>
      <c r="EG15" s="0" t="n">
        <v>12.5095</v>
      </c>
      <c r="EH15" s="0" t="n">
        <v>11.5454</v>
      </c>
      <c r="EI15" s="0" t="n">
        <v>8.9463</v>
      </c>
      <c r="EJ15" s="0" t="n">
        <v>10.247</v>
      </c>
      <c r="EK15" s="0" t="n">
        <v>9.7758</v>
      </c>
      <c r="EL15" s="0" t="n">
        <v>7.7406</v>
      </c>
      <c r="EM15" s="0" t="n">
        <v>6.6841</v>
      </c>
      <c r="EN15" s="0" t="n">
        <v>8.2057</v>
      </c>
      <c r="EO15" s="0" t="n">
        <v>5.5977</v>
      </c>
      <c r="EP15" s="0" t="n">
        <v>6.6433</v>
      </c>
      <c r="EQ15" s="0" t="n">
        <v>4.0336</v>
      </c>
      <c r="ER15" s="0" t="n">
        <v>5.4761</v>
      </c>
      <c r="ES15" s="0" t="n">
        <v>3.0959</v>
      </c>
      <c r="ET15" s="0" t="n">
        <v>3.0704</v>
      </c>
      <c r="EU15" s="0" t="n">
        <v>1.5782</v>
      </c>
      <c r="EV15" s="0" t="n">
        <v>3.9976</v>
      </c>
      <c r="EW15" s="0" t="n">
        <v>1.8847</v>
      </c>
      <c r="EX15" s="0" t="n">
        <v>1.6631</v>
      </c>
      <c r="EY15" s="0" t="n">
        <v>2.4932</v>
      </c>
      <c r="EZ15" s="0" t="n">
        <v>2.3049</v>
      </c>
      <c r="FA15" s="0" t="n">
        <v>1.1048</v>
      </c>
      <c r="FB15" s="0" t="n">
        <v>0.7336</v>
      </c>
      <c r="FC15" s="0" t="n">
        <v>1.1132</v>
      </c>
      <c r="FD15" s="0" t="n">
        <v>1.0494</v>
      </c>
      <c r="FE15" s="0" t="n">
        <v>0.1961</v>
      </c>
      <c r="FF15" s="0" t="n">
        <v>1.179</v>
      </c>
      <c r="FG15" s="0" t="n">
        <v>1.1922</v>
      </c>
      <c r="FH15" s="0" t="n">
        <v>0.8799</v>
      </c>
      <c r="FI15" s="0" t="n">
        <v>0.4645</v>
      </c>
      <c r="FJ15" s="0" t="n">
        <v>0.2499</v>
      </c>
      <c r="FK15" s="0" t="n">
        <v>0.3417</v>
      </c>
      <c r="FL15" s="0" t="n">
        <v>0.2871</v>
      </c>
      <c r="FM15" s="0" t="n">
        <v>0.4562</v>
      </c>
      <c r="FN15" s="0" t="n">
        <v>0.2484</v>
      </c>
      <c r="FO15" s="0" t="n">
        <v>0.1741</v>
      </c>
      <c r="FP15" s="0" t="n">
        <v>2.6327</v>
      </c>
    </row>
    <row r="16" customFormat="false" ht="13.8" hidden="false" customHeight="false" outlineLevel="0" collapsed="false">
      <c r="A16" s="2" t="s">
        <v>202</v>
      </c>
      <c r="B16" s="0" t="s">
        <v>173</v>
      </c>
      <c r="C16" s="0" t="n">
        <v>173</v>
      </c>
      <c r="D16" s="0" t="s">
        <v>203</v>
      </c>
      <c r="G16" s="0" t="n">
        <v>2853.9117</v>
      </c>
      <c r="H16" s="0" t="n">
        <v>183.6711</v>
      </c>
      <c r="I16" s="0" t="n">
        <v>577.0201</v>
      </c>
      <c r="J16" s="0" t="n">
        <v>0.64085</v>
      </c>
      <c r="K16" s="0" t="n">
        <v>0.3333</v>
      </c>
      <c r="L16" s="0" t="n">
        <v>277.8748</v>
      </c>
      <c r="M16" s="0" t="n">
        <v>244.3544</v>
      </c>
      <c r="N16" s="0" t="n">
        <v>331.4877</v>
      </c>
      <c r="O16" s="0" t="n">
        <v>262.089</v>
      </c>
      <c r="P16" s="0" t="n">
        <v>203.1456</v>
      </c>
      <c r="Q16" s="0" t="n">
        <v>135.3996</v>
      </c>
      <c r="R16" s="0" t="n">
        <v>133.1445</v>
      </c>
      <c r="S16" s="0" t="n">
        <v>72.0833</v>
      </c>
      <c r="T16" s="0" t="n">
        <v>67.4669</v>
      </c>
      <c r="U16" s="0" t="n">
        <v>59.2963</v>
      </c>
      <c r="V16" s="0" t="n">
        <v>52.2908</v>
      </c>
      <c r="W16" s="0" t="n">
        <v>52.4905</v>
      </c>
      <c r="X16" s="0" t="n">
        <v>58.0822</v>
      </c>
      <c r="Y16" s="0" t="n">
        <v>41.7002</v>
      </c>
      <c r="Z16" s="0" t="n">
        <v>36.8732</v>
      </c>
      <c r="AA16" s="0" t="n">
        <v>35.0804</v>
      </c>
      <c r="AB16" s="0" t="n">
        <v>34.8231</v>
      </c>
      <c r="AC16" s="0" t="n">
        <v>35.312</v>
      </c>
      <c r="AD16" s="0" t="n">
        <v>43.762</v>
      </c>
      <c r="AE16" s="0" t="n">
        <v>43.0889</v>
      </c>
      <c r="AF16" s="0" t="n">
        <v>40.1231</v>
      </c>
      <c r="AG16" s="0" t="n">
        <v>36.0593</v>
      </c>
      <c r="AH16" s="0" t="n">
        <v>38.4774</v>
      </c>
      <c r="AI16" s="0" t="n">
        <v>34.6663</v>
      </c>
      <c r="AJ16" s="0" t="n">
        <v>44.9116</v>
      </c>
      <c r="AK16" s="0" t="n">
        <v>52.8974</v>
      </c>
      <c r="AL16" s="0" t="n">
        <v>42.6397</v>
      </c>
      <c r="AM16" s="0" t="n">
        <v>40.5937</v>
      </c>
      <c r="AN16" s="0" t="n">
        <v>31.9209</v>
      </c>
      <c r="AO16" s="0" t="n">
        <v>33.0601</v>
      </c>
      <c r="AP16" s="0" t="n">
        <v>30.0263</v>
      </c>
      <c r="AQ16" s="0" t="n">
        <v>30.9809</v>
      </c>
      <c r="AR16" s="0" t="n">
        <v>27.5736</v>
      </c>
      <c r="AS16" s="0" t="n">
        <v>29.963</v>
      </c>
      <c r="AT16" s="0" t="n">
        <v>24.1971</v>
      </c>
      <c r="AU16" s="0" t="n">
        <v>17.5836</v>
      </c>
      <c r="AV16" s="0" t="n">
        <v>12.9289</v>
      </c>
      <c r="AW16" s="0" t="n">
        <v>9.6201</v>
      </c>
      <c r="AX16" s="0" t="n">
        <v>8.2776</v>
      </c>
      <c r="AY16" s="0" t="n">
        <v>6.2956</v>
      </c>
      <c r="AZ16" s="0" t="n">
        <v>4.5594</v>
      </c>
      <c r="BA16" s="0" t="n">
        <v>2.8942</v>
      </c>
      <c r="BB16" s="0" t="n">
        <v>2.738</v>
      </c>
      <c r="BC16" s="0" t="n">
        <v>4.4536</v>
      </c>
      <c r="BD16" s="0" t="n">
        <v>3.1678</v>
      </c>
      <c r="BE16" s="0" t="n">
        <v>1.5421</v>
      </c>
      <c r="BF16" s="0" t="n">
        <v>2.0483</v>
      </c>
      <c r="BG16" s="0" t="n">
        <v>1.4462</v>
      </c>
      <c r="BH16" s="0" t="n">
        <v>0.611</v>
      </c>
      <c r="BI16" s="0" t="n">
        <v>1.8116</v>
      </c>
      <c r="BJ16" s="0" t="n">
        <v>2.1671</v>
      </c>
      <c r="BK16" s="0" t="n">
        <v>1.9422</v>
      </c>
      <c r="BL16" s="0" t="n">
        <v>0.8607</v>
      </c>
      <c r="BM16" s="0" t="n">
        <v>1.0915</v>
      </c>
      <c r="BN16" s="0" t="n">
        <v>0.9018</v>
      </c>
      <c r="BO16" s="0" t="n">
        <v>0.811</v>
      </c>
      <c r="BP16" s="0" t="n">
        <v>1.1046</v>
      </c>
      <c r="BQ16" s="0" t="n">
        <v>0.3908</v>
      </c>
      <c r="BR16" s="0" t="n">
        <v>0.5199</v>
      </c>
      <c r="BS16" s="0" t="n">
        <v>0.5838</v>
      </c>
      <c r="BT16" s="0" t="n">
        <v>0.7679</v>
      </c>
      <c r="BU16" s="0" t="n">
        <v>0.7359</v>
      </c>
      <c r="BV16" s="0" t="n">
        <v>0.1014</v>
      </c>
      <c r="BW16" s="0" t="n">
        <v>0.2962</v>
      </c>
      <c r="BX16" s="0" t="n">
        <v>0.3567</v>
      </c>
      <c r="BY16" s="0" t="n">
        <v>0.4666</v>
      </c>
      <c r="BZ16" s="0" t="n">
        <v>0.0322</v>
      </c>
      <c r="CA16" s="0" t="n">
        <v>0.2254</v>
      </c>
      <c r="CB16" s="0" t="n">
        <v>0.1019</v>
      </c>
      <c r="CC16" s="0" t="n">
        <v>0.226</v>
      </c>
      <c r="CD16" s="0" t="n">
        <v>0.0127</v>
      </c>
      <c r="CE16" s="0" t="n">
        <v>0.2191</v>
      </c>
      <c r="CF16" s="0" t="n">
        <v>0.0069</v>
      </c>
      <c r="CG16" s="0" t="n">
        <v>0.0745</v>
      </c>
      <c r="CH16" s="0" t="n">
        <v>0</v>
      </c>
      <c r="CI16" s="0" t="n">
        <v>0</v>
      </c>
      <c r="CJ16" s="0" t="n">
        <v>0.0654</v>
      </c>
      <c r="CK16" s="0" t="n">
        <v>0</v>
      </c>
      <c r="CL16" s="0" t="n">
        <v>0</v>
      </c>
      <c r="CM16" s="0" t="n">
        <v>0.436</v>
      </c>
      <c r="CN16" s="0" t="n">
        <v>0.004</v>
      </c>
      <c r="CO16" s="0" t="n">
        <v>7.2747</v>
      </c>
      <c r="CP16" s="0" t="n">
        <v>9.4987</v>
      </c>
      <c r="CQ16" s="0" t="n">
        <v>18.2512</v>
      </c>
      <c r="CR16" s="0" t="n">
        <v>18.267</v>
      </c>
      <c r="CS16" s="0" t="n">
        <v>17.4436</v>
      </c>
      <c r="CT16" s="0" t="n">
        <v>13.7802</v>
      </c>
      <c r="CU16" s="0" t="n">
        <v>15.6895</v>
      </c>
      <c r="CV16" s="0" t="n">
        <v>9.6086</v>
      </c>
      <c r="CW16" s="0" t="n">
        <v>10.0394</v>
      </c>
      <c r="CX16" s="0" t="n">
        <v>9.7641</v>
      </c>
      <c r="CY16" s="0" t="n">
        <v>9.4429</v>
      </c>
      <c r="CZ16" s="0" t="n">
        <v>10.3068</v>
      </c>
      <c r="DA16" s="0" t="n">
        <v>12.2965</v>
      </c>
      <c r="DB16" s="0" t="n">
        <v>9.5007</v>
      </c>
      <c r="DC16" s="0" t="n">
        <v>8.9824</v>
      </c>
      <c r="DD16" s="0" t="n">
        <v>9.0888</v>
      </c>
      <c r="DE16" s="0" t="n">
        <v>9.5622</v>
      </c>
      <c r="DF16" s="0" t="n">
        <v>10.2716</v>
      </c>
      <c r="DG16" s="0" t="n">
        <v>13.3916</v>
      </c>
      <c r="DH16" s="0" t="n">
        <v>13.8651</v>
      </c>
      <c r="DI16" s="0" t="n">
        <v>13.5533</v>
      </c>
      <c r="DJ16" s="0" t="n">
        <v>12.7214</v>
      </c>
      <c r="DK16" s="0" t="n">
        <v>14.2023</v>
      </c>
      <c r="DL16" s="0" t="n">
        <v>13.3652</v>
      </c>
      <c r="DM16" s="0" t="n">
        <v>17.9737</v>
      </c>
      <c r="DN16" s="0" t="n">
        <v>21.9888</v>
      </c>
      <c r="DO16" s="0" t="n">
        <v>18.4372</v>
      </c>
      <c r="DP16" s="0" t="n">
        <v>18.1584</v>
      </c>
      <c r="DQ16" s="0" t="n">
        <v>14.7595</v>
      </c>
      <c r="DR16" s="0" t="n">
        <v>15.8377</v>
      </c>
      <c r="DS16" s="0" t="n">
        <v>14.8578</v>
      </c>
      <c r="DT16" s="0" t="n">
        <v>15.8298</v>
      </c>
      <c r="DU16" s="0" t="n">
        <v>14.499</v>
      </c>
      <c r="DV16" s="0" t="n">
        <v>16.2045</v>
      </c>
      <c r="DW16" s="0" t="n">
        <v>13.4794</v>
      </c>
      <c r="DX16" s="0" t="n">
        <v>10.0826</v>
      </c>
      <c r="DY16" s="0" t="n">
        <v>7.602</v>
      </c>
      <c r="DZ16" s="0" t="n">
        <v>5.8142</v>
      </c>
      <c r="EA16" s="0" t="n">
        <v>5.1326</v>
      </c>
      <c r="EB16" s="0" t="n">
        <v>4.01</v>
      </c>
      <c r="EC16" s="0" t="n">
        <v>2.9667</v>
      </c>
      <c r="ED16" s="0" t="n">
        <v>1.9301</v>
      </c>
      <c r="EE16" s="0" t="n">
        <v>1.8731</v>
      </c>
      <c r="EF16" s="0" t="n">
        <v>3.1161</v>
      </c>
      <c r="EG16" s="0" t="n">
        <v>2.2661</v>
      </c>
      <c r="EH16" s="0" t="n">
        <v>1.1257</v>
      </c>
      <c r="EI16" s="0" t="n">
        <v>1.5299</v>
      </c>
      <c r="EJ16" s="0" t="n">
        <v>1.1011</v>
      </c>
      <c r="EK16" s="0" t="n">
        <v>0.4743</v>
      </c>
      <c r="EL16" s="0" t="n">
        <v>1.4348</v>
      </c>
      <c r="EM16" s="0" t="n">
        <v>1.7609</v>
      </c>
      <c r="EN16" s="0" t="n">
        <v>1.6031</v>
      </c>
      <c r="EO16" s="0" t="n">
        <v>0.7225</v>
      </c>
      <c r="EP16" s="0" t="n">
        <v>0.9351</v>
      </c>
      <c r="EQ16" s="0" t="n">
        <v>0.7844</v>
      </c>
      <c r="ER16" s="0" t="n">
        <v>0.7205</v>
      </c>
      <c r="ES16" s="0" t="n">
        <v>0.9965</v>
      </c>
      <c r="ET16" s="0" t="n">
        <v>0.3591</v>
      </c>
      <c r="EU16" s="0" t="n">
        <v>0.487</v>
      </c>
      <c r="EV16" s="0" t="n">
        <v>0.5762</v>
      </c>
      <c r="EW16" s="0" t="n">
        <v>0.7378</v>
      </c>
      <c r="EX16" s="0" t="n">
        <v>0.7228</v>
      </c>
      <c r="EY16" s="0" t="n">
        <v>0.1011</v>
      </c>
      <c r="EZ16" s="0" t="n">
        <v>0.3005</v>
      </c>
      <c r="FA16" s="0" t="n">
        <v>0.3668</v>
      </c>
      <c r="FB16" s="0" t="n">
        <v>0.4882</v>
      </c>
      <c r="FC16" s="0" t="n">
        <v>0.086</v>
      </c>
      <c r="FD16" s="0" t="n">
        <v>0.2424</v>
      </c>
      <c r="FE16" s="0" t="n">
        <v>0.1113</v>
      </c>
      <c r="FF16" s="0" t="n">
        <v>0.2515</v>
      </c>
      <c r="FG16" s="0" t="n">
        <v>0.0142</v>
      </c>
      <c r="FH16" s="0" t="n">
        <v>0.2482</v>
      </c>
      <c r="FI16" s="0" t="n">
        <v>0.0079</v>
      </c>
      <c r="FJ16" s="0" t="n">
        <v>0.0872</v>
      </c>
      <c r="FK16" s="0" t="n">
        <v>0</v>
      </c>
      <c r="FL16" s="0" t="n">
        <v>0</v>
      </c>
      <c r="FM16" s="0" t="n">
        <v>0.0792</v>
      </c>
      <c r="FN16" s="0" t="n">
        <v>0</v>
      </c>
      <c r="FO16" s="0" t="n">
        <v>0</v>
      </c>
      <c r="FP16" s="0" t="n">
        <v>0.6052</v>
      </c>
    </row>
    <row r="17" customFormat="false" ht="13.8" hidden="false" customHeight="false" outlineLevel="0" collapsed="false">
      <c r="A17" s="2" t="s">
        <v>204</v>
      </c>
      <c r="B17" s="0" t="s">
        <v>176</v>
      </c>
      <c r="C17" s="0" t="n">
        <v>326</v>
      </c>
      <c r="D17" s="0" t="s">
        <v>205</v>
      </c>
      <c r="G17" s="0" t="n">
        <v>1432.7978</v>
      </c>
      <c r="H17" s="0" t="n">
        <v>87.9623</v>
      </c>
      <c r="I17" s="0" t="n">
        <v>276.3416</v>
      </c>
      <c r="J17" s="0" t="n">
        <v>0.63865</v>
      </c>
      <c r="K17" s="0" t="n">
        <v>0.0132</v>
      </c>
      <c r="L17" s="0" t="n">
        <v>137.9676</v>
      </c>
      <c r="M17" s="0" t="n">
        <v>122.5248</v>
      </c>
      <c r="N17" s="0" t="n">
        <v>180.9776</v>
      </c>
      <c r="O17" s="0" t="n">
        <v>125.4455</v>
      </c>
      <c r="P17" s="0" t="n">
        <v>95.14</v>
      </c>
      <c r="Q17" s="0" t="n">
        <v>57.5843</v>
      </c>
      <c r="R17" s="0" t="n">
        <v>62.1727</v>
      </c>
      <c r="S17" s="0" t="n">
        <v>32.4983</v>
      </c>
      <c r="T17" s="0" t="n">
        <v>29.3895</v>
      </c>
      <c r="U17" s="0" t="n">
        <v>38.4482</v>
      </c>
      <c r="V17" s="0" t="n">
        <v>39.9031</v>
      </c>
      <c r="W17" s="0" t="n">
        <v>33.2372</v>
      </c>
      <c r="X17" s="0" t="n">
        <v>33.0835</v>
      </c>
      <c r="Y17" s="0" t="n">
        <v>31.6703</v>
      </c>
      <c r="Z17" s="0" t="n">
        <v>25.4185</v>
      </c>
      <c r="AA17" s="0" t="n">
        <v>26.1884</v>
      </c>
      <c r="AB17" s="0" t="n">
        <v>21.8387</v>
      </c>
      <c r="AC17" s="0" t="n">
        <v>15.0976</v>
      </c>
      <c r="AD17" s="0" t="n">
        <v>14.1428</v>
      </c>
      <c r="AE17" s="0" t="n">
        <v>13.2273</v>
      </c>
      <c r="AF17" s="0" t="n">
        <v>13.4095</v>
      </c>
      <c r="AG17" s="0" t="n">
        <v>14.177</v>
      </c>
      <c r="AH17" s="0" t="n">
        <v>18.6342</v>
      </c>
      <c r="AI17" s="0" t="n">
        <v>13.8779</v>
      </c>
      <c r="AJ17" s="0" t="n">
        <v>14.5551</v>
      </c>
      <c r="AK17" s="0" t="n">
        <v>17.6194</v>
      </c>
      <c r="AL17" s="0" t="n">
        <v>21.5923</v>
      </c>
      <c r="AM17" s="0" t="n">
        <v>23.3763</v>
      </c>
      <c r="AN17" s="0" t="n">
        <v>19.4957</v>
      </c>
      <c r="AO17" s="0" t="n">
        <v>20.0917</v>
      </c>
      <c r="AP17" s="0" t="n">
        <v>15.2659</v>
      </c>
      <c r="AQ17" s="0" t="n">
        <v>18.352</v>
      </c>
      <c r="AR17" s="0" t="n">
        <v>18.5165</v>
      </c>
      <c r="AS17" s="0" t="n">
        <v>16.9148</v>
      </c>
      <c r="AT17" s="0" t="n">
        <v>14.632</v>
      </c>
      <c r="AU17" s="0" t="n">
        <v>11.9654</v>
      </c>
      <c r="AV17" s="0" t="n">
        <v>7.51</v>
      </c>
      <c r="AW17" s="0" t="n">
        <v>3.0939</v>
      </c>
      <c r="AX17" s="0" t="n">
        <v>3.5474</v>
      </c>
      <c r="AY17" s="0" t="n">
        <v>2.5207</v>
      </c>
      <c r="AZ17" s="0" t="n">
        <v>2.561</v>
      </c>
      <c r="BA17" s="0" t="n">
        <v>0.923</v>
      </c>
      <c r="BB17" s="0" t="n">
        <v>0.8547</v>
      </c>
      <c r="BC17" s="0" t="n">
        <v>0.4767</v>
      </c>
      <c r="BD17" s="0" t="n">
        <v>0.454</v>
      </c>
      <c r="BE17" s="0" t="n">
        <v>0.5269</v>
      </c>
      <c r="BF17" s="0" t="n">
        <v>0.343</v>
      </c>
      <c r="BG17" s="0" t="n">
        <v>0.2851</v>
      </c>
      <c r="BH17" s="0" t="n">
        <v>0.0739</v>
      </c>
      <c r="BI17" s="0" t="n">
        <v>0</v>
      </c>
      <c r="BJ17" s="0" t="n">
        <v>0</v>
      </c>
      <c r="BK17" s="0" t="n">
        <v>0</v>
      </c>
      <c r="BL17" s="0" t="n">
        <v>0.0697</v>
      </c>
      <c r="BM17" s="0" t="n">
        <v>0</v>
      </c>
      <c r="BN17" s="0" t="n">
        <v>0</v>
      </c>
      <c r="BO17" s="0" t="n">
        <v>0.0967</v>
      </c>
      <c r="BP17" s="0" t="n">
        <v>0.0137</v>
      </c>
      <c r="BQ17" s="0" t="n">
        <v>0.067</v>
      </c>
      <c r="BR17" s="0" t="n">
        <v>0.0428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0.0002</v>
      </c>
      <c r="CO17" s="0" t="n">
        <v>3.5946</v>
      </c>
      <c r="CP17" s="0" t="n">
        <v>4.7748</v>
      </c>
      <c r="CQ17" s="0" t="n">
        <v>9.9437</v>
      </c>
      <c r="CR17" s="0" t="n">
        <v>8.7465</v>
      </c>
      <c r="CS17" s="0" t="n">
        <v>8.1632</v>
      </c>
      <c r="CT17" s="0" t="n">
        <v>5.88</v>
      </c>
      <c r="CU17" s="0" t="n">
        <v>7.3117</v>
      </c>
      <c r="CV17" s="0" t="n">
        <v>4.3386</v>
      </c>
      <c r="CW17" s="0" t="n">
        <v>4.3779</v>
      </c>
      <c r="CX17" s="0" t="n">
        <v>6.346</v>
      </c>
      <c r="CY17" s="0" t="n">
        <v>7.2363</v>
      </c>
      <c r="CZ17" s="0" t="n">
        <v>6.5092</v>
      </c>
      <c r="DA17" s="0" t="n">
        <v>7.0083</v>
      </c>
      <c r="DB17" s="0" t="n">
        <v>7.2066</v>
      </c>
      <c r="DC17" s="0" t="n">
        <v>6.1939</v>
      </c>
      <c r="DD17" s="0" t="n">
        <v>6.7782</v>
      </c>
      <c r="DE17" s="0" t="n">
        <v>5.9908</v>
      </c>
      <c r="DF17" s="0" t="n">
        <v>4.3861</v>
      </c>
      <c r="DG17" s="0" t="n">
        <v>4.3391</v>
      </c>
      <c r="DH17" s="0" t="n">
        <v>4.2621</v>
      </c>
      <c r="DI17" s="0" t="n">
        <v>4.5364</v>
      </c>
      <c r="DJ17" s="0" t="n">
        <v>5.0096</v>
      </c>
      <c r="DK17" s="0" t="n">
        <v>6.8802</v>
      </c>
      <c r="DL17" s="0" t="n">
        <v>5.3486</v>
      </c>
      <c r="DM17" s="0" t="n">
        <v>5.8172</v>
      </c>
      <c r="DN17" s="0" t="n">
        <v>7.327</v>
      </c>
      <c r="DO17" s="0" t="n">
        <v>9.3449</v>
      </c>
      <c r="DP17" s="0" t="n">
        <v>10.4588</v>
      </c>
      <c r="DQ17" s="0" t="n">
        <v>9.0232</v>
      </c>
      <c r="DR17" s="0" t="n">
        <v>9.6198</v>
      </c>
      <c r="DS17" s="0" t="n">
        <v>7.5579</v>
      </c>
      <c r="DT17" s="0" t="n">
        <v>9.3716</v>
      </c>
      <c r="DU17" s="0" t="n">
        <v>9.7343</v>
      </c>
      <c r="DV17" s="0" t="n">
        <v>9.1666</v>
      </c>
      <c r="DW17" s="0" t="n">
        <v>8.1594</v>
      </c>
      <c r="DX17" s="0" t="n">
        <v>6.8645</v>
      </c>
      <c r="DY17" s="0" t="n">
        <v>4.4214</v>
      </c>
      <c r="DZ17" s="0" t="n">
        <v>1.87</v>
      </c>
      <c r="EA17" s="0" t="n">
        <v>2.1992</v>
      </c>
      <c r="EB17" s="0" t="n">
        <v>1.6043</v>
      </c>
      <c r="EC17" s="0" t="n">
        <v>1.6702</v>
      </c>
      <c r="ED17" s="0" t="n">
        <v>0.6161</v>
      </c>
      <c r="EE17" s="0" t="n">
        <v>0.5834</v>
      </c>
      <c r="EF17" s="0" t="n">
        <v>0.3339</v>
      </c>
      <c r="EG17" s="0" t="n">
        <v>0.3243</v>
      </c>
      <c r="EH17" s="0" t="n">
        <v>0.3863</v>
      </c>
      <c r="EI17" s="0" t="n">
        <v>0.2554</v>
      </c>
      <c r="EJ17" s="0" t="n">
        <v>0.2174</v>
      </c>
      <c r="EK17" s="0" t="n">
        <v>0.0569</v>
      </c>
      <c r="EL17" s="0" t="n">
        <v>0</v>
      </c>
      <c r="EM17" s="0" t="n">
        <v>0</v>
      </c>
      <c r="EN17" s="0" t="n">
        <v>0</v>
      </c>
      <c r="EO17" s="0" t="n">
        <v>0.0588</v>
      </c>
      <c r="EP17" s="0" t="n">
        <v>0</v>
      </c>
      <c r="EQ17" s="0" t="n">
        <v>0</v>
      </c>
      <c r="ER17" s="0" t="n">
        <v>0.0856</v>
      </c>
      <c r="ES17" s="0" t="n">
        <v>0.0125</v>
      </c>
      <c r="ET17" s="0" t="n">
        <v>0.0619</v>
      </c>
      <c r="EU17" s="0" t="n">
        <v>0.0401</v>
      </c>
      <c r="EV17" s="0" t="n">
        <v>0</v>
      </c>
      <c r="EW17" s="0" t="n">
        <v>0</v>
      </c>
      <c r="EX17" s="0" t="n">
        <v>0</v>
      </c>
      <c r="EY17" s="0" t="n">
        <v>0</v>
      </c>
      <c r="EZ17" s="0" t="n">
        <v>0</v>
      </c>
      <c r="FA17" s="0" t="n">
        <v>0</v>
      </c>
      <c r="FB17" s="0" t="n">
        <v>0</v>
      </c>
      <c r="FC17" s="0" t="n">
        <v>0</v>
      </c>
      <c r="FD17" s="0" t="n">
        <v>0</v>
      </c>
      <c r="FE17" s="0" t="n">
        <v>0</v>
      </c>
      <c r="FF17" s="0" t="n">
        <v>0</v>
      </c>
      <c r="FG17" s="0" t="n">
        <v>0</v>
      </c>
      <c r="FH17" s="0" t="n">
        <v>0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0</v>
      </c>
      <c r="FO17" s="0" t="n">
        <v>0</v>
      </c>
      <c r="FP17" s="0" t="n">
        <v>0</v>
      </c>
    </row>
    <row r="18" customFormat="false" ht="13.8" hidden="false" customHeight="false" outlineLevel="0" collapsed="false">
      <c r="A18" s="2" t="s">
        <v>206</v>
      </c>
      <c r="B18" s="0" t="s">
        <v>173</v>
      </c>
      <c r="C18" s="0" t="n">
        <v>195</v>
      </c>
      <c r="D18" s="0" t="s">
        <v>207</v>
      </c>
      <c r="F18" s="0" t="e">
        <f aca="false">VLOOKUP(A18,[1]ROOT!$A$1:$C$1048576,3,0)</f>
        <v>#N/A</v>
      </c>
      <c r="G18" s="0" t="n">
        <v>3568.3422</v>
      </c>
      <c r="H18" s="0" t="n">
        <v>239.3569</v>
      </c>
      <c r="I18" s="0" t="n">
        <v>751.9622</v>
      </c>
      <c r="J18" s="0" t="n">
        <v>0.68465</v>
      </c>
      <c r="K18" s="0" t="n">
        <v>0</v>
      </c>
      <c r="L18" s="0" t="n">
        <v>689.2497</v>
      </c>
      <c r="M18" s="0" t="n">
        <v>584.9755</v>
      </c>
      <c r="N18" s="0" t="n">
        <v>304.6522</v>
      </c>
      <c r="O18" s="0" t="n">
        <v>1.0178</v>
      </c>
      <c r="P18" s="0" t="n">
        <v>254.4023</v>
      </c>
      <c r="Q18" s="0" t="n">
        <v>99.1215</v>
      </c>
      <c r="R18" s="0" t="n">
        <v>152.7796</v>
      </c>
      <c r="S18" s="0" t="n">
        <v>71.5409</v>
      </c>
      <c r="T18" s="0" t="n">
        <v>13.2381</v>
      </c>
      <c r="U18" s="0" t="n">
        <v>65.7657</v>
      </c>
      <c r="V18" s="0" t="n">
        <v>64.2842</v>
      </c>
      <c r="W18" s="0" t="n">
        <v>37.4636</v>
      </c>
      <c r="X18" s="0" t="n">
        <v>54.8554</v>
      </c>
      <c r="Y18" s="0" t="n">
        <v>44.5093</v>
      </c>
      <c r="Z18" s="0" t="n">
        <v>35.5828</v>
      </c>
      <c r="AA18" s="0" t="n">
        <v>25.8183</v>
      </c>
      <c r="AB18" s="0" t="n">
        <v>53.3088</v>
      </c>
      <c r="AC18" s="0" t="n">
        <v>19.5097</v>
      </c>
      <c r="AD18" s="0" t="n">
        <v>58.4689</v>
      </c>
      <c r="AE18" s="0" t="n">
        <v>38.2414</v>
      </c>
      <c r="AF18" s="0" t="n">
        <v>69.8889</v>
      </c>
      <c r="AG18" s="0" t="n">
        <v>17.4656</v>
      </c>
      <c r="AH18" s="0" t="n">
        <v>50.3849</v>
      </c>
      <c r="AI18" s="0" t="n">
        <v>57.4397</v>
      </c>
      <c r="AJ18" s="0" t="n">
        <v>10.0486</v>
      </c>
      <c r="AK18" s="0" t="n">
        <v>76.0175</v>
      </c>
      <c r="AL18" s="0" t="n">
        <v>75.9694</v>
      </c>
      <c r="AM18" s="0" t="n">
        <v>35.2564</v>
      </c>
      <c r="AN18" s="0" t="n">
        <v>28.6496</v>
      </c>
      <c r="AO18" s="0" t="n">
        <v>78.6409</v>
      </c>
      <c r="AP18" s="0" t="n">
        <v>34.7549</v>
      </c>
      <c r="AQ18" s="0" t="n">
        <v>57.9263</v>
      </c>
      <c r="AR18" s="0" t="n">
        <v>40.247</v>
      </c>
      <c r="AS18" s="0" t="n">
        <v>28.6606</v>
      </c>
      <c r="AT18" s="0" t="n">
        <v>48.8504</v>
      </c>
      <c r="AU18" s="0" t="n">
        <v>32.744</v>
      </c>
      <c r="AV18" s="0" t="n">
        <v>5.054</v>
      </c>
      <c r="AW18" s="0" t="n">
        <v>20.8174</v>
      </c>
      <c r="AX18" s="0" t="n">
        <v>23.7059</v>
      </c>
      <c r="AY18" s="0" t="n">
        <v>8.5214</v>
      </c>
      <c r="AZ18" s="0" t="n">
        <v>9.2777</v>
      </c>
      <c r="BA18" s="0" t="n">
        <v>12.6906</v>
      </c>
      <c r="BB18" s="0" t="n">
        <v>9.7838</v>
      </c>
      <c r="BC18" s="0" t="n">
        <v>6.3787</v>
      </c>
      <c r="BD18" s="0" t="n">
        <v>6.2933</v>
      </c>
      <c r="BE18" s="0" t="n">
        <v>5.376</v>
      </c>
      <c r="BF18" s="0" t="n">
        <v>1.6518</v>
      </c>
      <c r="BG18" s="0" t="n">
        <v>6.7104</v>
      </c>
      <c r="BH18" s="0" t="n">
        <v>5.2293</v>
      </c>
      <c r="BI18" s="0" t="n">
        <v>0.9315</v>
      </c>
      <c r="BJ18" s="0" t="n">
        <v>4.1208</v>
      </c>
      <c r="BK18" s="0" t="n">
        <v>4.4339</v>
      </c>
      <c r="BL18" s="0" t="n">
        <v>3.0122</v>
      </c>
      <c r="BM18" s="0" t="n">
        <v>1.5192</v>
      </c>
      <c r="BN18" s="0" t="n">
        <v>3.1115</v>
      </c>
      <c r="BO18" s="0" t="n">
        <v>0.4744</v>
      </c>
      <c r="BP18" s="0" t="n">
        <v>2.5174</v>
      </c>
      <c r="BQ18" s="0" t="n">
        <v>1.6056</v>
      </c>
      <c r="BR18" s="0" t="n">
        <v>1.1737</v>
      </c>
      <c r="BS18" s="0" t="n">
        <v>2.2319</v>
      </c>
      <c r="BT18" s="0" t="n">
        <v>1.2755</v>
      </c>
      <c r="BU18" s="0" t="n">
        <v>0.1523</v>
      </c>
      <c r="BV18" s="0" t="n">
        <v>0.8202</v>
      </c>
      <c r="BW18" s="0" t="n">
        <v>1.5174</v>
      </c>
      <c r="BX18" s="0" t="n">
        <v>0.4542</v>
      </c>
      <c r="BY18" s="0" t="n">
        <v>0.3799</v>
      </c>
      <c r="BZ18" s="0" t="n">
        <v>0.4615</v>
      </c>
      <c r="CA18" s="0" t="n">
        <v>0.5496</v>
      </c>
      <c r="CB18" s="0" t="n">
        <v>0.146</v>
      </c>
      <c r="CC18" s="0" t="n">
        <v>0.3245</v>
      </c>
      <c r="CD18" s="0" t="n">
        <v>0.3327</v>
      </c>
      <c r="CE18" s="0" t="n">
        <v>0.1026</v>
      </c>
      <c r="CF18" s="0" t="n">
        <v>0.2914</v>
      </c>
      <c r="CG18" s="0" t="n">
        <v>0.0396</v>
      </c>
      <c r="CH18" s="0" t="n">
        <v>0</v>
      </c>
      <c r="CI18" s="0" t="n">
        <v>0.3605</v>
      </c>
      <c r="CJ18" s="0" t="n">
        <v>0.629</v>
      </c>
      <c r="CK18" s="0" t="n">
        <v>0.5013</v>
      </c>
      <c r="CL18" s="0" t="n">
        <v>0.009</v>
      </c>
      <c r="CM18" s="0" t="n">
        <v>0.6672</v>
      </c>
      <c r="CN18" s="0" t="n">
        <v>0</v>
      </c>
      <c r="CO18" s="0" t="n">
        <v>14.7262</v>
      </c>
      <c r="CP18" s="0" t="n">
        <v>24.7477</v>
      </c>
      <c r="CQ18" s="0" t="n">
        <v>18.6013</v>
      </c>
      <c r="CR18" s="0" t="n">
        <v>0.0704</v>
      </c>
      <c r="CS18" s="0" t="n">
        <v>21.202</v>
      </c>
      <c r="CT18" s="0" t="n">
        <v>10.0814</v>
      </c>
      <c r="CU18" s="0" t="n">
        <v>17.836</v>
      </c>
      <c r="CV18" s="0" t="n">
        <v>9.9308</v>
      </c>
      <c r="CW18" s="0" t="n">
        <v>1.9141</v>
      </c>
      <c r="CX18" s="0" t="n">
        <v>10.6991</v>
      </c>
      <c r="CY18" s="0" t="n">
        <v>11.7616</v>
      </c>
      <c r="CZ18" s="0" t="n">
        <v>7.4431</v>
      </c>
      <c r="DA18" s="0" t="n">
        <v>11.5071</v>
      </c>
      <c r="DB18" s="0" t="n">
        <v>10.1181</v>
      </c>
      <c r="DC18" s="0" t="n">
        <v>8.7383</v>
      </c>
      <c r="DD18" s="0" t="n">
        <v>6.5942</v>
      </c>
      <c r="DE18" s="0" t="n">
        <v>14.6032</v>
      </c>
      <c r="DF18" s="0" t="n">
        <v>5.6417</v>
      </c>
      <c r="DG18" s="0" t="n">
        <v>17.7802</v>
      </c>
      <c r="DH18" s="0" t="n">
        <v>12.3116</v>
      </c>
      <c r="DI18" s="0" t="n">
        <v>23.8471</v>
      </c>
      <c r="DJ18" s="0" t="n">
        <v>6.1965</v>
      </c>
      <c r="DK18" s="0" t="n">
        <v>18.6065</v>
      </c>
      <c r="DL18" s="0" t="n">
        <v>22.3916</v>
      </c>
      <c r="DM18" s="0" t="n">
        <v>3.9961</v>
      </c>
      <c r="DN18" s="0" t="n">
        <v>31.5968</v>
      </c>
      <c r="DO18" s="0" t="n">
        <v>33.1224</v>
      </c>
      <c r="DP18" s="0" t="n">
        <v>15.9937</v>
      </c>
      <c r="DQ18" s="0" t="n">
        <v>13.1869</v>
      </c>
      <c r="DR18" s="0" t="n">
        <v>37.6594</v>
      </c>
      <c r="DS18" s="0" t="n">
        <v>17.2538</v>
      </c>
      <c r="DT18" s="0" t="n">
        <v>29.5637</v>
      </c>
      <c r="DU18" s="0" t="n">
        <v>21.2442</v>
      </c>
      <c r="DV18" s="0" t="n">
        <v>15.3922</v>
      </c>
      <c r="DW18" s="0" t="n">
        <v>27.1316</v>
      </c>
      <c r="DX18" s="0" t="n">
        <v>18.8851</v>
      </c>
      <c r="DY18" s="0" t="n">
        <v>2.9946</v>
      </c>
      <c r="DZ18" s="0" t="n">
        <v>12.4668</v>
      </c>
      <c r="EA18" s="0" t="n">
        <v>14.7063</v>
      </c>
      <c r="EB18" s="0" t="n">
        <v>5.449</v>
      </c>
      <c r="EC18" s="0" t="n">
        <v>6.0238</v>
      </c>
      <c r="ED18" s="0" t="n">
        <v>8.4434</v>
      </c>
      <c r="EE18" s="0" t="n">
        <v>6.7051</v>
      </c>
      <c r="EF18" s="0" t="n">
        <v>4.4841</v>
      </c>
      <c r="EG18" s="0" t="n">
        <v>4.5046</v>
      </c>
      <c r="EH18" s="0" t="n">
        <v>3.9464</v>
      </c>
      <c r="EI18" s="0" t="n">
        <v>1.2283</v>
      </c>
      <c r="EJ18" s="0" t="n">
        <v>5.1072</v>
      </c>
      <c r="EK18" s="0" t="n">
        <v>4.0909</v>
      </c>
      <c r="EL18" s="0" t="n">
        <v>0.7415</v>
      </c>
      <c r="EM18" s="0" t="n">
        <v>3.321</v>
      </c>
      <c r="EN18" s="0" t="n">
        <v>3.6569</v>
      </c>
      <c r="EO18" s="0" t="n">
        <v>2.5477</v>
      </c>
      <c r="EP18" s="0" t="n">
        <v>1.2968</v>
      </c>
      <c r="EQ18" s="0" t="n">
        <v>2.7134</v>
      </c>
      <c r="ER18" s="0" t="n">
        <v>0.4213</v>
      </c>
      <c r="ES18" s="0" t="n">
        <v>2.2722</v>
      </c>
      <c r="ET18" s="0" t="n">
        <v>1.4785</v>
      </c>
      <c r="EU18" s="0" t="n">
        <v>1.0938</v>
      </c>
      <c r="EV18" s="0" t="n">
        <v>2.1126</v>
      </c>
      <c r="EW18" s="0" t="n">
        <v>1.2343</v>
      </c>
      <c r="EX18" s="0" t="n">
        <v>0.1501</v>
      </c>
      <c r="EY18" s="0" t="n">
        <v>0.8127</v>
      </c>
      <c r="EZ18" s="0" t="n">
        <v>1.5375</v>
      </c>
      <c r="FA18" s="0" t="n">
        <v>0.4697</v>
      </c>
      <c r="FB18" s="0" t="n">
        <v>0.3963</v>
      </c>
      <c r="FC18" s="0" t="n">
        <v>0.4871</v>
      </c>
      <c r="FD18" s="0" t="n">
        <v>0.5914</v>
      </c>
      <c r="FE18" s="0" t="n">
        <v>0.1599</v>
      </c>
      <c r="FF18" s="0" t="n">
        <v>0.3571</v>
      </c>
      <c r="FG18" s="0" t="n">
        <v>0.3739</v>
      </c>
      <c r="FH18" s="0" t="n">
        <v>0.1165</v>
      </c>
      <c r="FI18" s="0" t="n">
        <v>0.3361</v>
      </c>
      <c r="FJ18" s="0" t="n">
        <v>0.0466</v>
      </c>
      <c r="FK18" s="0" t="n">
        <v>0</v>
      </c>
      <c r="FL18" s="0" t="n">
        <v>0.4318</v>
      </c>
      <c r="FM18" s="0" t="n">
        <v>0.7666</v>
      </c>
      <c r="FN18" s="0" t="n">
        <v>0.6212</v>
      </c>
      <c r="FO18" s="0" t="n">
        <v>0.0112</v>
      </c>
      <c r="FP18" s="0" t="n">
        <v>0.8756</v>
      </c>
    </row>
    <row r="19" customFormat="false" ht="13.8" hidden="false" customHeight="false" outlineLevel="0" collapsed="false">
      <c r="A19" s="2" t="s">
        <v>208</v>
      </c>
      <c r="B19" s="0" t="s">
        <v>176</v>
      </c>
      <c r="C19" s="0" t="n">
        <v>341</v>
      </c>
      <c r="D19" s="0" t="s">
        <v>209</v>
      </c>
      <c r="G19" s="0" t="n">
        <v>2836.5166</v>
      </c>
      <c r="H19" s="0" t="n">
        <v>224.4443</v>
      </c>
      <c r="I19" s="0" t="n">
        <v>705.1126</v>
      </c>
      <c r="J19" s="0" t="n">
        <v>0.7667</v>
      </c>
      <c r="K19" s="0" t="n">
        <v>0</v>
      </c>
      <c r="L19" s="0" t="n">
        <v>9.1309</v>
      </c>
      <c r="M19" s="0" t="n">
        <v>23.3795</v>
      </c>
      <c r="N19" s="0" t="n">
        <v>176.6801</v>
      </c>
      <c r="O19" s="0" t="n">
        <v>265.8885</v>
      </c>
      <c r="P19" s="0" t="n">
        <v>244.3117</v>
      </c>
      <c r="Q19" s="0" t="n">
        <v>379.5237</v>
      </c>
      <c r="R19" s="0" t="n">
        <v>193.4951</v>
      </c>
      <c r="S19" s="0" t="n">
        <v>164.1864</v>
      </c>
      <c r="T19" s="0" t="n">
        <v>135.9026</v>
      </c>
      <c r="U19" s="0" t="n">
        <v>166.7925</v>
      </c>
      <c r="V19" s="0" t="n">
        <v>59.7637</v>
      </c>
      <c r="W19" s="0" t="n">
        <v>95.0247</v>
      </c>
      <c r="X19" s="0" t="n">
        <v>51.5887</v>
      </c>
      <c r="Y19" s="0" t="n">
        <v>30.67</v>
      </c>
      <c r="Z19" s="0" t="n">
        <v>41.9859</v>
      </c>
      <c r="AA19" s="0" t="n">
        <v>48.256</v>
      </c>
      <c r="AB19" s="0" t="n">
        <v>43.3102</v>
      </c>
      <c r="AC19" s="0" t="n">
        <v>33.7183</v>
      </c>
      <c r="AD19" s="0" t="n">
        <v>38.0772</v>
      </c>
      <c r="AE19" s="0" t="n">
        <v>33.964</v>
      </c>
      <c r="AF19" s="0" t="n">
        <v>46.0386</v>
      </c>
      <c r="AG19" s="0" t="n">
        <v>18.8388</v>
      </c>
      <c r="AH19" s="0" t="n">
        <v>32.1772</v>
      </c>
      <c r="AI19" s="0" t="n">
        <v>39.3277</v>
      </c>
      <c r="AJ19" s="0" t="n">
        <v>21.982</v>
      </c>
      <c r="AK19" s="0" t="n">
        <v>36.6112</v>
      </c>
      <c r="AL19" s="0" t="n">
        <v>23.2751</v>
      </c>
      <c r="AM19" s="0" t="n">
        <v>26.6894</v>
      </c>
      <c r="AN19" s="0" t="n">
        <v>32.2086</v>
      </c>
      <c r="AO19" s="0" t="n">
        <v>33.1165</v>
      </c>
      <c r="AP19" s="0" t="n">
        <v>28.6571</v>
      </c>
      <c r="AQ19" s="0" t="n">
        <v>28.6995</v>
      </c>
      <c r="AR19" s="0" t="n">
        <v>32.9507</v>
      </c>
      <c r="AS19" s="0" t="n">
        <v>27.1902</v>
      </c>
      <c r="AT19" s="0" t="n">
        <v>30.1438</v>
      </c>
      <c r="AU19" s="0" t="n">
        <v>24.3269</v>
      </c>
      <c r="AV19" s="0" t="n">
        <v>11.4459</v>
      </c>
      <c r="AW19" s="0" t="n">
        <v>14.9623</v>
      </c>
      <c r="AX19" s="0" t="n">
        <v>18.1795</v>
      </c>
      <c r="AY19" s="0" t="n">
        <v>13.1754</v>
      </c>
      <c r="AZ19" s="0" t="n">
        <v>10.4581</v>
      </c>
      <c r="BA19" s="0" t="n">
        <v>7.5975</v>
      </c>
      <c r="BB19" s="0" t="n">
        <v>8.7827</v>
      </c>
      <c r="BC19" s="0" t="n">
        <v>8.7417</v>
      </c>
      <c r="BD19" s="0" t="n">
        <v>7.5272</v>
      </c>
      <c r="BE19" s="0" t="n">
        <v>2.6291</v>
      </c>
      <c r="BF19" s="0" t="n">
        <v>2.663</v>
      </c>
      <c r="BG19" s="0" t="n">
        <v>2.3858</v>
      </c>
      <c r="BH19" s="0" t="n">
        <v>3.4527</v>
      </c>
      <c r="BI19" s="0" t="n">
        <v>1.2597</v>
      </c>
      <c r="BJ19" s="0" t="n">
        <v>1.2229</v>
      </c>
      <c r="BK19" s="0" t="n">
        <v>0.4721</v>
      </c>
      <c r="BL19" s="0" t="n">
        <v>0.1972</v>
      </c>
      <c r="BM19" s="0" t="n">
        <v>0.4921</v>
      </c>
      <c r="BN19" s="0" t="n">
        <v>0.2475</v>
      </c>
      <c r="BO19" s="0" t="n">
        <v>0.1062</v>
      </c>
      <c r="BP19" s="0" t="n">
        <v>0.1925</v>
      </c>
      <c r="BQ19" s="0" t="n">
        <v>0.4061</v>
      </c>
      <c r="BR19" s="0" t="n">
        <v>0.0825</v>
      </c>
      <c r="BS19" s="0" t="n">
        <v>0.2776</v>
      </c>
      <c r="BT19" s="0" t="n">
        <v>0.2489</v>
      </c>
      <c r="BU19" s="0" t="n">
        <v>0.0539</v>
      </c>
      <c r="BV19" s="0" t="n">
        <v>0.0227</v>
      </c>
      <c r="BW19" s="0" t="n">
        <v>0</v>
      </c>
      <c r="BX19" s="0" t="n">
        <v>0.0063</v>
      </c>
      <c r="BY19" s="0" t="n">
        <v>0.1402</v>
      </c>
      <c r="BZ19" s="0" t="n">
        <v>0.0063</v>
      </c>
      <c r="CA19" s="0" t="n">
        <v>0.0063</v>
      </c>
      <c r="CB19" s="0" t="n">
        <v>0.0132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0.2506</v>
      </c>
      <c r="CP19" s="0" t="n">
        <v>0.9316</v>
      </c>
      <c r="CQ19" s="0" t="n">
        <v>10.0664</v>
      </c>
      <c r="CR19" s="0" t="n">
        <v>18.9866</v>
      </c>
      <c r="CS19" s="0" t="n">
        <v>20.5318</v>
      </c>
      <c r="CT19" s="0" t="n">
        <v>38.1829</v>
      </c>
      <c r="CU19" s="0" t="n">
        <v>23.0268</v>
      </c>
      <c r="CV19" s="0" t="n">
        <v>21.884</v>
      </c>
      <c r="CW19" s="0" t="n">
        <v>19.9363</v>
      </c>
      <c r="CX19" s="0" t="n">
        <v>27.6894</v>
      </c>
      <c r="CY19" s="0" t="n">
        <v>10.8489</v>
      </c>
      <c r="CZ19" s="0" t="n">
        <v>18.6007</v>
      </c>
      <c r="DA19" s="0" t="n">
        <v>11.1338</v>
      </c>
      <c r="DB19" s="0" t="n">
        <v>6.9534</v>
      </c>
      <c r="DC19" s="0" t="n">
        <v>10.1467</v>
      </c>
      <c r="DD19" s="0" t="n">
        <v>12.47</v>
      </c>
      <c r="DE19" s="0" t="n">
        <v>11.9703</v>
      </c>
      <c r="DF19" s="0" t="n">
        <v>9.7958</v>
      </c>
      <c r="DG19" s="0" t="n">
        <v>11.6769</v>
      </c>
      <c r="DH19" s="0" t="n">
        <v>10.8777</v>
      </c>
      <c r="DI19" s="0" t="n">
        <v>15.6147</v>
      </c>
      <c r="DJ19" s="0" t="n">
        <v>6.7249</v>
      </c>
      <c r="DK19" s="0" t="n">
        <v>11.817</v>
      </c>
      <c r="DL19" s="0" t="n">
        <v>15.2069</v>
      </c>
      <c r="DM19" s="0" t="n">
        <v>8.7901</v>
      </c>
      <c r="DN19" s="0" t="n">
        <v>15.264</v>
      </c>
      <c r="DO19" s="0" t="n">
        <v>10.1005</v>
      </c>
      <c r="DP19" s="0" t="n">
        <v>11.8972</v>
      </c>
      <c r="DQ19" s="0" t="n">
        <v>14.908</v>
      </c>
      <c r="DR19" s="0" t="n">
        <v>15.9157</v>
      </c>
      <c r="DS19" s="0" t="n">
        <v>14.1387</v>
      </c>
      <c r="DT19" s="0" t="n">
        <v>14.6209</v>
      </c>
      <c r="DU19" s="0" t="n">
        <v>17.3456</v>
      </c>
      <c r="DV19" s="0" t="n">
        <v>14.687</v>
      </c>
      <c r="DW19" s="0" t="n">
        <v>16.7485</v>
      </c>
      <c r="DX19" s="0" t="n">
        <v>13.9759</v>
      </c>
      <c r="DY19" s="0" t="n">
        <v>6.7649</v>
      </c>
      <c r="DZ19" s="0" t="n">
        <v>9.0103</v>
      </c>
      <c r="EA19" s="0" t="n">
        <v>11.2876</v>
      </c>
      <c r="EB19" s="0" t="n">
        <v>8.4004</v>
      </c>
      <c r="EC19" s="0" t="n">
        <v>6.8361</v>
      </c>
      <c r="ED19" s="0" t="n">
        <v>5.0409</v>
      </c>
      <c r="EE19" s="0" t="n">
        <v>5.9837</v>
      </c>
      <c r="EF19" s="0" t="n">
        <v>6.1296</v>
      </c>
      <c r="EG19" s="0" t="n">
        <v>5.3945</v>
      </c>
      <c r="EH19" s="0" t="n">
        <v>1.9222</v>
      </c>
      <c r="EI19" s="0" t="n">
        <v>1.9769</v>
      </c>
      <c r="EJ19" s="0" t="n">
        <v>1.8102</v>
      </c>
      <c r="EK19" s="0" t="n">
        <v>2.6906</v>
      </c>
      <c r="EL19" s="0" t="n">
        <v>0.9961</v>
      </c>
      <c r="EM19" s="0" t="n">
        <v>0.987</v>
      </c>
      <c r="EN19" s="0" t="n">
        <v>0.3895</v>
      </c>
      <c r="EO19" s="0" t="n">
        <v>0.1663</v>
      </c>
      <c r="EP19" s="0" t="n">
        <v>0.4204</v>
      </c>
      <c r="EQ19" s="0" t="n">
        <v>0.2165</v>
      </c>
      <c r="ER19" s="0" t="n">
        <v>0.0942</v>
      </c>
      <c r="ES19" s="0" t="n">
        <v>0.1733</v>
      </c>
      <c r="ET19" s="0" t="n">
        <v>0.3715</v>
      </c>
      <c r="EU19" s="0" t="n">
        <v>0.077</v>
      </c>
      <c r="EV19" s="0" t="n">
        <v>0.264</v>
      </c>
      <c r="EW19" s="0" t="n">
        <v>0.2397</v>
      </c>
      <c r="EX19" s="0" t="n">
        <v>0.0526</v>
      </c>
      <c r="EY19" s="0" t="n">
        <v>0.0226</v>
      </c>
      <c r="EZ19" s="0" t="n">
        <v>0</v>
      </c>
      <c r="FA19" s="0" t="n">
        <v>0.0066</v>
      </c>
      <c r="FB19" s="0" t="n">
        <v>0.1457</v>
      </c>
      <c r="FC19" s="0" t="n">
        <v>0.0067</v>
      </c>
      <c r="FD19" s="0" t="n">
        <v>0.0068</v>
      </c>
      <c r="FE19" s="0" t="n">
        <v>0.0145</v>
      </c>
      <c r="FF19" s="0" t="n">
        <v>0</v>
      </c>
      <c r="FG19" s="0" t="n">
        <v>0</v>
      </c>
      <c r="FH19" s="0" t="n">
        <v>0</v>
      </c>
      <c r="FI19" s="0" t="n">
        <v>0</v>
      </c>
      <c r="FJ19" s="0" t="n">
        <v>0</v>
      </c>
      <c r="FK19" s="0" t="n">
        <v>0</v>
      </c>
      <c r="FL19" s="0" t="n">
        <v>0</v>
      </c>
      <c r="FM19" s="0" t="n">
        <v>0</v>
      </c>
      <c r="FN19" s="0" t="n">
        <v>0</v>
      </c>
      <c r="FO19" s="0" t="n">
        <v>0</v>
      </c>
      <c r="FP19" s="0" t="n">
        <v>0</v>
      </c>
    </row>
    <row r="20" customFormat="false" ht="13.8" hidden="false" customHeight="false" outlineLevel="0" collapsed="false">
      <c r="A20" s="2" t="s">
        <v>210</v>
      </c>
      <c r="B20" s="0" t="s">
        <v>173</v>
      </c>
      <c r="C20" s="0" t="n">
        <v>74</v>
      </c>
      <c r="D20" s="0" t="s">
        <v>211</v>
      </c>
      <c r="F20" s="0" t="n">
        <v>6.1796</v>
      </c>
      <c r="G20" s="0" t="n">
        <v>4227.4407</v>
      </c>
      <c r="H20" s="0" t="n">
        <v>303.512</v>
      </c>
      <c r="I20" s="0" t="n">
        <v>953.5112</v>
      </c>
      <c r="J20" s="0" t="n">
        <v>0.676366666666667</v>
      </c>
      <c r="K20" s="0" t="n">
        <v>0</v>
      </c>
      <c r="L20" s="0" t="n">
        <v>417.6501</v>
      </c>
      <c r="M20" s="0" t="n">
        <v>548.6158</v>
      </c>
      <c r="N20" s="0" t="n">
        <v>413.5807</v>
      </c>
      <c r="O20" s="0" t="n">
        <v>0.5677</v>
      </c>
      <c r="P20" s="0" t="n">
        <v>405.4525</v>
      </c>
      <c r="Q20" s="0" t="n">
        <v>177.8207</v>
      </c>
      <c r="R20" s="0" t="n">
        <v>239.5526</v>
      </c>
      <c r="S20" s="0" t="n">
        <v>143.4042</v>
      </c>
      <c r="T20" s="0" t="n">
        <v>30.0475</v>
      </c>
      <c r="U20" s="0" t="n">
        <v>150.4879</v>
      </c>
      <c r="V20" s="0" t="n">
        <v>115.0662</v>
      </c>
      <c r="W20" s="0" t="n">
        <v>66.3746</v>
      </c>
      <c r="X20" s="0" t="n">
        <v>82.2972</v>
      </c>
      <c r="Y20" s="0" t="n">
        <v>51.9768</v>
      </c>
      <c r="Z20" s="0" t="n">
        <v>57.8966</v>
      </c>
      <c r="AA20" s="0" t="n">
        <v>33.5293</v>
      </c>
      <c r="AB20" s="0" t="n">
        <v>67.6852</v>
      </c>
      <c r="AC20" s="0" t="n">
        <v>29.3997</v>
      </c>
      <c r="AD20" s="0" t="n">
        <v>66.6973</v>
      </c>
      <c r="AE20" s="0" t="n">
        <v>37.6349</v>
      </c>
      <c r="AF20" s="0" t="n">
        <v>70.2034</v>
      </c>
      <c r="AG20" s="0" t="n">
        <v>33.9251</v>
      </c>
      <c r="AH20" s="0" t="n">
        <v>47.4581</v>
      </c>
      <c r="AI20" s="0" t="n">
        <v>59.2901</v>
      </c>
      <c r="AJ20" s="0" t="n">
        <v>18.8667</v>
      </c>
      <c r="AK20" s="0" t="n">
        <v>71.7561</v>
      </c>
      <c r="AL20" s="0" t="n">
        <v>70.2863</v>
      </c>
      <c r="AM20" s="0" t="n">
        <v>38.463</v>
      </c>
      <c r="AN20" s="0" t="n">
        <v>25.6684</v>
      </c>
      <c r="AO20" s="0" t="n">
        <v>54.0019</v>
      </c>
      <c r="AP20" s="0" t="n">
        <v>40.9459</v>
      </c>
      <c r="AQ20" s="0" t="n">
        <v>43.8252</v>
      </c>
      <c r="AR20" s="0" t="n">
        <v>29.3679</v>
      </c>
      <c r="AS20" s="0" t="n">
        <v>45.5843</v>
      </c>
      <c r="AT20" s="0" t="n">
        <v>62.9172</v>
      </c>
      <c r="AU20" s="0" t="n">
        <v>56.878</v>
      </c>
      <c r="AV20" s="0" t="n">
        <v>1.5013</v>
      </c>
      <c r="AW20" s="0" t="n">
        <v>52.532</v>
      </c>
      <c r="AX20" s="0" t="n">
        <v>50.6574</v>
      </c>
      <c r="AY20" s="0" t="n">
        <v>32.6167</v>
      </c>
      <c r="AZ20" s="0" t="n">
        <v>20.4067</v>
      </c>
      <c r="BA20" s="0" t="n">
        <v>14.3565</v>
      </c>
      <c r="BB20" s="0" t="n">
        <v>27.1874</v>
      </c>
      <c r="BC20" s="0" t="n">
        <v>22.32</v>
      </c>
      <c r="BD20" s="0" t="n">
        <v>12.8134</v>
      </c>
      <c r="BE20" s="0" t="n">
        <v>21.9683</v>
      </c>
      <c r="BF20" s="0" t="n">
        <v>6.9992</v>
      </c>
      <c r="BG20" s="0" t="n">
        <v>13.2146</v>
      </c>
      <c r="BH20" s="0" t="n">
        <v>9.8574</v>
      </c>
      <c r="BI20" s="0" t="n">
        <v>3.7965</v>
      </c>
      <c r="BJ20" s="0" t="n">
        <v>2.956</v>
      </c>
      <c r="BK20" s="0" t="n">
        <v>6.2526</v>
      </c>
      <c r="BL20" s="0" t="n">
        <v>5.548</v>
      </c>
      <c r="BM20" s="0" t="n">
        <v>1.9982</v>
      </c>
      <c r="BN20" s="0" t="n">
        <v>2.5976</v>
      </c>
      <c r="BO20" s="0" t="n">
        <v>0.697</v>
      </c>
      <c r="BP20" s="0" t="n">
        <v>2.2633</v>
      </c>
      <c r="BQ20" s="0" t="n">
        <v>1.2814</v>
      </c>
      <c r="BR20" s="0" t="n">
        <v>1.2386</v>
      </c>
      <c r="BS20" s="0" t="n">
        <v>0.688</v>
      </c>
      <c r="BT20" s="0" t="n">
        <v>0.2068</v>
      </c>
      <c r="BU20" s="0" t="n">
        <v>0.5282</v>
      </c>
      <c r="BV20" s="0" t="n">
        <v>0.1439</v>
      </c>
      <c r="BW20" s="0" t="n">
        <v>0.9282</v>
      </c>
      <c r="BX20" s="0" t="n">
        <v>0.0926</v>
      </c>
      <c r="BY20" s="0" t="n">
        <v>0.1058</v>
      </c>
      <c r="BZ20" s="0" t="n">
        <v>0.2407</v>
      </c>
      <c r="CA20" s="0" t="n">
        <v>0.1375</v>
      </c>
      <c r="CB20" s="0" t="n">
        <v>0.0064</v>
      </c>
      <c r="CC20" s="0" t="n">
        <v>0.0159</v>
      </c>
      <c r="CD20" s="0" t="n">
        <v>0.2443</v>
      </c>
      <c r="CE20" s="0" t="n">
        <v>0.0069</v>
      </c>
      <c r="CF20" s="0" t="n">
        <v>0.3353</v>
      </c>
      <c r="CG20" s="0" t="n">
        <v>0.0772</v>
      </c>
      <c r="CH20" s="0" t="n">
        <v>0.0206</v>
      </c>
      <c r="CI20" s="0" t="n">
        <v>0.0681</v>
      </c>
      <c r="CJ20" s="0" t="n">
        <v>0.0296</v>
      </c>
      <c r="CK20" s="0" t="n">
        <v>0.0201</v>
      </c>
      <c r="CL20" s="0" t="n">
        <v>0.0201</v>
      </c>
      <c r="CM20" s="0" t="n">
        <v>0.0449</v>
      </c>
      <c r="CN20" s="0" t="n">
        <v>0</v>
      </c>
      <c r="CO20" s="0" t="n">
        <v>8.9809</v>
      </c>
      <c r="CP20" s="0" t="n">
        <v>23.2919</v>
      </c>
      <c r="CQ20" s="0" t="n">
        <v>25.2614</v>
      </c>
      <c r="CR20" s="0" t="n">
        <v>0.0392</v>
      </c>
      <c r="CS20" s="0" t="n">
        <v>33.7664</v>
      </c>
      <c r="CT20" s="0" t="n">
        <v>18.0422</v>
      </c>
      <c r="CU20" s="0" t="n">
        <v>28.0489</v>
      </c>
      <c r="CV20" s="0" t="n">
        <v>19.916</v>
      </c>
      <c r="CW20" s="0" t="n">
        <v>4.3444</v>
      </c>
      <c r="CX20" s="0" t="n">
        <v>24.3801</v>
      </c>
      <c r="CY20" s="0" t="n">
        <v>21.0034</v>
      </c>
      <c r="CZ20" s="0" t="n">
        <v>13.1872</v>
      </c>
      <c r="DA20" s="0" t="n">
        <v>17.3486</v>
      </c>
      <c r="DB20" s="0" t="n">
        <v>11.8144</v>
      </c>
      <c r="DC20" s="0" t="n">
        <v>14.1865</v>
      </c>
      <c r="DD20" s="0" t="n">
        <v>8.6109</v>
      </c>
      <c r="DE20" s="0" t="n">
        <v>18.5343</v>
      </c>
      <c r="DF20" s="0" t="n">
        <v>8.5015</v>
      </c>
      <c r="DG20" s="0" t="n">
        <v>20.2873</v>
      </c>
      <c r="DH20" s="0" t="n">
        <v>12.0776</v>
      </c>
      <c r="DI20" s="0" t="n">
        <v>23.7607</v>
      </c>
      <c r="DJ20" s="0" t="n">
        <v>12.0445</v>
      </c>
      <c r="DK20" s="0" t="n">
        <v>17.5508</v>
      </c>
      <c r="DL20" s="0" t="n">
        <v>23.0744</v>
      </c>
      <c r="DM20" s="0" t="n">
        <v>7.5179</v>
      </c>
      <c r="DN20" s="0" t="n">
        <v>29.8044</v>
      </c>
      <c r="DO20" s="0" t="n">
        <v>30.6265</v>
      </c>
      <c r="DP20" s="0" t="n">
        <v>17.4674</v>
      </c>
      <c r="DQ20" s="0" t="n">
        <v>11.7964</v>
      </c>
      <c r="DR20" s="0" t="n">
        <v>25.7909</v>
      </c>
      <c r="DS20" s="0" t="n">
        <v>20.3371</v>
      </c>
      <c r="DT20" s="0" t="n">
        <v>22.5224</v>
      </c>
      <c r="DU20" s="0" t="n">
        <v>15.4047</v>
      </c>
      <c r="DV20" s="0" t="n">
        <v>24.5019</v>
      </c>
      <c r="DW20" s="0" t="n">
        <v>35.0413</v>
      </c>
      <c r="DX20" s="0" t="n">
        <v>32.8644</v>
      </c>
      <c r="DY20" s="0" t="n">
        <v>0.8896</v>
      </c>
      <c r="DZ20" s="0" t="n">
        <v>31.4536</v>
      </c>
      <c r="EA20" s="0" t="n">
        <v>31.3725</v>
      </c>
      <c r="EB20" s="0" t="n">
        <v>20.8462</v>
      </c>
      <c r="EC20" s="0" t="n">
        <v>13.367</v>
      </c>
      <c r="ED20" s="0" t="n">
        <v>9.5188</v>
      </c>
      <c r="EE20" s="0" t="n">
        <v>18.5159</v>
      </c>
      <c r="EF20" s="0" t="n">
        <v>15.631</v>
      </c>
      <c r="EG20" s="0" t="n">
        <v>9.1943</v>
      </c>
      <c r="EH20" s="0" t="n">
        <v>16.0769</v>
      </c>
      <c r="EI20" s="0" t="n">
        <v>5.2045</v>
      </c>
      <c r="EJ20" s="0" t="n">
        <v>10.0487</v>
      </c>
      <c r="EK20" s="0" t="n">
        <v>7.6986</v>
      </c>
      <c r="EL20" s="0" t="n">
        <v>3.0252</v>
      </c>
      <c r="EM20" s="0" t="n">
        <v>2.3817</v>
      </c>
      <c r="EN20" s="0" t="n">
        <v>5.1351</v>
      </c>
      <c r="EO20" s="0" t="n">
        <v>4.6722</v>
      </c>
      <c r="EP20" s="0" t="n">
        <v>1.7111</v>
      </c>
      <c r="EQ20" s="0" t="n">
        <v>2.2621</v>
      </c>
      <c r="ER20" s="0" t="n">
        <v>0.6191</v>
      </c>
      <c r="ES20" s="0" t="n">
        <v>2.0372</v>
      </c>
      <c r="ET20" s="0" t="n">
        <v>1.1769</v>
      </c>
      <c r="EU20" s="0" t="n">
        <v>1.1565</v>
      </c>
      <c r="EV20" s="0" t="n">
        <v>0.6524</v>
      </c>
      <c r="EW20" s="0" t="n">
        <v>0.2002</v>
      </c>
      <c r="EX20" s="0" t="n">
        <v>0.5188</v>
      </c>
      <c r="EY20" s="0" t="n">
        <v>0.1432</v>
      </c>
      <c r="EZ20" s="0" t="n">
        <v>0.9407</v>
      </c>
      <c r="FA20" s="0" t="n">
        <v>0.0957</v>
      </c>
      <c r="FB20" s="0" t="n">
        <v>0.1098</v>
      </c>
      <c r="FC20" s="0" t="n">
        <v>0.2544</v>
      </c>
      <c r="FD20" s="0" t="n">
        <v>0.1481</v>
      </c>
      <c r="FE20" s="0" t="n">
        <v>0.007</v>
      </c>
      <c r="FF20" s="0" t="n">
        <v>0.0175</v>
      </c>
      <c r="FG20" s="0" t="n">
        <v>0.273</v>
      </c>
      <c r="FH20" s="0" t="n">
        <v>0.0078</v>
      </c>
      <c r="FI20" s="0" t="n">
        <v>0.3871</v>
      </c>
      <c r="FJ20" s="0" t="n">
        <v>0.0908</v>
      </c>
      <c r="FK20" s="0" t="n">
        <v>0.0244</v>
      </c>
      <c r="FL20" s="0" t="n">
        <v>0.0817</v>
      </c>
      <c r="FM20" s="0" t="n">
        <v>0.036</v>
      </c>
      <c r="FN20" s="0" t="n">
        <v>0.0249</v>
      </c>
      <c r="FO20" s="0" t="n">
        <v>0.025</v>
      </c>
      <c r="FP20" s="0" t="n">
        <v>0.0567</v>
      </c>
    </row>
    <row r="21" customFormat="false" ht="13.8" hidden="false" customHeight="false" outlineLevel="0" collapsed="false">
      <c r="A21" s="2" t="s">
        <v>212</v>
      </c>
      <c r="B21" s="0" t="s">
        <v>199</v>
      </c>
      <c r="C21" s="0" t="s">
        <v>213</v>
      </c>
      <c r="D21" s="0" t="s">
        <v>214</v>
      </c>
      <c r="G21" s="0" t="n">
        <v>5380.7057</v>
      </c>
      <c r="H21" s="0" t="n">
        <v>273.2422</v>
      </c>
      <c r="I21" s="0" t="n">
        <v>858.4157</v>
      </c>
      <c r="J21" s="0" t="n">
        <v>0.547725</v>
      </c>
      <c r="K21" s="0" t="n">
        <v>0.0127</v>
      </c>
      <c r="L21" s="0" t="n">
        <v>658.1154</v>
      </c>
      <c r="M21" s="0" t="n">
        <v>709.6122</v>
      </c>
      <c r="N21" s="0" t="n">
        <v>607.9467</v>
      </c>
      <c r="O21" s="0" t="n">
        <v>280.5529</v>
      </c>
      <c r="P21" s="0" t="n">
        <v>658.0558</v>
      </c>
      <c r="Q21" s="0" t="n">
        <v>365.1462</v>
      </c>
      <c r="R21" s="0" t="n">
        <v>283.197</v>
      </c>
      <c r="S21" s="0" t="n">
        <v>164.3805</v>
      </c>
      <c r="T21" s="0" t="n">
        <v>81.3846</v>
      </c>
      <c r="U21" s="0" t="n">
        <v>168.498</v>
      </c>
      <c r="V21" s="0" t="n">
        <v>104.0283</v>
      </c>
      <c r="W21" s="0" t="n">
        <v>96.234</v>
      </c>
      <c r="X21" s="0" t="n">
        <v>105.5116</v>
      </c>
      <c r="Y21" s="0" t="n">
        <v>79.8183</v>
      </c>
      <c r="Z21" s="0" t="n">
        <v>76.2825</v>
      </c>
      <c r="AA21" s="0" t="n">
        <v>67.7118</v>
      </c>
      <c r="AB21" s="0" t="n">
        <v>101.1873</v>
      </c>
      <c r="AC21" s="0" t="n">
        <v>52.2369</v>
      </c>
      <c r="AD21" s="0" t="n">
        <v>88.843</v>
      </c>
      <c r="AE21" s="0" t="n">
        <v>59.3657</v>
      </c>
      <c r="AF21" s="0" t="n">
        <v>94.1234</v>
      </c>
      <c r="AG21" s="0" t="n">
        <v>39.2758</v>
      </c>
      <c r="AH21" s="0" t="n">
        <v>61.0186</v>
      </c>
      <c r="AI21" s="0" t="n">
        <v>72.1518</v>
      </c>
      <c r="AJ21" s="0" t="n">
        <v>22.1807</v>
      </c>
      <c r="AK21" s="0" t="n">
        <v>56.7558</v>
      </c>
      <c r="AL21" s="0" t="n">
        <v>37.6854</v>
      </c>
      <c r="AM21" s="0" t="n">
        <v>33.2501</v>
      </c>
      <c r="AN21" s="0" t="n">
        <v>25.8585</v>
      </c>
      <c r="AO21" s="0" t="n">
        <v>32.3457</v>
      </c>
      <c r="AP21" s="0" t="n">
        <v>18.4862</v>
      </c>
      <c r="AQ21" s="0" t="n">
        <v>17.8941</v>
      </c>
      <c r="AR21" s="0" t="n">
        <v>10.4798</v>
      </c>
      <c r="AS21" s="0" t="n">
        <v>7.2437</v>
      </c>
      <c r="AT21" s="0" t="n">
        <v>7.3861</v>
      </c>
      <c r="AU21" s="0" t="n">
        <v>6.1678</v>
      </c>
      <c r="AV21" s="0" t="n">
        <v>2.9392</v>
      </c>
      <c r="AW21" s="0" t="n">
        <v>3.7921</v>
      </c>
      <c r="AX21" s="0" t="n">
        <v>4.4459</v>
      </c>
      <c r="AY21" s="0" t="n">
        <v>1.8119</v>
      </c>
      <c r="AZ21" s="0" t="n">
        <v>1.6821</v>
      </c>
      <c r="BA21" s="0" t="n">
        <v>1.9696</v>
      </c>
      <c r="BB21" s="0" t="n">
        <v>2.377</v>
      </c>
      <c r="BC21" s="0" t="n">
        <v>1.564</v>
      </c>
      <c r="BD21" s="0" t="n">
        <v>0.8057</v>
      </c>
      <c r="BE21" s="0" t="n">
        <v>1.1071</v>
      </c>
      <c r="BF21" s="0" t="n">
        <v>0.3911</v>
      </c>
      <c r="BG21" s="0" t="n">
        <v>0.7466</v>
      </c>
      <c r="BH21" s="0" t="n">
        <v>0.3926</v>
      </c>
      <c r="BI21" s="0" t="n">
        <v>0.3341</v>
      </c>
      <c r="BJ21" s="0" t="n">
        <v>0.2548</v>
      </c>
      <c r="BK21" s="0" t="n">
        <v>0.8843</v>
      </c>
      <c r="BL21" s="0" t="n">
        <v>0.1247</v>
      </c>
      <c r="BM21" s="0" t="n">
        <v>0.3468</v>
      </c>
      <c r="BN21" s="0" t="n">
        <v>0.1105</v>
      </c>
      <c r="BO21" s="0" t="n">
        <v>0</v>
      </c>
      <c r="BP21" s="0" t="n">
        <v>0</v>
      </c>
      <c r="BQ21" s="0" t="n">
        <v>0.0385</v>
      </c>
      <c r="BR21" s="0" t="n">
        <v>0.1009</v>
      </c>
      <c r="BS21" s="0" t="n">
        <v>0.1016</v>
      </c>
      <c r="BT21" s="0" t="n">
        <v>0.087</v>
      </c>
      <c r="BU21" s="0" t="n">
        <v>0.1295</v>
      </c>
      <c r="BV21" s="0" t="n">
        <v>0.0201</v>
      </c>
      <c r="BW21" s="0" t="n">
        <v>0.0407</v>
      </c>
      <c r="BX21" s="0" t="n">
        <v>0.0206</v>
      </c>
      <c r="BY21" s="0" t="n">
        <v>0.2662</v>
      </c>
      <c r="BZ21" s="0" t="n">
        <v>0.0248</v>
      </c>
      <c r="CA21" s="0" t="n">
        <v>0.0296</v>
      </c>
      <c r="CB21" s="0" t="n">
        <v>0</v>
      </c>
      <c r="CC21" s="0" t="n">
        <v>0.1359</v>
      </c>
      <c r="CD21" s="0" t="n">
        <v>0</v>
      </c>
      <c r="CE21" s="0" t="n">
        <v>0.064</v>
      </c>
      <c r="CF21" s="0" t="n">
        <v>0.0248</v>
      </c>
      <c r="CG21" s="0" t="n">
        <v>0</v>
      </c>
      <c r="CH21" s="0" t="n">
        <v>0</v>
      </c>
      <c r="CI21" s="0" t="n">
        <v>0.0227</v>
      </c>
      <c r="CJ21" s="0" t="n">
        <v>0</v>
      </c>
      <c r="CK21" s="0" t="n">
        <v>0</v>
      </c>
      <c r="CL21" s="0" t="n">
        <v>0</v>
      </c>
      <c r="CM21" s="0" t="n">
        <v>0.0333</v>
      </c>
      <c r="CN21" s="0" t="n">
        <v>0.0002</v>
      </c>
      <c r="CO21" s="0" t="n">
        <v>14.1819</v>
      </c>
      <c r="CP21" s="0" t="n">
        <v>29.9942</v>
      </c>
      <c r="CQ21" s="0" t="n">
        <v>36.4716</v>
      </c>
      <c r="CR21" s="0" t="n">
        <v>20.3115</v>
      </c>
      <c r="CS21" s="0" t="n">
        <v>55.3222</v>
      </c>
      <c r="CT21" s="0" t="n">
        <v>36.8678</v>
      </c>
      <c r="CU21" s="0" t="n">
        <v>33.2788</v>
      </c>
      <c r="CV21" s="0" t="n">
        <v>22.4089</v>
      </c>
      <c r="CW21" s="0" t="n">
        <v>11.9071</v>
      </c>
      <c r="CX21" s="0" t="n">
        <v>27.6422</v>
      </c>
      <c r="CY21" s="0" t="n">
        <v>18.9916</v>
      </c>
      <c r="CZ21" s="0" t="n">
        <v>18.9513</v>
      </c>
      <c r="DA21" s="0" t="n">
        <v>22.4132</v>
      </c>
      <c r="DB21" s="0" t="n">
        <v>18.1422</v>
      </c>
      <c r="DC21" s="0" t="n">
        <v>18.6125</v>
      </c>
      <c r="DD21" s="0" t="n">
        <v>17.4273</v>
      </c>
      <c r="DE21" s="0" t="n">
        <v>27.7455</v>
      </c>
      <c r="DF21" s="0" t="n">
        <v>15.1361</v>
      </c>
      <c r="DG21" s="0" t="n">
        <v>27.1052</v>
      </c>
      <c r="DH21" s="0" t="n">
        <v>19.0453</v>
      </c>
      <c r="DI21" s="0" t="n">
        <v>31.9186</v>
      </c>
      <c r="DJ21" s="0" t="n">
        <v>13.9672</v>
      </c>
      <c r="DK21" s="0" t="n">
        <v>22.4841</v>
      </c>
      <c r="DL21" s="0" t="n">
        <v>27.988</v>
      </c>
      <c r="DM21" s="0" t="n">
        <v>8.8593</v>
      </c>
      <c r="DN21" s="0" t="n">
        <v>23.5834</v>
      </c>
      <c r="DO21" s="0" t="n">
        <v>16.374</v>
      </c>
      <c r="DP21" s="0" t="n">
        <v>14.9123</v>
      </c>
      <c r="DQ21" s="0" t="n">
        <v>11.9474</v>
      </c>
      <c r="DR21" s="0" t="n">
        <v>15.5197</v>
      </c>
      <c r="DS21" s="0" t="n">
        <v>9.1535</v>
      </c>
      <c r="DT21" s="0" t="n">
        <v>9.1268</v>
      </c>
      <c r="DU21" s="0" t="n">
        <v>5.5083</v>
      </c>
      <c r="DV21" s="0" t="n">
        <v>3.9009</v>
      </c>
      <c r="DW21" s="0" t="n">
        <v>4.1097</v>
      </c>
      <c r="DX21" s="0" t="n">
        <v>3.5532</v>
      </c>
      <c r="DY21" s="0" t="n">
        <v>1.7344</v>
      </c>
      <c r="DZ21" s="0" t="n">
        <v>2.2781</v>
      </c>
      <c r="EA21" s="0" t="n">
        <v>2.7641</v>
      </c>
      <c r="EB21" s="0" t="n">
        <v>1.1556</v>
      </c>
      <c r="EC21" s="0" t="n">
        <v>1.098</v>
      </c>
      <c r="ED21" s="0" t="n">
        <v>1.309</v>
      </c>
      <c r="EE21" s="0" t="n">
        <v>1.6194</v>
      </c>
      <c r="EF21" s="0" t="n">
        <v>1.0957</v>
      </c>
      <c r="EG21" s="0" t="n">
        <v>0.5789</v>
      </c>
      <c r="EH21" s="0" t="n">
        <v>0.809</v>
      </c>
      <c r="EI21" s="0" t="n">
        <v>0.2913</v>
      </c>
      <c r="EJ21" s="0" t="n">
        <v>0.5692</v>
      </c>
      <c r="EK21" s="0" t="n">
        <v>0.3061</v>
      </c>
      <c r="EL21" s="0" t="n">
        <v>0.2647</v>
      </c>
      <c r="EM21" s="0" t="n">
        <v>0.2057</v>
      </c>
      <c r="EN21" s="0" t="n">
        <v>0.7313</v>
      </c>
      <c r="EO21" s="0" t="n">
        <v>0.1049</v>
      </c>
      <c r="EP21" s="0" t="n">
        <v>0.2968</v>
      </c>
      <c r="EQ21" s="0" t="n">
        <v>0.0967</v>
      </c>
      <c r="ER21" s="0" t="n">
        <v>0</v>
      </c>
      <c r="ES21" s="0" t="n">
        <v>0</v>
      </c>
      <c r="ET21" s="0" t="n">
        <v>0.0439</v>
      </c>
      <c r="EU21" s="0" t="n">
        <v>0.0947</v>
      </c>
      <c r="EV21" s="0" t="n">
        <v>0.096</v>
      </c>
      <c r="EW21" s="0" t="n">
        <v>0.187</v>
      </c>
      <c r="EX21" s="0" t="n">
        <v>0.1262</v>
      </c>
      <c r="EY21" s="0" t="n">
        <v>0.0202</v>
      </c>
      <c r="EZ21" s="0" t="n">
        <v>0.0414</v>
      </c>
      <c r="FA21" s="0" t="n">
        <v>0.0211</v>
      </c>
      <c r="FB21" s="0" t="n">
        <v>0.2975</v>
      </c>
      <c r="FC21" s="0" t="n">
        <v>0.0263</v>
      </c>
      <c r="FD21" s="0" t="n">
        <v>0.0319</v>
      </c>
      <c r="FE21" s="0" t="n">
        <v>0</v>
      </c>
      <c r="FF21" s="0" t="n">
        <v>0.1514</v>
      </c>
      <c r="FG21" s="0" t="n">
        <v>0</v>
      </c>
      <c r="FH21" s="0" t="n">
        <v>0.0727</v>
      </c>
      <c r="FI21" s="0" t="n">
        <v>0.0287</v>
      </c>
      <c r="FJ21" s="0" t="n">
        <v>0</v>
      </c>
      <c r="FK21" s="0" t="n">
        <v>0</v>
      </c>
      <c r="FL21" s="0" t="n">
        <v>0.0273</v>
      </c>
      <c r="FM21" s="0" t="n">
        <v>0</v>
      </c>
      <c r="FN21" s="0" t="n">
        <v>0</v>
      </c>
      <c r="FO21" s="0" t="n">
        <v>0</v>
      </c>
      <c r="FP21" s="0" t="n">
        <v>0.045</v>
      </c>
    </row>
    <row r="22" customFormat="false" ht="13.8" hidden="false" customHeight="false" outlineLevel="0" collapsed="false">
      <c r="A22" s="2" t="s">
        <v>215</v>
      </c>
      <c r="B22" s="0" t="s">
        <v>176</v>
      </c>
      <c r="C22" s="0" t="n">
        <v>258</v>
      </c>
      <c r="D22" s="0" t="s">
        <v>216</v>
      </c>
      <c r="G22" s="0" t="n">
        <v>6157.8174</v>
      </c>
      <c r="H22" s="0" t="n">
        <v>484.4884</v>
      </c>
      <c r="I22" s="0" t="n">
        <v>1522.0648</v>
      </c>
      <c r="J22" s="0" t="n">
        <v>0.764416666666667</v>
      </c>
      <c r="K22" s="0" t="n">
        <v>0.0195</v>
      </c>
      <c r="L22" s="0" t="n">
        <v>14.3641</v>
      </c>
      <c r="M22" s="0" t="n">
        <v>43.6216</v>
      </c>
      <c r="N22" s="0" t="n">
        <v>500.7626</v>
      </c>
      <c r="O22" s="0" t="n">
        <v>760.5999</v>
      </c>
      <c r="P22" s="0" t="n">
        <v>630.4583</v>
      </c>
      <c r="Q22" s="0" t="n">
        <v>835.5656</v>
      </c>
      <c r="R22" s="0" t="n">
        <v>382.6634</v>
      </c>
      <c r="S22" s="0" t="n">
        <v>282.0185</v>
      </c>
      <c r="T22" s="0" t="n">
        <v>213.0844</v>
      </c>
      <c r="U22" s="0" t="n">
        <v>259.3478</v>
      </c>
      <c r="V22" s="0" t="n">
        <v>105.1643</v>
      </c>
      <c r="W22" s="0" t="n">
        <v>153.5467</v>
      </c>
      <c r="X22" s="0" t="n">
        <v>93.2863</v>
      </c>
      <c r="Y22" s="0" t="n">
        <v>57.3337</v>
      </c>
      <c r="Z22" s="0" t="n">
        <v>70.5229</v>
      </c>
      <c r="AA22" s="0" t="n">
        <v>91.5585</v>
      </c>
      <c r="AB22" s="0" t="n">
        <v>87.5956</v>
      </c>
      <c r="AC22" s="0" t="n">
        <v>63.3509</v>
      </c>
      <c r="AD22" s="0" t="n">
        <v>88.4239</v>
      </c>
      <c r="AE22" s="0" t="n">
        <v>58.7592</v>
      </c>
      <c r="AF22" s="0" t="n">
        <v>90.6171</v>
      </c>
      <c r="AG22" s="0" t="n">
        <v>34.5444</v>
      </c>
      <c r="AH22" s="0" t="n">
        <v>64.8222</v>
      </c>
      <c r="AI22" s="0" t="n">
        <v>89.7126</v>
      </c>
      <c r="AJ22" s="0" t="n">
        <v>51.4553</v>
      </c>
      <c r="AK22" s="0" t="n">
        <v>91.2044</v>
      </c>
      <c r="AL22" s="0" t="n">
        <v>48.8765</v>
      </c>
      <c r="AM22" s="0" t="n">
        <v>66.4013</v>
      </c>
      <c r="AN22" s="0" t="n">
        <v>82.7686</v>
      </c>
      <c r="AO22" s="0" t="n">
        <v>76.3223</v>
      </c>
      <c r="AP22" s="0" t="n">
        <v>60.917</v>
      </c>
      <c r="AQ22" s="0" t="n">
        <v>82.3408</v>
      </c>
      <c r="AR22" s="0" t="n">
        <v>69.8572</v>
      </c>
      <c r="AS22" s="0" t="n">
        <v>52.6171</v>
      </c>
      <c r="AT22" s="0" t="n">
        <v>73.8735</v>
      </c>
      <c r="AU22" s="0" t="n">
        <v>59.3473</v>
      </c>
      <c r="AV22" s="0" t="n">
        <v>34.2861</v>
      </c>
      <c r="AW22" s="0" t="n">
        <v>31.5153</v>
      </c>
      <c r="AX22" s="0" t="n">
        <v>43.2657</v>
      </c>
      <c r="AY22" s="0" t="n">
        <v>23.5467</v>
      </c>
      <c r="AZ22" s="0" t="n">
        <v>28.0363</v>
      </c>
      <c r="BA22" s="0" t="n">
        <v>12.6098</v>
      </c>
      <c r="BB22" s="0" t="n">
        <v>20.2206</v>
      </c>
      <c r="BC22" s="0" t="n">
        <v>10.3283</v>
      </c>
      <c r="BD22" s="0" t="n">
        <v>8.5921</v>
      </c>
      <c r="BE22" s="0" t="n">
        <v>9.0866</v>
      </c>
      <c r="BF22" s="0" t="n">
        <v>5.0512</v>
      </c>
      <c r="BG22" s="0" t="n">
        <v>5.8058</v>
      </c>
      <c r="BH22" s="0" t="n">
        <v>5.2119</v>
      </c>
      <c r="BI22" s="0" t="n">
        <v>3.9964</v>
      </c>
      <c r="BJ22" s="0" t="n">
        <v>4.4541</v>
      </c>
      <c r="BK22" s="0" t="n">
        <v>4.1927</v>
      </c>
      <c r="BL22" s="0" t="n">
        <v>1.1626</v>
      </c>
      <c r="BM22" s="0" t="n">
        <v>1.1472</v>
      </c>
      <c r="BN22" s="0" t="n">
        <v>2.4355</v>
      </c>
      <c r="BO22" s="0" t="n">
        <v>1.6657</v>
      </c>
      <c r="BP22" s="0" t="n">
        <v>1.23</v>
      </c>
      <c r="BQ22" s="0" t="n">
        <v>1.9774</v>
      </c>
      <c r="BR22" s="0" t="n">
        <v>0.7076</v>
      </c>
      <c r="BS22" s="0" t="n">
        <v>0.9046</v>
      </c>
      <c r="BT22" s="0" t="n">
        <v>0.6398</v>
      </c>
      <c r="BU22" s="0" t="n">
        <v>0.6719</v>
      </c>
      <c r="BV22" s="0" t="n">
        <v>0.6281</v>
      </c>
      <c r="BW22" s="0" t="n">
        <v>0.7667</v>
      </c>
      <c r="BX22" s="0" t="n">
        <v>0.2846</v>
      </c>
      <c r="BY22" s="0" t="n">
        <v>0.6958</v>
      </c>
      <c r="BZ22" s="0" t="n">
        <v>0.4238</v>
      </c>
      <c r="CA22" s="0" t="n">
        <v>0.2685</v>
      </c>
      <c r="CB22" s="0" t="n">
        <v>0.6302</v>
      </c>
      <c r="CC22" s="0" t="n">
        <v>0.5135</v>
      </c>
      <c r="CD22" s="0" t="n">
        <v>1.0316</v>
      </c>
      <c r="CE22" s="0" t="n">
        <v>0.0486</v>
      </c>
      <c r="CF22" s="0" t="n">
        <v>0.0407</v>
      </c>
      <c r="CG22" s="0" t="n">
        <v>0</v>
      </c>
      <c r="CH22" s="0" t="n">
        <v>0</v>
      </c>
      <c r="CI22" s="0" t="n">
        <v>0.1083</v>
      </c>
      <c r="CJ22" s="0" t="n">
        <v>0</v>
      </c>
      <c r="CK22" s="0" t="n">
        <v>0.073</v>
      </c>
      <c r="CL22" s="0" t="n">
        <v>0.2065</v>
      </c>
      <c r="CM22" s="0" t="n">
        <v>0.8281</v>
      </c>
      <c r="CN22" s="0" t="n">
        <v>0.0003</v>
      </c>
      <c r="CO22" s="0" t="n">
        <v>0.3961</v>
      </c>
      <c r="CP22" s="0" t="n">
        <v>1.7855</v>
      </c>
      <c r="CQ22" s="0" t="n">
        <v>28.6443</v>
      </c>
      <c r="CR22" s="0" t="n">
        <v>53.9473</v>
      </c>
      <c r="CS22" s="0" t="n">
        <v>52.677</v>
      </c>
      <c r="CT22" s="0" t="n">
        <v>84.0435</v>
      </c>
      <c r="CU22" s="0" t="n">
        <v>45.4863</v>
      </c>
      <c r="CV22" s="0" t="n">
        <v>37.5465</v>
      </c>
      <c r="CW22" s="0" t="n">
        <v>31.2811</v>
      </c>
      <c r="CX22" s="0" t="n">
        <v>43.0554</v>
      </c>
      <c r="CY22" s="0" t="n">
        <v>19.0769</v>
      </c>
      <c r="CZ22" s="0" t="n">
        <v>30.0482</v>
      </c>
      <c r="DA22" s="0" t="n">
        <v>20.1514</v>
      </c>
      <c r="DB22" s="0" t="n">
        <v>12.994</v>
      </c>
      <c r="DC22" s="0" t="n">
        <v>17.0794</v>
      </c>
      <c r="DD22" s="0" t="n">
        <v>23.6708</v>
      </c>
      <c r="DE22" s="0" t="n">
        <v>24.1752</v>
      </c>
      <c r="DF22" s="0" t="n">
        <v>18.3825</v>
      </c>
      <c r="DG22" s="0" t="n">
        <v>27.1746</v>
      </c>
      <c r="DH22" s="0" t="n">
        <v>18.8367</v>
      </c>
      <c r="DI22" s="0" t="n">
        <v>30.7493</v>
      </c>
      <c r="DJ22" s="0" t="n">
        <v>12.315</v>
      </c>
      <c r="DK22" s="0" t="n">
        <v>23.784</v>
      </c>
      <c r="DL22" s="0" t="n">
        <v>34.7063</v>
      </c>
      <c r="DM22" s="0" t="n">
        <v>20.61</v>
      </c>
      <c r="DN22" s="0" t="n">
        <v>38.0274</v>
      </c>
      <c r="DO22" s="0" t="n">
        <v>21.1992</v>
      </c>
      <c r="DP22" s="0" t="n">
        <v>29.5792</v>
      </c>
      <c r="DQ22" s="0" t="n">
        <v>38.3353</v>
      </c>
      <c r="DR22" s="0" t="n">
        <v>36.766</v>
      </c>
      <c r="DS22" s="0" t="n">
        <v>29.9877</v>
      </c>
      <c r="DT22" s="0" t="n">
        <v>41.9424</v>
      </c>
      <c r="DU22" s="0" t="n">
        <v>36.8336</v>
      </c>
      <c r="DV22" s="0" t="n">
        <v>28.4138</v>
      </c>
      <c r="DW22" s="0" t="n">
        <v>41.0064</v>
      </c>
      <c r="DX22" s="0" t="n">
        <v>34.0597</v>
      </c>
      <c r="DY22" s="0" t="n">
        <v>20.2579</v>
      </c>
      <c r="DZ22" s="0" t="n">
        <v>18.9608</v>
      </c>
      <c r="EA22" s="0" t="n">
        <v>26.8668</v>
      </c>
      <c r="EB22" s="0" t="n">
        <v>15.0029</v>
      </c>
      <c r="EC22" s="0" t="n">
        <v>18.3033</v>
      </c>
      <c r="ED22" s="0" t="n">
        <v>8.3855</v>
      </c>
      <c r="EE22" s="0" t="n">
        <v>13.7696</v>
      </c>
      <c r="EF22" s="0" t="n">
        <v>7.2481</v>
      </c>
      <c r="EG22" s="0" t="n">
        <v>6.1514</v>
      </c>
      <c r="EH22" s="0" t="n">
        <v>6.6294</v>
      </c>
      <c r="EI22" s="0" t="n">
        <v>3.7634</v>
      </c>
      <c r="EJ22" s="0" t="n">
        <v>4.4076</v>
      </c>
      <c r="EK22" s="0" t="n">
        <v>4.0624</v>
      </c>
      <c r="EL22" s="0" t="n">
        <v>3.163</v>
      </c>
      <c r="EM22" s="0" t="n">
        <v>3.5997</v>
      </c>
      <c r="EN22" s="0" t="n">
        <v>3.4583</v>
      </c>
      <c r="EO22" s="0" t="n">
        <v>0.9754</v>
      </c>
      <c r="EP22" s="0" t="n">
        <v>0.9797</v>
      </c>
      <c r="EQ22" s="0" t="n">
        <v>2.1187</v>
      </c>
      <c r="ER22" s="0" t="n">
        <v>1.4789</v>
      </c>
      <c r="ES22" s="0" t="n">
        <v>1.1098</v>
      </c>
      <c r="ET22" s="0" t="n">
        <v>1.8131</v>
      </c>
      <c r="EU22" s="0" t="n">
        <v>0.6613</v>
      </c>
      <c r="EV22" s="0" t="n">
        <v>0.86</v>
      </c>
      <c r="EW22" s="0" t="n">
        <v>0.6178</v>
      </c>
      <c r="EX22" s="0" t="n">
        <v>0.6581</v>
      </c>
      <c r="EY22" s="0" t="n">
        <v>0.627</v>
      </c>
      <c r="EZ22" s="0" t="n">
        <v>0.7777</v>
      </c>
      <c r="FA22" s="0" t="n">
        <v>0.2918</v>
      </c>
      <c r="FB22" s="0" t="n">
        <v>0.7262</v>
      </c>
      <c r="FC22" s="0" t="n">
        <v>0.449</v>
      </c>
      <c r="FD22" s="0" t="n">
        <v>0.2887</v>
      </c>
      <c r="FE22" s="0" t="n">
        <v>0.6904</v>
      </c>
      <c r="FF22" s="0" t="n">
        <v>0.5673</v>
      </c>
      <c r="FG22" s="0" t="n">
        <v>1.1641</v>
      </c>
      <c r="FH22" s="0" t="n">
        <v>0.0553</v>
      </c>
      <c r="FI22" s="0" t="n">
        <v>0.047</v>
      </c>
      <c r="FJ22" s="0" t="n">
        <v>0</v>
      </c>
      <c r="FK22" s="0" t="n">
        <v>0</v>
      </c>
      <c r="FL22" s="0" t="n">
        <v>0.1294</v>
      </c>
      <c r="FM22" s="0" t="n">
        <v>0</v>
      </c>
      <c r="FN22" s="0" t="n">
        <v>0.0904</v>
      </c>
      <c r="FO22" s="0" t="n">
        <v>0.2571</v>
      </c>
      <c r="FP22" s="0" t="n">
        <v>1.232</v>
      </c>
    </row>
    <row r="23" customFormat="false" ht="13.8" hidden="false" customHeight="false" outlineLevel="0" collapsed="false">
      <c r="A23" s="2" t="s">
        <v>217</v>
      </c>
      <c r="B23" s="0" t="s">
        <v>176</v>
      </c>
      <c r="C23" s="0" t="n">
        <v>271</v>
      </c>
      <c r="D23" s="0" t="s">
        <v>218</v>
      </c>
      <c r="F23" s="0" t="e">
        <f aca="false">VLOOKUP(A23,[1]ROOT!$A$1:$C$1048576,3,0)</f>
        <v>#N/A</v>
      </c>
      <c r="G23" s="0" t="n">
        <v>2420.6118</v>
      </c>
      <c r="H23" s="0" t="n">
        <v>132.5038</v>
      </c>
      <c r="I23" s="0" t="n">
        <v>416.2732</v>
      </c>
      <c r="J23" s="0" t="n">
        <v>0.53305</v>
      </c>
      <c r="K23" s="0" t="n">
        <v>0</v>
      </c>
      <c r="L23" s="0" t="n">
        <v>395.7667</v>
      </c>
      <c r="M23" s="0" t="n">
        <v>400.6855</v>
      </c>
      <c r="N23" s="0" t="n">
        <v>257.7694</v>
      </c>
      <c r="O23" s="0" t="n">
        <v>0.6585</v>
      </c>
      <c r="P23" s="0" t="n">
        <v>257.1343</v>
      </c>
      <c r="Q23" s="0" t="n">
        <v>102.3967</v>
      </c>
      <c r="R23" s="0" t="n">
        <v>142.0384</v>
      </c>
      <c r="S23" s="0" t="n">
        <v>77.9466</v>
      </c>
      <c r="T23" s="0" t="n">
        <v>13.231</v>
      </c>
      <c r="U23" s="0" t="n">
        <v>77.1068</v>
      </c>
      <c r="V23" s="0" t="n">
        <v>58.9485</v>
      </c>
      <c r="W23" s="0" t="n">
        <v>31.5308</v>
      </c>
      <c r="X23" s="0" t="n">
        <v>43.6604</v>
      </c>
      <c r="Y23" s="0" t="n">
        <v>36.7312</v>
      </c>
      <c r="Z23" s="0" t="n">
        <v>29.8877</v>
      </c>
      <c r="AA23" s="0" t="n">
        <v>19.1796</v>
      </c>
      <c r="AB23" s="0" t="n">
        <v>32.5078</v>
      </c>
      <c r="AC23" s="0" t="n">
        <v>13.904</v>
      </c>
      <c r="AD23" s="0" t="n">
        <v>34.6316</v>
      </c>
      <c r="AE23" s="0" t="n">
        <v>21.7311</v>
      </c>
      <c r="AF23" s="0" t="n">
        <v>32.6472</v>
      </c>
      <c r="AG23" s="0" t="n">
        <v>8.1362</v>
      </c>
      <c r="AH23" s="0" t="n">
        <v>24.2418</v>
      </c>
      <c r="AI23" s="0" t="n">
        <v>23.6505</v>
      </c>
      <c r="AJ23" s="0" t="n">
        <v>5.4281</v>
      </c>
      <c r="AK23" s="0" t="n">
        <v>28.9994</v>
      </c>
      <c r="AL23" s="0" t="n">
        <v>30.4244</v>
      </c>
      <c r="AM23" s="0" t="n">
        <v>14.2594</v>
      </c>
      <c r="AN23" s="0" t="n">
        <v>17.2206</v>
      </c>
      <c r="AO23" s="0" t="n">
        <v>27.0838</v>
      </c>
      <c r="AP23" s="0" t="n">
        <v>10.1147</v>
      </c>
      <c r="AQ23" s="0" t="n">
        <v>17.0259</v>
      </c>
      <c r="AR23" s="0" t="n">
        <v>12.6563</v>
      </c>
      <c r="AS23" s="0" t="n">
        <v>12.6778</v>
      </c>
      <c r="AT23" s="0" t="n">
        <v>25.2974</v>
      </c>
      <c r="AU23" s="0" t="n">
        <v>14.8903</v>
      </c>
      <c r="AV23" s="0" t="n">
        <v>2.1972</v>
      </c>
      <c r="AW23" s="0" t="n">
        <v>10.4415</v>
      </c>
      <c r="AX23" s="0" t="n">
        <v>8.5934</v>
      </c>
      <c r="AY23" s="0" t="n">
        <v>5.0089</v>
      </c>
      <c r="AZ23" s="0" t="n">
        <v>4.5954</v>
      </c>
      <c r="BA23" s="0" t="n">
        <v>7.0724</v>
      </c>
      <c r="BB23" s="0" t="n">
        <v>5.5846</v>
      </c>
      <c r="BC23" s="0" t="n">
        <v>3.3116</v>
      </c>
      <c r="BD23" s="0" t="n">
        <v>1.5301</v>
      </c>
      <c r="BE23" s="0" t="n">
        <v>4.0323</v>
      </c>
      <c r="BF23" s="0" t="n">
        <v>0.5969</v>
      </c>
      <c r="BG23" s="0" t="n">
        <v>2.4555</v>
      </c>
      <c r="BH23" s="0" t="n">
        <v>1.3913</v>
      </c>
      <c r="BI23" s="0" t="n">
        <v>0.4034</v>
      </c>
      <c r="BJ23" s="0" t="n">
        <v>1.2577</v>
      </c>
      <c r="BK23" s="0" t="n">
        <v>1.5848</v>
      </c>
      <c r="BL23" s="0" t="n">
        <v>1.0642</v>
      </c>
      <c r="BM23" s="0" t="n">
        <v>0.7401</v>
      </c>
      <c r="BN23" s="0" t="n">
        <v>0.5785</v>
      </c>
      <c r="BO23" s="0" t="n">
        <v>0.0127</v>
      </c>
      <c r="BP23" s="0" t="n">
        <v>0.2565</v>
      </c>
      <c r="BQ23" s="0" t="n">
        <v>0.4511</v>
      </c>
      <c r="BR23" s="0" t="n">
        <v>0.689</v>
      </c>
      <c r="BS23" s="0" t="n">
        <v>0.8722</v>
      </c>
      <c r="BT23" s="0" t="n">
        <v>0.2696</v>
      </c>
      <c r="BU23" s="0" t="n">
        <v>0.1464</v>
      </c>
      <c r="BV23" s="0" t="n">
        <v>0.0069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0.0635</v>
      </c>
      <c r="CD23" s="0" t="n">
        <v>0.4148</v>
      </c>
      <c r="CE23" s="0" t="n">
        <v>0.4214</v>
      </c>
      <c r="CF23" s="0" t="n">
        <v>0</v>
      </c>
      <c r="CG23" s="0" t="n">
        <v>0</v>
      </c>
      <c r="CH23" s="0" t="n">
        <v>0.1296</v>
      </c>
      <c r="CI23" s="0" t="n">
        <v>0</v>
      </c>
      <c r="CJ23" s="0" t="n">
        <v>0.0069</v>
      </c>
      <c r="CK23" s="0" t="n">
        <v>0</v>
      </c>
      <c r="CL23" s="0" t="n">
        <v>0</v>
      </c>
      <c r="CM23" s="0" t="n">
        <v>0.1698</v>
      </c>
      <c r="CN23" s="0" t="n">
        <v>0</v>
      </c>
      <c r="CO23" s="0" t="n">
        <v>8.4722</v>
      </c>
      <c r="CP23" s="0" t="n">
        <v>17.0483</v>
      </c>
      <c r="CQ23" s="0" t="n">
        <v>15.7465</v>
      </c>
      <c r="CR23" s="0" t="n">
        <v>0.0455</v>
      </c>
      <c r="CS23" s="0" t="n">
        <v>21.4702</v>
      </c>
      <c r="CT23" s="0" t="n">
        <v>10.4159</v>
      </c>
      <c r="CU23" s="0" t="n">
        <v>16.5931</v>
      </c>
      <c r="CV23" s="0" t="n">
        <v>10.8159</v>
      </c>
      <c r="CW23" s="0" t="n">
        <v>1.9131</v>
      </c>
      <c r="CX23" s="0" t="n">
        <v>12.5576</v>
      </c>
      <c r="CY23" s="0" t="n">
        <v>10.8084</v>
      </c>
      <c r="CZ23" s="0" t="n">
        <v>6.2536</v>
      </c>
      <c r="DA23" s="0" t="n">
        <v>9.1591</v>
      </c>
      <c r="DB23" s="0" t="n">
        <v>8.3525</v>
      </c>
      <c r="DC23" s="0" t="n">
        <v>7.3394</v>
      </c>
      <c r="DD23" s="0" t="n">
        <v>4.8952</v>
      </c>
      <c r="DE23" s="0" t="n">
        <v>8.9023</v>
      </c>
      <c r="DF23" s="0" t="n">
        <v>4.0208</v>
      </c>
      <c r="DG23" s="0" t="n">
        <v>10.5352</v>
      </c>
      <c r="DH23" s="0" t="n">
        <v>6.9941</v>
      </c>
      <c r="DI23" s="0" t="n">
        <v>11.119</v>
      </c>
      <c r="DJ23" s="0" t="n">
        <v>2.8797</v>
      </c>
      <c r="DK23" s="0" t="n">
        <v>8.9437</v>
      </c>
      <c r="DL23" s="0" t="n">
        <v>9.2217</v>
      </c>
      <c r="DM23" s="0" t="n">
        <v>2.1585</v>
      </c>
      <c r="DN23" s="0" t="n">
        <v>12.0589</v>
      </c>
      <c r="DO23" s="0" t="n">
        <v>13.2727</v>
      </c>
      <c r="DP23" s="0" t="n">
        <v>6.4684</v>
      </c>
      <c r="DQ23" s="0" t="n">
        <v>7.9252</v>
      </c>
      <c r="DR23" s="0" t="n">
        <v>12.9725</v>
      </c>
      <c r="DS23" s="0" t="n">
        <v>5.0204</v>
      </c>
      <c r="DT23" s="0" t="n">
        <v>8.7034</v>
      </c>
      <c r="DU23" s="0" t="n">
        <v>6.6898</v>
      </c>
      <c r="DV23" s="0" t="n">
        <v>6.8092</v>
      </c>
      <c r="DW23" s="0" t="n">
        <v>14.0634</v>
      </c>
      <c r="DX23" s="0" t="n">
        <v>8.595</v>
      </c>
      <c r="DY23" s="0" t="n">
        <v>1.3019</v>
      </c>
      <c r="DZ23" s="0" t="n">
        <v>6.2529</v>
      </c>
      <c r="EA23" s="0" t="n">
        <v>5.3299</v>
      </c>
      <c r="EB23" s="0" t="n">
        <v>3.2048</v>
      </c>
      <c r="EC23" s="0" t="n">
        <v>2.9794</v>
      </c>
      <c r="ED23" s="0" t="n">
        <v>4.6965</v>
      </c>
      <c r="EE23" s="0" t="n">
        <v>3.8119</v>
      </c>
      <c r="EF23" s="0" t="n">
        <v>2.3256</v>
      </c>
      <c r="EG23" s="0" t="n">
        <v>1.0953</v>
      </c>
      <c r="EH23" s="0" t="n">
        <v>2.9668</v>
      </c>
      <c r="EI23" s="0" t="n">
        <v>0.4438</v>
      </c>
      <c r="EJ23" s="0" t="n">
        <v>1.8683</v>
      </c>
      <c r="EK23" s="0" t="n">
        <v>1.0891</v>
      </c>
      <c r="EL23" s="0" t="n">
        <v>0.3218</v>
      </c>
      <c r="EM23" s="0" t="n">
        <v>1.0134</v>
      </c>
      <c r="EN23" s="0" t="n">
        <v>1.3055</v>
      </c>
      <c r="EO23" s="0" t="n">
        <v>0.8971</v>
      </c>
      <c r="EP23" s="0" t="n">
        <v>0.6333</v>
      </c>
      <c r="EQ23" s="0" t="n">
        <v>0.5054</v>
      </c>
      <c r="ER23" s="0" t="n">
        <v>0.0113</v>
      </c>
      <c r="ES23" s="0" t="n">
        <v>0.2327</v>
      </c>
      <c r="ET23" s="0" t="n">
        <v>0.4154</v>
      </c>
      <c r="EU23" s="0" t="n">
        <v>0.642</v>
      </c>
      <c r="EV23" s="0" t="n">
        <v>0.8305</v>
      </c>
      <c r="EW23" s="0" t="n">
        <v>0.2603</v>
      </c>
      <c r="EX23" s="0" t="n">
        <v>0.1446</v>
      </c>
      <c r="EY23" s="0" t="n">
        <v>0.0068</v>
      </c>
      <c r="EZ23" s="0" t="n">
        <v>0</v>
      </c>
      <c r="FA23" s="0" t="n">
        <v>0</v>
      </c>
      <c r="FB23" s="0" t="n">
        <v>0</v>
      </c>
      <c r="FC23" s="0" t="n">
        <v>0</v>
      </c>
      <c r="FD23" s="0" t="n">
        <v>0</v>
      </c>
      <c r="FE23" s="0" t="n">
        <v>0</v>
      </c>
      <c r="FF23" s="0" t="n">
        <v>0.0843</v>
      </c>
      <c r="FG23" s="0" t="n">
        <v>0.4671</v>
      </c>
      <c r="FH23" s="0" t="n">
        <v>0.4787</v>
      </c>
      <c r="FI23" s="0" t="n">
        <v>0</v>
      </c>
      <c r="FJ23" s="0" t="n">
        <v>0</v>
      </c>
      <c r="FK23" s="0" t="n">
        <v>0.1535</v>
      </c>
      <c r="FL23" s="0" t="n">
        <v>0</v>
      </c>
      <c r="FM23" s="0" t="n">
        <v>0.0083</v>
      </c>
      <c r="FN23" s="0" t="n">
        <v>0</v>
      </c>
      <c r="FO23" s="0" t="n">
        <v>0</v>
      </c>
      <c r="FP23" s="0" t="n">
        <v>0.2301</v>
      </c>
    </row>
    <row r="24" customFormat="false" ht="13.8" hidden="false" customHeight="false" outlineLevel="0" collapsed="false">
      <c r="A24" s="2" t="s">
        <v>219</v>
      </c>
      <c r="B24" s="0" t="s">
        <v>176</v>
      </c>
      <c r="C24" s="0" t="n">
        <v>379</v>
      </c>
      <c r="D24" s="0" t="s">
        <v>220</v>
      </c>
      <c r="G24" s="0" t="n">
        <v>3888.5392</v>
      </c>
      <c r="H24" s="0" t="n">
        <v>195.8685</v>
      </c>
      <c r="I24" s="0" t="n">
        <v>615.3393</v>
      </c>
      <c r="J24" s="0" t="n">
        <v>0.49526</v>
      </c>
      <c r="K24" s="0" t="n">
        <v>0</v>
      </c>
      <c r="L24" s="0" t="n">
        <v>350.6055</v>
      </c>
      <c r="M24" s="0" t="n">
        <v>375.0984</v>
      </c>
      <c r="N24" s="0" t="n">
        <v>625.7599</v>
      </c>
      <c r="O24" s="0" t="n">
        <v>504.4037</v>
      </c>
      <c r="P24" s="0" t="n">
        <v>348.5996</v>
      </c>
      <c r="Q24" s="0" t="n">
        <v>215.9233</v>
      </c>
      <c r="R24" s="0" t="n">
        <v>193.3714</v>
      </c>
      <c r="S24" s="0" t="n">
        <v>103.2583</v>
      </c>
      <c r="T24" s="0" t="n">
        <v>85.0403</v>
      </c>
      <c r="U24" s="0" t="n">
        <v>71.645</v>
      </c>
      <c r="V24" s="0" t="n">
        <v>76.9496</v>
      </c>
      <c r="W24" s="0" t="n">
        <v>64.137</v>
      </c>
      <c r="X24" s="0" t="n">
        <v>61.1633</v>
      </c>
      <c r="Y24" s="0" t="n">
        <v>49.2729</v>
      </c>
      <c r="Z24" s="0" t="n">
        <v>54.1872</v>
      </c>
      <c r="AA24" s="0" t="n">
        <v>44.5916</v>
      </c>
      <c r="AB24" s="0" t="n">
        <v>36.1656</v>
      </c>
      <c r="AC24" s="0" t="n">
        <v>36.0798</v>
      </c>
      <c r="AD24" s="0" t="n">
        <v>40.658</v>
      </c>
      <c r="AE24" s="0" t="n">
        <v>39.9691</v>
      </c>
      <c r="AF24" s="0" t="n">
        <v>36.5974</v>
      </c>
      <c r="AG24" s="0" t="n">
        <v>28.1381</v>
      </c>
      <c r="AH24" s="0" t="n">
        <v>26.9587</v>
      </c>
      <c r="AI24" s="0" t="n">
        <v>26.9339</v>
      </c>
      <c r="AJ24" s="0" t="n">
        <v>23.4685</v>
      </c>
      <c r="AK24" s="0" t="n">
        <v>28.4267</v>
      </c>
      <c r="AL24" s="0" t="n">
        <v>33.4572</v>
      </c>
      <c r="AM24" s="0" t="n">
        <v>28.5089</v>
      </c>
      <c r="AN24" s="0" t="n">
        <v>23.0018</v>
      </c>
      <c r="AO24" s="0" t="n">
        <v>20.5893</v>
      </c>
      <c r="AP24" s="0" t="n">
        <v>21.9143</v>
      </c>
      <c r="AQ24" s="0" t="n">
        <v>23.38</v>
      </c>
      <c r="AR24" s="0" t="n">
        <v>25.4365</v>
      </c>
      <c r="AS24" s="0" t="n">
        <v>24.1587</v>
      </c>
      <c r="AT24" s="0" t="n">
        <v>20.8376</v>
      </c>
      <c r="AU24" s="0" t="n">
        <v>24.547</v>
      </c>
      <c r="AV24" s="0" t="n">
        <v>16.7283</v>
      </c>
      <c r="AW24" s="0" t="n">
        <v>13.0885</v>
      </c>
      <c r="AX24" s="0" t="n">
        <v>13.1727</v>
      </c>
      <c r="AY24" s="0" t="n">
        <v>12.0297</v>
      </c>
      <c r="AZ24" s="0" t="n">
        <v>9.9309</v>
      </c>
      <c r="BA24" s="0" t="n">
        <v>8.3736</v>
      </c>
      <c r="BB24" s="0" t="n">
        <v>4.2994</v>
      </c>
      <c r="BC24" s="0" t="n">
        <v>3.9575</v>
      </c>
      <c r="BD24" s="0" t="n">
        <v>2.2435</v>
      </c>
      <c r="BE24" s="0" t="n">
        <v>1.2489</v>
      </c>
      <c r="BF24" s="0" t="n">
        <v>2.0923</v>
      </c>
      <c r="BG24" s="0" t="n">
        <v>1.231</v>
      </c>
      <c r="BH24" s="0" t="n">
        <v>1.3293</v>
      </c>
      <c r="BI24" s="0" t="n">
        <v>1.1179</v>
      </c>
      <c r="BJ24" s="0" t="n">
        <v>0.7788</v>
      </c>
      <c r="BK24" s="0" t="n">
        <v>0.5382</v>
      </c>
      <c r="BL24" s="0" t="n">
        <v>0.1539</v>
      </c>
      <c r="BM24" s="0" t="n">
        <v>0.2168</v>
      </c>
      <c r="BN24" s="0" t="n">
        <v>0.1518</v>
      </c>
      <c r="BO24" s="0" t="n">
        <v>0.0201</v>
      </c>
      <c r="BP24" s="0" t="n">
        <v>0.0613</v>
      </c>
      <c r="BQ24" s="0" t="n">
        <v>0</v>
      </c>
      <c r="BR24" s="0" t="n">
        <v>0.0159</v>
      </c>
      <c r="BS24" s="0" t="n">
        <v>0.2368</v>
      </c>
      <c r="BT24" s="0" t="n">
        <v>0.0608</v>
      </c>
      <c r="BU24" s="0" t="n">
        <v>0</v>
      </c>
      <c r="BV24" s="0" t="n">
        <v>0.0137</v>
      </c>
      <c r="BW24" s="0" t="n">
        <v>0.0465</v>
      </c>
      <c r="BX24" s="0" t="n">
        <v>0.0333</v>
      </c>
      <c r="BY24" s="0" t="n">
        <v>0</v>
      </c>
      <c r="BZ24" s="0" t="n">
        <v>0</v>
      </c>
      <c r="CA24" s="0" t="n">
        <v>0.1576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9.1634</v>
      </c>
      <c r="CP24" s="0" t="n">
        <v>14.7401</v>
      </c>
      <c r="CQ24" s="0" t="n">
        <v>34.5141</v>
      </c>
      <c r="CR24" s="0" t="n">
        <v>35.121</v>
      </c>
      <c r="CS24" s="0" t="n">
        <v>29.8865</v>
      </c>
      <c r="CT24" s="0" t="n">
        <v>21.9578</v>
      </c>
      <c r="CU24" s="0" t="n">
        <v>22.7366</v>
      </c>
      <c r="CV24" s="0" t="n">
        <v>13.7758</v>
      </c>
      <c r="CW24" s="0" t="n">
        <v>12.6423</v>
      </c>
      <c r="CX24" s="0" t="n">
        <v>11.7807</v>
      </c>
      <c r="CY24" s="0" t="n">
        <v>13.934</v>
      </c>
      <c r="CZ24" s="0" t="n">
        <v>12.5869</v>
      </c>
      <c r="DA24" s="0" t="n">
        <v>12.9341</v>
      </c>
      <c r="DB24" s="0" t="n">
        <v>11.2209</v>
      </c>
      <c r="DC24" s="0" t="n">
        <v>13.216</v>
      </c>
      <c r="DD24" s="0" t="n">
        <v>11.5325</v>
      </c>
      <c r="DE24" s="0" t="n">
        <v>9.9357</v>
      </c>
      <c r="DF24" s="0" t="n">
        <v>10.4833</v>
      </c>
      <c r="DG24" s="0" t="n">
        <v>12.4554</v>
      </c>
      <c r="DH24" s="0" t="n">
        <v>12.8637</v>
      </c>
      <c r="DI24" s="0" t="n">
        <v>12.3789</v>
      </c>
      <c r="DJ24" s="0" t="n">
        <v>9.9237</v>
      </c>
      <c r="DK24" s="0" t="n">
        <v>9.9433</v>
      </c>
      <c r="DL24" s="0" t="n">
        <v>10.3758</v>
      </c>
      <c r="DM24" s="0" t="n">
        <v>9.3879</v>
      </c>
      <c r="DN24" s="0" t="n">
        <v>11.8543</v>
      </c>
      <c r="DO24" s="0" t="n">
        <v>14.4678</v>
      </c>
      <c r="DP24" s="0" t="n">
        <v>12.7392</v>
      </c>
      <c r="DQ24" s="0" t="n">
        <v>10.6464</v>
      </c>
      <c r="DR24" s="0" t="n">
        <v>9.8674</v>
      </c>
      <c r="DS24" s="0" t="n">
        <v>10.8612</v>
      </c>
      <c r="DT24" s="0" t="n">
        <v>11.9434</v>
      </c>
      <c r="DU24" s="0" t="n">
        <v>13.3932</v>
      </c>
      <c r="DV24" s="0" t="n">
        <v>13.0707</v>
      </c>
      <c r="DW24" s="0" t="n">
        <v>11.5999</v>
      </c>
      <c r="DX24" s="0" t="n">
        <v>14.1023</v>
      </c>
      <c r="DY24" s="0" t="n">
        <v>9.8396</v>
      </c>
      <c r="DZ24" s="0" t="n">
        <v>7.9063</v>
      </c>
      <c r="EA24" s="0" t="n">
        <v>8.1672</v>
      </c>
      <c r="EB24" s="0" t="n">
        <v>7.6554</v>
      </c>
      <c r="EC24" s="0" t="n">
        <v>6.4669</v>
      </c>
      <c r="ED24" s="0" t="n">
        <v>5.5801</v>
      </c>
      <c r="EE24" s="0" t="n">
        <v>2.9503</v>
      </c>
      <c r="EF24" s="0" t="n">
        <v>2.7647</v>
      </c>
      <c r="EG24" s="0" t="n">
        <v>1.606</v>
      </c>
      <c r="EH24" s="0" t="n">
        <v>0.9137</v>
      </c>
      <c r="EI24" s="0" t="n">
        <v>1.5642</v>
      </c>
      <c r="EJ24" s="0" t="n">
        <v>0.9355</v>
      </c>
      <c r="EK24" s="0" t="n">
        <v>1.0309</v>
      </c>
      <c r="EL24" s="0" t="n">
        <v>0.8863</v>
      </c>
      <c r="EM24" s="0" t="n">
        <v>0.6279</v>
      </c>
      <c r="EN24" s="0" t="n">
        <v>0.4431</v>
      </c>
      <c r="EO24" s="0" t="n">
        <v>0.1297</v>
      </c>
      <c r="EP24" s="0" t="n">
        <v>0.1848</v>
      </c>
      <c r="EQ24" s="0" t="n">
        <v>0.1326</v>
      </c>
      <c r="ER24" s="0" t="n">
        <v>0.0179</v>
      </c>
      <c r="ES24" s="0" t="n">
        <v>0.0556</v>
      </c>
      <c r="ET24" s="0" t="n">
        <v>0</v>
      </c>
      <c r="EU24" s="0" t="n">
        <v>0.0149</v>
      </c>
      <c r="EV24" s="0" t="n">
        <v>0.2258</v>
      </c>
      <c r="EW24" s="0" t="n">
        <v>0.0586</v>
      </c>
      <c r="EX24" s="0" t="n">
        <v>0</v>
      </c>
      <c r="EY24" s="0" t="n">
        <v>0.0138</v>
      </c>
      <c r="EZ24" s="0" t="n">
        <v>0.0472</v>
      </c>
      <c r="FA24" s="0" t="n">
        <v>0.0344</v>
      </c>
      <c r="FB24" s="0" t="n">
        <v>0</v>
      </c>
      <c r="FC24" s="0" t="n">
        <v>0</v>
      </c>
      <c r="FD24" s="0" t="n">
        <v>0.1691</v>
      </c>
      <c r="FE24" s="0" t="n">
        <v>0</v>
      </c>
      <c r="FF24" s="0" t="n">
        <v>0</v>
      </c>
      <c r="FG24" s="0" t="n">
        <v>0</v>
      </c>
      <c r="FH24" s="0" t="n">
        <v>0</v>
      </c>
      <c r="FI24" s="0" t="n">
        <v>0</v>
      </c>
      <c r="FJ24" s="0" t="n">
        <v>0</v>
      </c>
      <c r="FK24" s="0" t="n">
        <v>0</v>
      </c>
      <c r="FL24" s="0" t="n">
        <v>0</v>
      </c>
      <c r="FM24" s="0" t="n">
        <v>0</v>
      </c>
      <c r="FN24" s="0" t="n">
        <v>0</v>
      </c>
      <c r="FO24" s="0" t="n">
        <v>0</v>
      </c>
      <c r="FP24" s="0" t="n">
        <v>0</v>
      </c>
    </row>
    <row r="25" customFormat="false" ht="13.8" hidden="false" customHeight="false" outlineLevel="0" collapsed="false">
      <c r="A25" s="2" t="s">
        <v>221</v>
      </c>
      <c r="B25" s="0" t="s">
        <v>199</v>
      </c>
      <c r="C25" s="0" t="s">
        <v>222</v>
      </c>
      <c r="D25" s="0" t="s">
        <v>223</v>
      </c>
      <c r="E25" s="0" t="e">
        <f aca="false">VLOOKUP(A25,[1]RHIZOMES!$A$1:$B$1048576,2,0)</f>
        <v>#N/A</v>
      </c>
      <c r="G25" s="0" t="n">
        <v>2128.1218</v>
      </c>
      <c r="H25" s="0" t="n">
        <v>232.8784</v>
      </c>
      <c r="I25" s="0" t="n">
        <v>731.6088</v>
      </c>
      <c r="J25" s="0" t="n">
        <v>1.06523333333333</v>
      </c>
      <c r="K25" s="0" t="n">
        <v>0.0433</v>
      </c>
      <c r="L25" s="0" t="n">
        <v>19.6687</v>
      </c>
      <c r="M25" s="0" t="n">
        <v>26.4963</v>
      </c>
      <c r="N25" s="0" t="n">
        <v>94.0632</v>
      </c>
      <c r="O25" s="0" t="n">
        <v>132.8914</v>
      </c>
      <c r="P25" s="0" t="n">
        <v>151.5867</v>
      </c>
      <c r="Q25" s="0" t="n">
        <v>221.265</v>
      </c>
      <c r="R25" s="0" t="n">
        <v>125.3317</v>
      </c>
      <c r="S25" s="0" t="n">
        <v>94.3944</v>
      </c>
      <c r="T25" s="0" t="n">
        <v>71.4599</v>
      </c>
      <c r="U25" s="0" t="n">
        <v>86.8733</v>
      </c>
      <c r="V25" s="0" t="n">
        <v>36.57</v>
      </c>
      <c r="W25" s="0" t="n">
        <v>57.3043</v>
      </c>
      <c r="X25" s="0" t="n">
        <v>35.1584</v>
      </c>
      <c r="Y25" s="0" t="n">
        <v>24.2827</v>
      </c>
      <c r="Z25" s="0" t="n">
        <v>29.4775</v>
      </c>
      <c r="AA25" s="0" t="n">
        <v>35.2813</v>
      </c>
      <c r="AB25" s="0" t="n">
        <v>31.2772</v>
      </c>
      <c r="AC25" s="0" t="n">
        <v>24.7771</v>
      </c>
      <c r="AD25" s="0" t="n">
        <v>33.5188</v>
      </c>
      <c r="AE25" s="0" t="n">
        <v>26.9849</v>
      </c>
      <c r="AF25" s="0" t="n">
        <v>41.8633</v>
      </c>
      <c r="AG25" s="0" t="n">
        <v>20.242</v>
      </c>
      <c r="AH25" s="0" t="n">
        <v>27.7013</v>
      </c>
      <c r="AI25" s="0" t="n">
        <v>33.6309</v>
      </c>
      <c r="AJ25" s="0" t="n">
        <v>17.029</v>
      </c>
      <c r="AK25" s="0" t="n">
        <v>25.386</v>
      </c>
      <c r="AL25" s="0" t="n">
        <v>19.1973</v>
      </c>
      <c r="AM25" s="0" t="n">
        <v>19.8481</v>
      </c>
      <c r="AN25" s="0" t="n">
        <v>23.7119</v>
      </c>
      <c r="AO25" s="0" t="n">
        <v>27.1619</v>
      </c>
      <c r="AP25" s="0" t="n">
        <v>20.0006</v>
      </c>
      <c r="AQ25" s="0" t="n">
        <v>27.0683</v>
      </c>
      <c r="AR25" s="0" t="n">
        <v>31.5954</v>
      </c>
      <c r="AS25" s="0" t="n">
        <v>25.3731</v>
      </c>
      <c r="AT25" s="0" t="n">
        <v>34.0151</v>
      </c>
      <c r="AU25" s="0" t="n">
        <v>33.5004</v>
      </c>
      <c r="AV25" s="0" t="n">
        <v>24.2076</v>
      </c>
      <c r="AW25" s="0" t="n">
        <v>22.2109</v>
      </c>
      <c r="AX25" s="0" t="n">
        <v>25.1187</v>
      </c>
      <c r="AY25" s="0" t="n">
        <v>20.063</v>
      </c>
      <c r="AZ25" s="0" t="n">
        <v>25.1429</v>
      </c>
      <c r="BA25" s="0" t="n">
        <v>12.932</v>
      </c>
      <c r="BB25" s="0" t="n">
        <v>28.3546</v>
      </c>
      <c r="BC25" s="0" t="n">
        <v>18.9676</v>
      </c>
      <c r="BD25" s="0" t="n">
        <v>14.2947</v>
      </c>
      <c r="BE25" s="0" t="n">
        <v>14.7444</v>
      </c>
      <c r="BF25" s="0" t="n">
        <v>13.3365</v>
      </c>
      <c r="BG25" s="0" t="n">
        <v>14.4962</v>
      </c>
      <c r="BH25" s="0" t="n">
        <v>14.098</v>
      </c>
      <c r="BI25" s="0" t="n">
        <v>11.433</v>
      </c>
      <c r="BJ25" s="0" t="n">
        <v>11.2886</v>
      </c>
      <c r="BK25" s="0" t="n">
        <v>12.4639</v>
      </c>
      <c r="BL25" s="0" t="n">
        <v>5.2337</v>
      </c>
      <c r="BM25" s="0" t="n">
        <v>6.5315</v>
      </c>
      <c r="BN25" s="0" t="n">
        <v>8.3186</v>
      </c>
      <c r="BO25" s="0" t="n">
        <v>4.5702</v>
      </c>
      <c r="BP25" s="0" t="n">
        <v>3.0944</v>
      </c>
      <c r="BQ25" s="0" t="n">
        <v>4.2756</v>
      </c>
      <c r="BR25" s="0" t="n">
        <v>2.9032</v>
      </c>
      <c r="BS25" s="0" t="n">
        <v>3.2819</v>
      </c>
      <c r="BT25" s="0" t="n">
        <v>2.0943</v>
      </c>
      <c r="BU25" s="0" t="n">
        <v>1.5558</v>
      </c>
      <c r="BV25" s="0" t="n">
        <v>2.321</v>
      </c>
      <c r="BW25" s="0" t="n">
        <v>1.609</v>
      </c>
      <c r="BX25" s="0" t="n">
        <v>1.6364</v>
      </c>
      <c r="BY25" s="0" t="n">
        <v>1.3191</v>
      </c>
      <c r="BZ25" s="0" t="n">
        <v>1.3188</v>
      </c>
      <c r="CA25" s="0" t="n">
        <v>0.7774</v>
      </c>
      <c r="CB25" s="0" t="n">
        <v>0.4302</v>
      </c>
      <c r="CC25" s="0" t="n">
        <v>0.4558</v>
      </c>
      <c r="CD25" s="0" t="n">
        <v>0.6529</v>
      </c>
      <c r="CE25" s="0" t="n">
        <v>0.258</v>
      </c>
      <c r="CF25" s="0" t="n">
        <v>0.6626</v>
      </c>
      <c r="CG25" s="0" t="n">
        <v>0.1618</v>
      </c>
      <c r="CH25" s="0" t="n">
        <v>0.6502</v>
      </c>
      <c r="CI25" s="0" t="n">
        <v>0.5931</v>
      </c>
      <c r="CJ25" s="0" t="n">
        <v>0.0989</v>
      </c>
      <c r="CK25" s="0" t="n">
        <v>0.4516</v>
      </c>
      <c r="CL25" s="0" t="n">
        <v>0.0714</v>
      </c>
      <c r="CM25" s="0" t="n">
        <v>3.217</v>
      </c>
      <c r="CN25" s="0" t="n">
        <v>0.0006</v>
      </c>
      <c r="CO25" s="0" t="n">
        <v>0.5092</v>
      </c>
      <c r="CP25" s="0" t="n">
        <v>1.0376</v>
      </c>
      <c r="CQ25" s="0" t="n">
        <v>5.3048</v>
      </c>
      <c r="CR25" s="0" t="n">
        <v>9.6684</v>
      </c>
      <c r="CS25" s="0" t="n">
        <v>13.0924</v>
      </c>
      <c r="CT25" s="0" t="n">
        <v>22.3288</v>
      </c>
      <c r="CU25" s="0" t="n">
        <v>14.8545</v>
      </c>
      <c r="CV25" s="0" t="n">
        <v>12.5801</v>
      </c>
      <c r="CW25" s="0" t="n">
        <v>10.4896</v>
      </c>
      <c r="CX25" s="0" t="n">
        <v>14.4069</v>
      </c>
      <c r="CY25" s="0" t="n">
        <v>6.6585</v>
      </c>
      <c r="CZ25" s="0" t="n">
        <v>11.2289</v>
      </c>
      <c r="DA25" s="0" t="n">
        <v>7.5765</v>
      </c>
      <c r="DB25" s="0" t="n">
        <v>5.5105</v>
      </c>
      <c r="DC25" s="0" t="n">
        <v>7.1414</v>
      </c>
      <c r="DD25" s="0" t="n">
        <v>9.099</v>
      </c>
      <c r="DE25" s="0" t="n">
        <v>8.6362</v>
      </c>
      <c r="DF25" s="0" t="n">
        <v>7.2006</v>
      </c>
      <c r="DG25" s="0" t="n">
        <v>10.2931</v>
      </c>
      <c r="DH25" s="0" t="n">
        <v>8.6534</v>
      </c>
      <c r="DI25" s="0" t="n">
        <v>14.1954</v>
      </c>
      <c r="DJ25" s="0" t="n">
        <v>7.2309</v>
      </c>
      <c r="DK25" s="0" t="n">
        <v>10.1637</v>
      </c>
      <c r="DL25" s="0" t="n">
        <v>12.9869</v>
      </c>
      <c r="DM25" s="0" t="n">
        <v>6.8134</v>
      </c>
      <c r="DN25" s="0" t="n">
        <v>10.5748</v>
      </c>
      <c r="DO25" s="0" t="n">
        <v>8.3317</v>
      </c>
      <c r="DP25" s="0" t="n">
        <v>8.8699</v>
      </c>
      <c r="DQ25" s="0" t="n">
        <v>10.9685</v>
      </c>
      <c r="DR25" s="0" t="n">
        <v>13.0673</v>
      </c>
      <c r="DS25" s="0" t="n">
        <v>9.8891</v>
      </c>
      <c r="DT25" s="0" t="n">
        <v>13.7977</v>
      </c>
      <c r="DU25" s="0" t="n">
        <v>16.6226</v>
      </c>
      <c r="DV25" s="0" t="n">
        <v>13.7244</v>
      </c>
      <c r="DW25" s="0" t="n">
        <v>18.9076</v>
      </c>
      <c r="DX25" s="0" t="n">
        <v>19.2085</v>
      </c>
      <c r="DY25" s="0" t="n">
        <v>14.3021</v>
      </c>
      <c r="DZ25" s="0" t="n">
        <v>13.3702</v>
      </c>
      <c r="EA25" s="0" t="n">
        <v>15.5798</v>
      </c>
      <c r="EB25" s="0" t="n">
        <v>12.7805</v>
      </c>
      <c r="EC25" s="0" t="n">
        <v>16.4024</v>
      </c>
      <c r="ED25" s="0" t="n">
        <v>8.5882</v>
      </c>
      <c r="EE25" s="0" t="n">
        <v>19.3039</v>
      </c>
      <c r="EF25" s="0" t="n">
        <v>13.2963</v>
      </c>
      <c r="EG25" s="0" t="n">
        <v>10.258</v>
      </c>
      <c r="EH25" s="0" t="n">
        <v>10.779</v>
      </c>
      <c r="EI25" s="0" t="n">
        <v>9.9311</v>
      </c>
      <c r="EJ25" s="0" t="n">
        <v>11.0205</v>
      </c>
      <c r="EK25" s="0" t="n">
        <v>10.9761</v>
      </c>
      <c r="EL25" s="0" t="n">
        <v>9.0575</v>
      </c>
      <c r="EM25" s="0" t="n">
        <v>9.1115</v>
      </c>
      <c r="EN25" s="0" t="n">
        <v>10.2842</v>
      </c>
      <c r="EO25" s="0" t="n">
        <v>4.4077</v>
      </c>
      <c r="EP25" s="0" t="n">
        <v>5.5842</v>
      </c>
      <c r="EQ25" s="0" t="n">
        <v>7.2491</v>
      </c>
      <c r="ER25" s="0" t="n">
        <v>4.0577</v>
      </c>
      <c r="ES25" s="0" t="n">
        <v>2.7893</v>
      </c>
      <c r="ET25" s="0" t="n">
        <v>3.9342</v>
      </c>
      <c r="EU25" s="0" t="n">
        <v>2.7116</v>
      </c>
      <c r="EV25" s="0" t="n">
        <v>3.1165</v>
      </c>
      <c r="EW25" s="0" t="n">
        <v>2.0198</v>
      </c>
      <c r="EX25" s="0" t="n">
        <v>1.5223</v>
      </c>
      <c r="EY25" s="0" t="n">
        <v>2.311</v>
      </c>
      <c r="EZ25" s="0" t="n">
        <v>1.6334</v>
      </c>
      <c r="FA25" s="0" t="n">
        <v>1.6881</v>
      </c>
      <c r="FB25" s="0" t="n">
        <v>1.3755</v>
      </c>
      <c r="FC25" s="0" t="n">
        <v>1.3986</v>
      </c>
      <c r="FD25" s="0" t="n">
        <v>0.8382</v>
      </c>
      <c r="FE25" s="0" t="n">
        <v>0.4693</v>
      </c>
      <c r="FF25" s="0" t="n">
        <v>0.5045</v>
      </c>
      <c r="FG25" s="0" t="n">
        <v>0.7337</v>
      </c>
      <c r="FH25" s="0" t="n">
        <v>0.294</v>
      </c>
      <c r="FI25" s="0" t="n">
        <v>0.7669</v>
      </c>
      <c r="FJ25" s="0" t="n">
        <v>0.1893</v>
      </c>
      <c r="FK25" s="0" t="n">
        <v>0.7752</v>
      </c>
      <c r="FL25" s="0" t="n">
        <v>0.7133</v>
      </c>
      <c r="FM25" s="0" t="n">
        <v>0.1206</v>
      </c>
      <c r="FN25" s="0" t="n">
        <v>0.5577</v>
      </c>
      <c r="FO25" s="0" t="n">
        <v>0.0893</v>
      </c>
      <c r="FP25" s="0" t="n">
        <v>4.6973</v>
      </c>
    </row>
    <row r="26" customFormat="false" ht="13.8" hidden="false" customHeight="false" outlineLevel="0" collapsed="false">
      <c r="A26" s="2" t="s">
        <v>224</v>
      </c>
      <c r="B26" s="0" t="s">
        <v>173</v>
      </c>
      <c r="C26" s="0" t="n">
        <v>103</v>
      </c>
      <c r="D26" s="0" t="s">
        <v>225</v>
      </c>
      <c r="F26" s="0" t="e">
        <f aca="false">VLOOKUP(A26,[1]ROOT!$A$1:$C$1048576,3,0)</f>
        <v>#N/A</v>
      </c>
      <c r="G26" s="0" t="n">
        <v>3933.7813</v>
      </c>
      <c r="H26" s="0" t="n">
        <v>266.8411</v>
      </c>
      <c r="I26" s="0" t="n">
        <v>838.3059</v>
      </c>
      <c r="J26" s="0" t="n">
        <v>0.94279</v>
      </c>
      <c r="K26" s="0" t="n">
        <v>0</v>
      </c>
      <c r="L26" s="0" t="n">
        <v>561.4771</v>
      </c>
      <c r="M26" s="0" t="n">
        <v>593.545</v>
      </c>
      <c r="N26" s="0" t="n">
        <v>429.8193</v>
      </c>
      <c r="O26" s="0" t="n">
        <v>3.9366</v>
      </c>
      <c r="P26" s="0" t="n">
        <v>392.8015</v>
      </c>
      <c r="Q26" s="0" t="n">
        <v>139.952</v>
      </c>
      <c r="R26" s="0" t="n">
        <v>212.5007</v>
      </c>
      <c r="S26" s="0" t="n">
        <v>114.0139</v>
      </c>
      <c r="T26" s="0" t="n">
        <v>21.6674</v>
      </c>
      <c r="U26" s="0" t="n">
        <v>110.3397</v>
      </c>
      <c r="V26" s="0" t="n">
        <v>85.959</v>
      </c>
      <c r="W26" s="0" t="n">
        <v>44.7373</v>
      </c>
      <c r="X26" s="0" t="n">
        <v>71.4367</v>
      </c>
      <c r="Y26" s="0" t="n">
        <v>54.9568</v>
      </c>
      <c r="Z26" s="0" t="n">
        <v>44.9519</v>
      </c>
      <c r="AA26" s="0" t="n">
        <v>30.2357</v>
      </c>
      <c r="AB26" s="0" t="n">
        <v>60.3326</v>
      </c>
      <c r="AC26" s="0" t="n">
        <v>24.017</v>
      </c>
      <c r="AD26" s="0" t="n">
        <v>47.4192</v>
      </c>
      <c r="AE26" s="0" t="n">
        <v>25.2513</v>
      </c>
      <c r="AF26" s="0" t="n">
        <v>32.9167</v>
      </c>
      <c r="AG26" s="0" t="n">
        <v>14.5613</v>
      </c>
      <c r="AH26" s="0" t="n">
        <v>24.4142</v>
      </c>
      <c r="AI26" s="0" t="n">
        <v>39.5275</v>
      </c>
      <c r="AJ26" s="0" t="n">
        <v>9.6647</v>
      </c>
      <c r="AK26" s="0" t="n">
        <v>51.379</v>
      </c>
      <c r="AL26" s="0" t="n">
        <v>56.5286</v>
      </c>
      <c r="AM26" s="0" t="n">
        <v>28.9369</v>
      </c>
      <c r="AN26" s="0" t="n">
        <v>24.304</v>
      </c>
      <c r="AO26" s="0" t="n">
        <v>55.0173</v>
      </c>
      <c r="AP26" s="0" t="n">
        <v>28.978</v>
      </c>
      <c r="AQ26" s="0" t="n">
        <v>54.5706</v>
      </c>
      <c r="AR26" s="0" t="n">
        <v>37.6225</v>
      </c>
      <c r="AS26" s="0" t="n">
        <v>31.4318</v>
      </c>
      <c r="AT26" s="0" t="n">
        <v>62.35</v>
      </c>
      <c r="AU26" s="0" t="n">
        <v>47.6841</v>
      </c>
      <c r="AV26" s="0" t="n">
        <v>7.3346</v>
      </c>
      <c r="AW26" s="0" t="n">
        <v>34.0345</v>
      </c>
      <c r="AX26" s="0" t="n">
        <v>35.6563</v>
      </c>
      <c r="AY26" s="0" t="n">
        <v>18.2736</v>
      </c>
      <c r="AZ26" s="0" t="n">
        <v>19.8211</v>
      </c>
      <c r="BA26" s="0" t="n">
        <v>21.1214</v>
      </c>
      <c r="BB26" s="0" t="n">
        <v>22.1079</v>
      </c>
      <c r="BC26" s="0" t="n">
        <v>10.1254</v>
      </c>
      <c r="BD26" s="0" t="n">
        <v>9.268</v>
      </c>
      <c r="BE26" s="0" t="n">
        <v>12.6985</v>
      </c>
      <c r="BF26" s="0" t="n">
        <v>3.7804</v>
      </c>
      <c r="BG26" s="0" t="n">
        <v>9.8503</v>
      </c>
      <c r="BH26" s="0" t="n">
        <v>5.946</v>
      </c>
      <c r="BI26" s="0" t="n">
        <v>1.5847</v>
      </c>
      <c r="BJ26" s="0" t="n">
        <v>3.918</v>
      </c>
      <c r="BK26" s="0" t="n">
        <v>7.0221</v>
      </c>
      <c r="BL26" s="0" t="n">
        <v>2.526</v>
      </c>
      <c r="BM26" s="0" t="n">
        <v>2.1949</v>
      </c>
      <c r="BN26" s="0" t="n">
        <v>4.9017</v>
      </c>
      <c r="BO26" s="0" t="n">
        <v>0.8556</v>
      </c>
      <c r="BP26" s="0" t="n">
        <v>2.9139</v>
      </c>
      <c r="BQ26" s="0" t="n">
        <v>1.8155</v>
      </c>
      <c r="BR26" s="0" t="n">
        <v>1.219</v>
      </c>
      <c r="BS26" s="0" t="n">
        <v>2.0949</v>
      </c>
      <c r="BT26" s="0" t="n">
        <v>1.359</v>
      </c>
      <c r="BU26" s="0" t="n">
        <v>0.7719</v>
      </c>
      <c r="BV26" s="0" t="n">
        <v>2.3787</v>
      </c>
      <c r="BW26" s="0" t="n">
        <v>1.3232</v>
      </c>
      <c r="BX26" s="0" t="n">
        <v>0.9215</v>
      </c>
      <c r="BY26" s="0" t="n">
        <v>0.3008</v>
      </c>
      <c r="BZ26" s="0" t="n">
        <v>1.1962</v>
      </c>
      <c r="CA26" s="0" t="n">
        <v>1.1604</v>
      </c>
      <c r="CB26" s="0" t="n">
        <v>0.5226</v>
      </c>
      <c r="CC26" s="0" t="n">
        <v>0.5775</v>
      </c>
      <c r="CD26" s="0" t="n">
        <v>1.1118</v>
      </c>
      <c r="CE26" s="0" t="n">
        <v>0.43</v>
      </c>
      <c r="CF26" s="0" t="n">
        <v>1.7345</v>
      </c>
      <c r="CG26" s="0" t="n">
        <v>0.8663</v>
      </c>
      <c r="CH26" s="0" t="n">
        <v>0.9869</v>
      </c>
      <c r="CI26" s="0" t="n">
        <v>1.1588</v>
      </c>
      <c r="CJ26" s="0" t="n">
        <v>1.5288</v>
      </c>
      <c r="CK26" s="0" t="n">
        <v>0.0867</v>
      </c>
      <c r="CL26" s="0" t="n">
        <v>0.1407</v>
      </c>
      <c r="CM26" s="0" t="n">
        <v>3.1638</v>
      </c>
      <c r="CN26" s="0" t="n">
        <v>0</v>
      </c>
      <c r="CO26" s="0" t="n">
        <v>12.038</v>
      </c>
      <c r="CP26" s="0" t="n">
        <v>25.3088</v>
      </c>
      <c r="CQ26" s="0" t="n">
        <v>26.2513</v>
      </c>
      <c r="CR26" s="0" t="n">
        <v>0.2774</v>
      </c>
      <c r="CS26" s="0" t="n">
        <v>32.7502</v>
      </c>
      <c r="CT26" s="0" t="n">
        <v>14.2312</v>
      </c>
      <c r="CU26" s="0" t="n">
        <v>24.8178</v>
      </c>
      <c r="CV26" s="0" t="n">
        <v>15.8208</v>
      </c>
      <c r="CW26" s="0" t="n">
        <v>3.1384</v>
      </c>
      <c r="CX26" s="0" t="n">
        <v>17.9644</v>
      </c>
      <c r="CY26" s="0" t="n">
        <v>15.7422</v>
      </c>
      <c r="CZ26" s="0" t="n">
        <v>8.8672</v>
      </c>
      <c r="DA26" s="0" t="n">
        <v>14.9512</v>
      </c>
      <c r="DB26" s="0" t="n">
        <v>12.4948</v>
      </c>
      <c r="DC26" s="0" t="n">
        <v>11.0494</v>
      </c>
      <c r="DD26" s="0" t="n">
        <v>7.7278</v>
      </c>
      <c r="DE26" s="0" t="n">
        <v>16.5424</v>
      </c>
      <c r="DF26" s="0" t="n">
        <v>6.949</v>
      </c>
      <c r="DG26" s="0" t="n">
        <v>14.4</v>
      </c>
      <c r="DH26" s="0" t="n">
        <v>8.1257</v>
      </c>
      <c r="DI26" s="0" t="n">
        <v>11.1986</v>
      </c>
      <c r="DJ26" s="0" t="n">
        <v>5.1671</v>
      </c>
      <c r="DK26" s="0" t="n">
        <v>9.0153</v>
      </c>
      <c r="DL26" s="0" t="n">
        <v>15.4049</v>
      </c>
      <c r="DM26" s="0" t="n">
        <v>3.8535</v>
      </c>
      <c r="DN26" s="0" t="n">
        <v>21.3545</v>
      </c>
      <c r="DO26" s="0" t="n">
        <v>24.6459</v>
      </c>
      <c r="DP26" s="0" t="n">
        <v>13.1224</v>
      </c>
      <c r="DQ26" s="0" t="n">
        <v>11.1883</v>
      </c>
      <c r="DR26" s="0" t="n">
        <v>26.3531</v>
      </c>
      <c r="DS26" s="0" t="n">
        <v>14.3826</v>
      </c>
      <c r="DT26" s="0" t="n">
        <v>27.8492</v>
      </c>
      <c r="DU26" s="0" t="n">
        <v>19.8752</v>
      </c>
      <c r="DV26" s="0" t="n">
        <v>16.8858</v>
      </c>
      <c r="DW26" s="0" t="n">
        <v>34.6383</v>
      </c>
      <c r="DX26" s="0" t="n">
        <v>27.5079</v>
      </c>
      <c r="DY26" s="0" t="n">
        <v>4.3414</v>
      </c>
      <c r="DZ26" s="0" t="n">
        <v>20.3898</v>
      </c>
      <c r="EA26" s="0" t="n">
        <v>22.1228</v>
      </c>
      <c r="EB26" s="0" t="n">
        <v>11.6859</v>
      </c>
      <c r="EC26" s="0" t="n">
        <v>12.852</v>
      </c>
      <c r="ED26" s="0" t="n">
        <v>14.0511</v>
      </c>
      <c r="EE26" s="0" t="n">
        <v>15.1209</v>
      </c>
      <c r="EF26" s="0" t="n">
        <v>7.1081</v>
      </c>
      <c r="EG26" s="0" t="n">
        <v>6.6312</v>
      </c>
      <c r="EH26" s="0" t="n">
        <v>9.2904</v>
      </c>
      <c r="EI26" s="0" t="n">
        <v>2.811</v>
      </c>
      <c r="EJ26" s="0" t="n">
        <v>7.4933</v>
      </c>
      <c r="EK26" s="0" t="n">
        <v>4.6544</v>
      </c>
      <c r="EL26" s="0" t="n">
        <v>1.2553</v>
      </c>
      <c r="EM26" s="0" t="n">
        <v>3.158</v>
      </c>
      <c r="EN26" s="0" t="n">
        <v>5.791</v>
      </c>
      <c r="EO26" s="0" t="n">
        <v>2.1362</v>
      </c>
      <c r="EP26" s="0" t="n">
        <v>1.8759</v>
      </c>
      <c r="EQ26" s="0" t="n">
        <v>4.2792</v>
      </c>
      <c r="ER26" s="0" t="n">
        <v>0.7599</v>
      </c>
      <c r="ES26" s="0" t="n">
        <v>2.6273</v>
      </c>
      <c r="ET26" s="0" t="n">
        <v>1.6719</v>
      </c>
      <c r="EU26" s="0" t="n">
        <v>1.1356</v>
      </c>
      <c r="EV26" s="0" t="n">
        <v>1.9865</v>
      </c>
      <c r="EW26" s="0" t="n">
        <v>1.313</v>
      </c>
      <c r="EX26" s="0" t="n">
        <v>0.7619</v>
      </c>
      <c r="EY26" s="0" t="n">
        <v>2.3577</v>
      </c>
      <c r="EZ26" s="0" t="n">
        <v>1.3405</v>
      </c>
      <c r="FA26" s="0" t="n">
        <v>0.9541</v>
      </c>
      <c r="FB26" s="0" t="n">
        <v>0.3138</v>
      </c>
      <c r="FC26" s="0" t="n">
        <v>1.2644</v>
      </c>
      <c r="FD26" s="0" t="n">
        <v>1.2496</v>
      </c>
      <c r="FE26" s="0" t="n">
        <v>0.5722</v>
      </c>
      <c r="FF26" s="0" t="n">
        <v>0.6368</v>
      </c>
      <c r="FG26" s="0" t="n">
        <v>1.251</v>
      </c>
      <c r="FH26" s="0" t="n">
        <v>0.4885</v>
      </c>
      <c r="FI26" s="0" t="n">
        <v>2.0018</v>
      </c>
      <c r="FJ26" s="0" t="n">
        <v>1.0192</v>
      </c>
      <c r="FK26" s="0" t="n">
        <v>1.1695</v>
      </c>
      <c r="FL26" s="0" t="n">
        <v>1.3916</v>
      </c>
      <c r="FM26" s="0" t="n">
        <v>1.8572</v>
      </c>
      <c r="FN26" s="0" t="n">
        <v>0.1074</v>
      </c>
      <c r="FO26" s="0" t="n">
        <v>0.1748</v>
      </c>
      <c r="FP26" s="0" t="n">
        <v>4.5878</v>
      </c>
    </row>
    <row r="27" customFormat="false" ht="13.8" hidden="false" customHeight="false" outlineLevel="0" collapsed="false">
      <c r="A27" s="4" t="s">
        <v>226</v>
      </c>
      <c r="B27" s="0" t="e">
        <f aca="false">#N/A</f>
        <v>#N/A</v>
      </c>
      <c r="C27" s="0" t="e">
        <f aca="false">#N/A</f>
        <v>#N/A</v>
      </c>
      <c r="D27" s="0" t="e">
        <f aca="false">#N/A</f>
        <v>#N/A</v>
      </c>
      <c r="G27" s="0" t="n">
        <v>2499.3389</v>
      </c>
      <c r="H27" s="0" t="n">
        <v>127.6126</v>
      </c>
      <c r="I27" s="0" t="n">
        <v>400.9069</v>
      </c>
      <c r="J27" s="0" t="n">
        <v>0.514333333333333</v>
      </c>
      <c r="K27" s="0" t="n">
        <v>0.0107</v>
      </c>
      <c r="L27" s="0" t="n">
        <v>213.5798</v>
      </c>
      <c r="M27" s="0" t="n">
        <v>238.7946</v>
      </c>
      <c r="N27" s="0" t="n">
        <v>377.4699</v>
      </c>
      <c r="O27" s="0" t="n">
        <v>317.0276</v>
      </c>
      <c r="P27" s="0" t="n">
        <v>229.3766</v>
      </c>
      <c r="Q27" s="0" t="n">
        <v>152.0036</v>
      </c>
      <c r="R27" s="0" t="n">
        <v>118.5008</v>
      </c>
      <c r="S27" s="0" t="n">
        <v>73.7251</v>
      </c>
      <c r="T27" s="0" t="n">
        <v>60.2912</v>
      </c>
      <c r="U27" s="0" t="n">
        <v>53.8799</v>
      </c>
      <c r="V27" s="0" t="n">
        <v>50.8792</v>
      </c>
      <c r="W27" s="0" t="n">
        <v>40.748</v>
      </c>
      <c r="X27" s="0" t="n">
        <v>33.9819</v>
      </c>
      <c r="Y27" s="0" t="n">
        <v>35.1365</v>
      </c>
      <c r="Z27" s="0" t="n">
        <v>32.0933</v>
      </c>
      <c r="AA27" s="0" t="n">
        <v>26.899</v>
      </c>
      <c r="AB27" s="0" t="n">
        <v>28.6452</v>
      </c>
      <c r="AC27" s="0" t="n">
        <v>35.2672</v>
      </c>
      <c r="AD27" s="0" t="n">
        <v>27.3287</v>
      </c>
      <c r="AE27" s="0" t="n">
        <v>23.6098</v>
      </c>
      <c r="AF27" s="0" t="n">
        <v>25.4244</v>
      </c>
      <c r="AG27" s="0" t="n">
        <v>22.1536</v>
      </c>
      <c r="AH27" s="0" t="n">
        <v>19.6655</v>
      </c>
      <c r="AI27" s="0" t="n">
        <v>18.3077</v>
      </c>
      <c r="AJ27" s="0" t="n">
        <v>17.671</v>
      </c>
      <c r="AK27" s="0" t="n">
        <v>15.8579</v>
      </c>
      <c r="AL27" s="0" t="n">
        <v>12.9068</v>
      </c>
      <c r="AM27" s="0" t="n">
        <v>12.3074</v>
      </c>
      <c r="AN27" s="0" t="n">
        <v>12.1607</v>
      </c>
      <c r="AO27" s="0" t="n">
        <v>13.9922</v>
      </c>
      <c r="AP27" s="0" t="n">
        <v>16.974</v>
      </c>
      <c r="AQ27" s="0" t="n">
        <v>14.8841</v>
      </c>
      <c r="AR27" s="0" t="n">
        <v>18.5922</v>
      </c>
      <c r="AS27" s="0" t="n">
        <v>18.5734</v>
      </c>
      <c r="AT27" s="0" t="n">
        <v>15.5234</v>
      </c>
      <c r="AU27" s="0" t="n">
        <v>12.5548</v>
      </c>
      <c r="AV27" s="0" t="n">
        <v>10.3077</v>
      </c>
      <c r="AW27" s="0" t="n">
        <v>11.241</v>
      </c>
      <c r="AX27" s="0" t="n">
        <v>9.05</v>
      </c>
      <c r="AY27" s="0" t="n">
        <v>6.6472</v>
      </c>
      <c r="AZ27" s="0" t="n">
        <v>3.1437</v>
      </c>
      <c r="BA27" s="0" t="n">
        <v>5.2135</v>
      </c>
      <c r="BB27" s="0" t="n">
        <v>4.1739</v>
      </c>
      <c r="BC27" s="0" t="n">
        <v>2.991</v>
      </c>
      <c r="BD27" s="0" t="n">
        <v>1.7754</v>
      </c>
      <c r="BE27" s="0" t="n">
        <v>1.1452</v>
      </c>
      <c r="BF27" s="0" t="n">
        <v>1.2983</v>
      </c>
      <c r="BG27" s="0" t="n">
        <v>0.5224</v>
      </c>
      <c r="BH27" s="0" t="n">
        <v>0.642</v>
      </c>
      <c r="BI27" s="0" t="n">
        <v>0.6156</v>
      </c>
      <c r="BJ27" s="0" t="n">
        <v>0.241</v>
      </c>
      <c r="BK27" s="0" t="n">
        <v>0.2315</v>
      </c>
      <c r="BL27" s="0" t="n">
        <v>0.3438</v>
      </c>
      <c r="BM27" s="0" t="n">
        <v>0.1205</v>
      </c>
      <c r="BN27" s="0" t="n">
        <v>0.4203</v>
      </c>
      <c r="BO27" s="0" t="n">
        <v>0</v>
      </c>
      <c r="BP27" s="0" t="n">
        <v>0.1233</v>
      </c>
      <c r="BQ27" s="0" t="n">
        <v>0.0846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0.2149</v>
      </c>
      <c r="BW27" s="0" t="n">
        <v>0</v>
      </c>
      <c r="BX27" s="0" t="n">
        <v>0.1706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0.0001</v>
      </c>
      <c r="CO27" s="0" t="n">
        <v>5.6323</v>
      </c>
      <c r="CP27" s="0" t="n">
        <v>9.4374</v>
      </c>
      <c r="CQ27" s="0" t="n">
        <v>20.7877</v>
      </c>
      <c r="CR27" s="0" t="n">
        <v>22.1133</v>
      </c>
      <c r="CS27" s="0" t="n">
        <v>19.6363</v>
      </c>
      <c r="CT27" s="0" t="n">
        <v>15.4263</v>
      </c>
      <c r="CU27" s="0" t="n">
        <v>13.9383</v>
      </c>
      <c r="CV27" s="0" t="n">
        <v>9.8363</v>
      </c>
      <c r="CW27" s="0" t="n">
        <v>8.9564</v>
      </c>
      <c r="CX27" s="0" t="n">
        <v>8.8703</v>
      </c>
      <c r="CY27" s="0" t="n">
        <v>9.2103</v>
      </c>
      <c r="CZ27" s="0" t="n">
        <v>7.968</v>
      </c>
      <c r="DA27" s="0" t="n">
        <v>7.2017</v>
      </c>
      <c r="DB27" s="0" t="n">
        <v>8.0006</v>
      </c>
      <c r="DC27" s="0" t="n">
        <v>7.8324</v>
      </c>
      <c r="DD27" s="0" t="n">
        <v>6.9606</v>
      </c>
      <c r="DE27" s="0" t="n">
        <v>7.8779</v>
      </c>
      <c r="DF27" s="0" t="n">
        <v>10.271</v>
      </c>
      <c r="DG27" s="0" t="n">
        <v>8.3602</v>
      </c>
      <c r="DH27" s="0" t="n">
        <v>7.5953</v>
      </c>
      <c r="DI27" s="0" t="n">
        <v>8.6042</v>
      </c>
      <c r="DJ27" s="0" t="n">
        <v>7.8062</v>
      </c>
      <c r="DK27" s="0" t="n">
        <v>7.2622</v>
      </c>
      <c r="DL27" s="0" t="n">
        <v>7.0407</v>
      </c>
      <c r="DM27" s="0" t="n">
        <v>7.0652</v>
      </c>
      <c r="DN27" s="0" t="n">
        <v>6.6053</v>
      </c>
      <c r="DO27" s="0" t="n">
        <v>5.5811</v>
      </c>
      <c r="DP27" s="0" t="n">
        <v>5.5058</v>
      </c>
      <c r="DQ27" s="0" t="n">
        <v>5.6381</v>
      </c>
      <c r="DR27" s="0" t="n">
        <v>6.7006</v>
      </c>
      <c r="DS27" s="0" t="n">
        <v>8.4098</v>
      </c>
      <c r="DT27" s="0" t="n">
        <v>7.5965</v>
      </c>
      <c r="DU27" s="0" t="n">
        <v>9.7935</v>
      </c>
      <c r="DV27" s="0" t="n">
        <v>10.0548</v>
      </c>
      <c r="DW27" s="0" t="n">
        <v>8.6333</v>
      </c>
      <c r="DX27" s="0" t="n">
        <v>7.2089</v>
      </c>
      <c r="DY27" s="0" t="n">
        <v>6.0674</v>
      </c>
      <c r="DZ27" s="0" t="n">
        <v>6.7839</v>
      </c>
      <c r="EA27" s="0" t="n">
        <v>5.6188</v>
      </c>
      <c r="EB27" s="0" t="n">
        <v>4.2274</v>
      </c>
      <c r="EC27" s="0" t="n">
        <v>2.0487</v>
      </c>
      <c r="ED27" s="0" t="n">
        <v>3.4837</v>
      </c>
      <c r="EE27" s="0" t="n">
        <v>2.8492</v>
      </c>
      <c r="EF27" s="0" t="n">
        <v>2.0885</v>
      </c>
      <c r="EG27" s="0" t="n">
        <v>1.2693</v>
      </c>
      <c r="EH27" s="0" t="n">
        <v>0.8389</v>
      </c>
      <c r="EI27" s="0" t="n">
        <v>0.967</v>
      </c>
      <c r="EJ27" s="0" t="n">
        <v>0.3974</v>
      </c>
      <c r="EK27" s="0" t="n">
        <v>0.497</v>
      </c>
      <c r="EL27" s="0" t="n">
        <v>0.4893</v>
      </c>
      <c r="EM27" s="0" t="n">
        <v>0.2175</v>
      </c>
      <c r="EN27" s="0" t="n">
        <v>0.1905</v>
      </c>
      <c r="EO27" s="0" t="n">
        <v>0.2886</v>
      </c>
      <c r="EP27" s="0" t="n">
        <v>0.1037</v>
      </c>
      <c r="EQ27" s="0" t="n">
        <v>0.3671</v>
      </c>
      <c r="ER27" s="0" t="n">
        <v>0</v>
      </c>
      <c r="ES27" s="0" t="n">
        <v>0.1106</v>
      </c>
      <c r="ET27" s="0" t="n">
        <v>0.0783</v>
      </c>
      <c r="EU27" s="0" t="n">
        <v>0</v>
      </c>
      <c r="EV27" s="0" t="n">
        <v>0</v>
      </c>
      <c r="EW27" s="0" t="n">
        <v>0</v>
      </c>
      <c r="EX27" s="0" t="n">
        <v>0</v>
      </c>
      <c r="EY27" s="0" t="n">
        <v>0.2131</v>
      </c>
      <c r="EZ27" s="0" t="n">
        <v>0</v>
      </c>
      <c r="FA27" s="0" t="n">
        <v>0.176</v>
      </c>
      <c r="FB27" s="0" t="n">
        <v>0</v>
      </c>
      <c r="FC27" s="0" t="n">
        <v>0</v>
      </c>
      <c r="FD27" s="0" t="n">
        <v>0</v>
      </c>
      <c r="FE27" s="0" t="n">
        <v>0</v>
      </c>
      <c r="FF27" s="0" t="n">
        <v>0</v>
      </c>
      <c r="FG27" s="0" t="n">
        <v>0</v>
      </c>
      <c r="FH27" s="0" t="n">
        <v>0</v>
      </c>
      <c r="FI27" s="0" t="n">
        <v>0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0</v>
      </c>
      <c r="FO27" s="0" t="n">
        <v>0</v>
      </c>
      <c r="FP27" s="0" t="n">
        <v>0</v>
      </c>
    </row>
    <row r="28" customFormat="false" ht="13.8" hidden="false" customHeight="false" outlineLevel="0" collapsed="false">
      <c r="A28" s="2" t="s">
        <v>227</v>
      </c>
      <c r="B28" s="0" t="s">
        <v>176</v>
      </c>
      <c r="C28" s="0" t="n">
        <v>304</v>
      </c>
      <c r="D28" s="0" t="s">
        <v>228</v>
      </c>
      <c r="F28" s="0" t="n">
        <v>2.5268</v>
      </c>
      <c r="G28" s="0" t="n">
        <v>3161.3819</v>
      </c>
      <c r="H28" s="0" t="n">
        <v>158.0761</v>
      </c>
      <c r="I28" s="0" t="n">
        <v>496.6109</v>
      </c>
      <c r="J28" s="0" t="n">
        <v>0.4421</v>
      </c>
      <c r="K28" s="0" t="n">
        <v>0</v>
      </c>
      <c r="L28" s="0" t="n">
        <v>494.6</v>
      </c>
      <c r="M28" s="0" t="n">
        <v>660.8968</v>
      </c>
      <c r="N28" s="0" t="n">
        <v>427.2104</v>
      </c>
      <c r="O28" s="0" t="n">
        <v>0.4218</v>
      </c>
      <c r="P28" s="0" t="n">
        <v>316.2256</v>
      </c>
      <c r="Q28" s="0" t="n">
        <v>116.1093</v>
      </c>
      <c r="R28" s="0" t="n">
        <v>141.7446</v>
      </c>
      <c r="S28" s="0" t="n">
        <v>71.7111</v>
      </c>
      <c r="T28" s="0" t="n">
        <v>14.6127</v>
      </c>
      <c r="U28" s="0" t="n">
        <v>74.0159</v>
      </c>
      <c r="V28" s="0" t="n">
        <v>66.0284</v>
      </c>
      <c r="W28" s="0" t="n">
        <v>35.2955</v>
      </c>
      <c r="X28" s="0" t="n">
        <v>54.5932</v>
      </c>
      <c r="Y28" s="0" t="n">
        <v>31.9197</v>
      </c>
      <c r="Z28" s="0" t="n">
        <v>35.7511</v>
      </c>
      <c r="AA28" s="0" t="n">
        <v>16.842</v>
      </c>
      <c r="AB28" s="0" t="n">
        <v>28.5201</v>
      </c>
      <c r="AC28" s="0" t="n">
        <v>14.6141</v>
      </c>
      <c r="AD28" s="0" t="n">
        <v>31.2778</v>
      </c>
      <c r="AE28" s="0" t="n">
        <v>17.3051</v>
      </c>
      <c r="AF28" s="0" t="n">
        <v>44.379</v>
      </c>
      <c r="AG28" s="0" t="n">
        <v>26.4693</v>
      </c>
      <c r="AH28" s="0" t="n">
        <v>24.0558</v>
      </c>
      <c r="AI28" s="0" t="n">
        <v>42.8024</v>
      </c>
      <c r="AJ28" s="0" t="n">
        <v>14.1027</v>
      </c>
      <c r="AK28" s="0" t="n">
        <v>43.4378</v>
      </c>
      <c r="AL28" s="0" t="n">
        <v>43.0541</v>
      </c>
      <c r="AM28" s="0" t="n">
        <v>30.1689</v>
      </c>
      <c r="AN28" s="0" t="n">
        <v>19.1522</v>
      </c>
      <c r="AO28" s="0" t="n">
        <v>45.4033</v>
      </c>
      <c r="AP28" s="0" t="n">
        <v>34.5057</v>
      </c>
      <c r="AQ28" s="0" t="n">
        <v>22.0529</v>
      </c>
      <c r="AR28" s="0" t="n">
        <v>11.8808</v>
      </c>
      <c r="AS28" s="0" t="n">
        <v>14.1965</v>
      </c>
      <c r="AT28" s="0" t="n">
        <v>15.1406</v>
      </c>
      <c r="AU28" s="0" t="n">
        <v>13.072</v>
      </c>
      <c r="AV28" s="0" t="n">
        <v>0.3907</v>
      </c>
      <c r="AW28" s="0" t="n">
        <v>11.099</v>
      </c>
      <c r="AX28" s="0" t="n">
        <v>11.3156</v>
      </c>
      <c r="AY28" s="0" t="n">
        <v>7.91</v>
      </c>
      <c r="AZ28" s="0" t="n">
        <v>7.7149</v>
      </c>
      <c r="BA28" s="0" t="n">
        <v>4.4539</v>
      </c>
      <c r="BB28" s="0" t="n">
        <v>6.2975</v>
      </c>
      <c r="BC28" s="0" t="n">
        <v>4.2841</v>
      </c>
      <c r="BD28" s="0" t="n">
        <v>1.7622</v>
      </c>
      <c r="BE28" s="0" t="n">
        <v>1.6697</v>
      </c>
      <c r="BF28" s="0" t="n">
        <v>0.464</v>
      </c>
      <c r="BG28" s="0" t="n">
        <v>1.9257</v>
      </c>
      <c r="BH28" s="0" t="n">
        <v>1.849</v>
      </c>
      <c r="BI28" s="0" t="n">
        <v>0.3152</v>
      </c>
      <c r="BJ28" s="0" t="n">
        <v>0.7313</v>
      </c>
      <c r="BK28" s="0" t="n">
        <v>1.1514</v>
      </c>
      <c r="BL28" s="0" t="n">
        <v>0.6087</v>
      </c>
      <c r="BM28" s="0" t="n">
        <v>0.3409</v>
      </c>
      <c r="BN28" s="0" t="n">
        <v>0.341</v>
      </c>
      <c r="BO28" s="0" t="n">
        <v>0.0328</v>
      </c>
      <c r="BP28" s="0" t="n">
        <v>0.3892</v>
      </c>
      <c r="BQ28" s="0" t="n">
        <v>0.1174</v>
      </c>
      <c r="BR28" s="0" t="n">
        <v>0.8452</v>
      </c>
      <c r="BS28" s="0" t="n">
        <v>0.1423</v>
      </c>
      <c r="BT28" s="0" t="n">
        <v>0.1433</v>
      </c>
      <c r="BU28" s="0" t="n">
        <v>0.0835</v>
      </c>
      <c r="BV28" s="0" t="n">
        <v>0.009</v>
      </c>
      <c r="BW28" s="0" t="n">
        <v>0.018</v>
      </c>
      <c r="BX28" s="0" t="n">
        <v>0.0656</v>
      </c>
      <c r="BY28" s="0" t="n">
        <v>0.0159</v>
      </c>
      <c r="BZ28" s="0" t="n">
        <v>0.0064</v>
      </c>
      <c r="CA28" s="0" t="n">
        <v>0.0206</v>
      </c>
      <c r="CB28" s="0" t="n">
        <v>0.0201</v>
      </c>
      <c r="CC28" s="0" t="n">
        <v>0.0248</v>
      </c>
      <c r="CD28" s="0" t="n">
        <v>0.0196</v>
      </c>
      <c r="CE28" s="0" t="n">
        <v>0.0132</v>
      </c>
      <c r="CF28" s="0" t="n">
        <v>0.0682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10.6558</v>
      </c>
      <c r="CP28" s="0" t="n">
        <v>28.0811</v>
      </c>
      <c r="CQ28" s="0" t="n">
        <v>26.0464</v>
      </c>
      <c r="CR28" s="0" t="n">
        <v>0.0291</v>
      </c>
      <c r="CS28" s="0" t="n">
        <v>26.217</v>
      </c>
      <c r="CT28" s="0" t="n">
        <v>11.7821</v>
      </c>
      <c r="CU28" s="0" t="n">
        <v>16.5889</v>
      </c>
      <c r="CV28" s="0" t="n">
        <v>9.958</v>
      </c>
      <c r="CW28" s="0" t="n">
        <v>2.1128</v>
      </c>
      <c r="CX28" s="0" t="n">
        <v>11.9793</v>
      </c>
      <c r="CY28" s="0" t="n">
        <v>12.0595</v>
      </c>
      <c r="CZ28" s="0" t="n">
        <v>7.0209</v>
      </c>
      <c r="DA28" s="0" t="n">
        <v>11.5415</v>
      </c>
      <c r="DB28" s="0" t="n">
        <v>7.2575</v>
      </c>
      <c r="DC28" s="0" t="n">
        <v>8.7423</v>
      </c>
      <c r="DD28" s="0" t="n">
        <v>4.3232</v>
      </c>
      <c r="DE28" s="0" t="n">
        <v>7.8032</v>
      </c>
      <c r="DF28" s="0" t="n">
        <v>4.226</v>
      </c>
      <c r="DG28" s="0" t="n">
        <v>9.5193</v>
      </c>
      <c r="DH28" s="0" t="n">
        <v>5.5506</v>
      </c>
      <c r="DI28" s="0" t="n">
        <v>15.0288</v>
      </c>
      <c r="DJ28" s="0" t="n">
        <v>9.407</v>
      </c>
      <c r="DK28" s="0" t="n">
        <v>8.9049</v>
      </c>
      <c r="DL28" s="0" t="n">
        <v>16.6114</v>
      </c>
      <c r="DM28" s="0" t="n">
        <v>5.6238</v>
      </c>
      <c r="DN28" s="0" t="n">
        <v>18.046</v>
      </c>
      <c r="DO28" s="0" t="n">
        <v>18.7768</v>
      </c>
      <c r="DP28" s="0" t="n">
        <v>13.7019</v>
      </c>
      <c r="DQ28" s="0" t="n">
        <v>8.8004</v>
      </c>
      <c r="DR28" s="0" t="n">
        <v>21.669</v>
      </c>
      <c r="DS28" s="0" t="n">
        <v>17.1376</v>
      </c>
      <c r="DT28" s="0" t="n">
        <v>11.3274</v>
      </c>
      <c r="DU28" s="0" t="n">
        <v>6.2404</v>
      </c>
      <c r="DV28" s="0" t="n">
        <v>7.6284</v>
      </c>
      <c r="DW28" s="0" t="n">
        <v>8.4279</v>
      </c>
      <c r="DX28" s="0" t="n">
        <v>7.5489</v>
      </c>
      <c r="DY28" s="0" t="n">
        <v>0.2316</v>
      </c>
      <c r="DZ28" s="0" t="n">
        <v>6.6454</v>
      </c>
      <c r="EA28" s="0" t="n">
        <v>7.0072</v>
      </c>
      <c r="EB28" s="0" t="n">
        <v>5.0548</v>
      </c>
      <c r="EC28" s="0" t="n">
        <v>5.0469</v>
      </c>
      <c r="ED28" s="0" t="n">
        <v>2.9604</v>
      </c>
      <c r="EE28" s="0" t="n">
        <v>4.2885</v>
      </c>
      <c r="EF28" s="0" t="n">
        <v>2.9997</v>
      </c>
      <c r="EG28" s="0" t="n">
        <v>1.2632</v>
      </c>
      <c r="EH28" s="0" t="n">
        <v>1.2193</v>
      </c>
      <c r="EI28" s="0" t="n">
        <v>0.345</v>
      </c>
      <c r="EJ28" s="0" t="n">
        <v>1.4663</v>
      </c>
      <c r="EK28" s="0" t="n">
        <v>1.4437</v>
      </c>
      <c r="EL28" s="0" t="n">
        <v>0.2506</v>
      </c>
      <c r="EM28" s="0" t="n">
        <v>0.5894</v>
      </c>
      <c r="EN28" s="0" t="n">
        <v>0.9474</v>
      </c>
      <c r="EO28" s="0" t="n">
        <v>0.5136</v>
      </c>
      <c r="EP28" s="0" t="n">
        <v>0.2906</v>
      </c>
      <c r="EQ28" s="0" t="n">
        <v>0.2991</v>
      </c>
      <c r="ER28" s="0" t="n">
        <v>0.0291</v>
      </c>
      <c r="ES28" s="0" t="n">
        <v>0.352</v>
      </c>
      <c r="ET28" s="0" t="n">
        <v>0.1081</v>
      </c>
      <c r="EU28" s="0" t="n">
        <v>0.7859</v>
      </c>
      <c r="EV28" s="0" t="n">
        <v>0.135</v>
      </c>
      <c r="EW28" s="0" t="n">
        <v>0.1386</v>
      </c>
      <c r="EX28" s="0" t="n">
        <v>0.0825</v>
      </c>
      <c r="EY28" s="0" t="n">
        <v>0.0089</v>
      </c>
      <c r="EZ28" s="0" t="n">
        <v>0.0182</v>
      </c>
      <c r="FA28" s="0" t="n">
        <v>0.0677</v>
      </c>
      <c r="FB28" s="0" t="n">
        <v>0.0166</v>
      </c>
      <c r="FC28" s="0" t="n">
        <v>0.0067</v>
      </c>
      <c r="FD28" s="0" t="n">
        <v>0.0221</v>
      </c>
      <c r="FE28" s="0" t="n">
        <v>0.022</v>
      </c>
      <c r="FF28" s="0" t="n">
        <v>0.0273</v>
      </c>
      <c r="FG28" s="0" t="n">
        <v>0.0218</v>
      </c>
      <c r="FH28" s="0" t="n">
        <v>0.015</v>
      </c>
      <c r="FI28" s="0" t="n">
        <v>0.0789</v>
      </c>
      <c r="FJ28" s="0" t="n">
        <v>0</v>
      </c>
      <c r="FK28" s="0" t="n">
        <v>0</v>
      </c>
      <c r="FL28" s="0" t="n">
        <v>0</v>
      </c>
      <c r="FM28" s="0" t="n">
        <v>0</v>
      </c>
      <c r="FN28" s="0" t="n">
        <v>0</v>
      </c>
      <c r="FO28" s="0" t="n">
        <v>0</v>
      </c>
      <c r="FP28" s="0" t="n">
        <v>0</v>
      </c>
    </row>
    <row r="29" customFormat="false" ht="13.8" hidden="false" customHeight="false" outlineLevel="0" collapsed="false">
      <c r="A29" s="2" t="s">
        <v>229</v>
      </c>
      <c r="B29" s="0" t="s">
        <v>173</v>
      </c>
      <c r="C29" s="0" t="n">
        <v>102</v>
      </c>
      <c r="D29" s="0" t="s">
        <v>230</v>
      </c>
      <c r="F29" s="0" t="e">
        <f aca="false">VLOOKUP(A29,[1]ROOT!$A$1:$C$1048576,3,0)</f>
        <v>#N/A</v>
      </c>
      <c r="G29" s="0" t="n">
        <v>2879.7467</v>
      </c>
      <c r="H29" s="0" t="n">
        <v>217.1138</v>
      </c>
      <c r="I29" s="0" t="n">
        <v>682.083</v>
      </c>
      <c r="J29" s="0" t="n">
        <v>0.75545</v>
      </c>
      <c r="K29" s="0" t="n">
        <v>0</v>
      </c>
      <c r="L29" s="0" t="n">
        <v>278.8154</v>
      </c>
      <c r="M29" s="0" t="n">
        <v>414.5829</v>
      </c>
      <c r="N29" s="0" t="n">
        <v>292.2223</v>
      </c>
      <c r="O29" s="0" t="n">
        <v>0.3191</v>
      </c>
      <c r="P29" s="0" t="n">
        <v>264.7694</v>
      </c>
      <c r="Q29" s="0" t="n">
        <v>90.519</v>
      </c>
      <c r="R29" s="0" t="n">
        <v>135.1419</v>
      </c>
      <c r="S29" s="0" t="n">
        <v>77.7764</v>
      </c>
      <c r="T29" s="0" t="n">
        <v>14.6781</v>
      </c>
      <c r="U29" s="0" t="n">
        <v>75.7822</v>
      </c>
      <c r="V29" s="0" t="n">
        <v>65.9256</v>
      </c>
      <c r="W29" s="0" t="n">
        <v>35.5652</v>
      </c>
      <c r="X29" s="0" t="n">
        <v>44.0965</v>
      </c>
      <c r="Y29" s="0" t="n">
        <v>31.3631</v>
      </c>
      <c r="Z29" s="0" t="n">
        <v>28.5991</v>
      </c>
      <c r="AA29" s="0" t="n">
        <v>15.6593</v>
      </c>
      <c r="AB29" s="0" t="n">
        <v>31.2783</v>
      </c>
      <c r="AC29" s="0" t="n">
        <v>11.8614</v>
      </c>
      <c r="AD29" s="0" t="n">
        <v>33.0718</v>
      </c>
      <c r="AE29" s="0" t="n">
        <v>27.4822</v>
      </c>
      <c r="AF29" s="0" t="n">
        <v>47.7851</v>
      </c>
      <c r="AG29" s="0" t="n">
        <v>22.4003</v>
      </c>
      <c r="AH29" s="0" t="n">
        <v>40.7889</v>
      </c>
      <c r="AI29" s="0" t="n">
        <v>49.6537</v>
      </c>
      <c r="AJ29" s="0" t="n">
        <v>10.7195</v>
      </c>
      <c r="AK29" s="0" t="n">
        <v>58.1077</v>
      </c>
      <c r="AL29" s="0" t="n">
        <v>55.1209</v>
      </c>
      <c r="AM29" s="0" t="n">
        <v>35.682</v>
      </c>
      <c r="AN29" s="0" t="n">
        <v>25.6527</v>
      </c>
      <c r="AO29" s="0" t="n">
        <v>75.1512</v>
      </c>
      <c r="AP29" s="0" t="n">
        <v>56.5865</v>
      </c>
      <c r="AQ29" s="0" t="n">
        <v>64.7346</v>
      </c>
      <c r="AR29" s="0" t="n">
        <v>44.237</v>
      </c>
      <c r="AS29" s="0" t="n">
        <v>64.9673</v>
      </c>
      <c r="AT29" s="0" t="n">
        <v>66.9501</v>
      </c>
      <c r="AU29" s="0" t="n">
        <v>55.5965</v>
      </c>
      <c r="AV29" s="0" t="n">
        <v>1.8441</v>
      </c>
      <c r="AW29" s="0" t="n">
        <v>37.0385</v>
      </c>
      <c r="AX29" s="0" t="n">
        <v>25.6427</v>
      </c>
      <c r="AY29" s="0" t="n">
        <v>13.0492</v>
      </c>
      <c r="AZ29" s="0" t="n">
        <v>10.0367</v>
      </c>
      <c r="BA29" s="0" t="n">
        <v>7.8917</v>
      </c>
      <c r="BB29" s="0" t="n">
        <v>10.2966</v>
      </c>
      <c r="BC29" s="0" t="n">
        <v>7.2343</v>
      </c>
      <c r="BD29" s="0" t="n">
        <v>4.8937</v>
      </c>
      <c r="BE29" s="0" t="n">
        <v>8.12</v>
      </c>
      <c r="BF29" s="0" t="n">
        <v>1.5905</v>
      </c>
      <c r="BG29" s="0" t="n">
        <v>2.06</v>
      </c>
      <c r="BH29" s="0" t="n">
        <v>1.9074</v>
      </c>
      <c r="BI29" s="0" t="n">
        <v>0.545</v>
      </c>
      <c r="BJ29" s="0" t="n">
        <v>0.833</v>
      </c>
      <c r="BK29" s="0" t="n">
        <v>0.7521</v>
      </c>
      <c r="BL29" s="0" t="n">
        <v>0.5248</v>
      </c>
      <c r="BM29" s="0" t="n">
        <v>0.1147</v>
      </c>
      <c r="BN29" s="0" t="n">
        <v>0.1571</v>
      </c>
      <c r="BO29" s="0" t="n">
        <v>0.0286</v>
      </c>
      <c r="BP29" s="0" t="n">
        <v>0.0423</v>
      </c>
      <c r="BQ29" s="0" t="n">
        <v>0.0137</v>
      </c>
      <c r="BR29" s="0" t="n">
        <v>0.0544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0.2402</v>
      </c>
      <c r="CA29" s="0" t="n">
        <v>0</v>
      </c>
      <c r="CB29" s="0" t="n">
        <v>0.0428</v>
      </c>
      <c r="CC29" s="0" t="n">
        <v>0</v>
      </c>
      <c r="CD29" s="0" t="n">
        <v>0.0518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6.0219</v>
      </c>
      <c r="CP29" s="0" t="n">
        <v>17.6142</v>
      </c>
      <c r="CQ29" s="0" t="n">
        <v>17.8423</v>
      </c>
      <c r="CR29" s="0" t="n">
        <v>0.022</v>
      </c>
      <c r="CS29" s="0" t="n">
        <v>21.9944</v>
      </c>
      <c r="CT29" s="0" t="n">
        <v>9.1943</v>
      </c>
      <c r="CU29" s="0" t="n">
        <v>15.8068</v>
      </c>
      <c r="CV29" s="0" t="n">
        <v>10.801</v>
      </c>
      <c r="CW29" s="0" t="n">
        <v>2.1222</v>
      </c>
      <c r="CX29" s="0" t="n">
        <v>12.3104</v>
      </c>
      <c r="CY29" s="0" t="n">
        <v>12.0534</v>
      </c>
      <c r="CZ29" s="0" t="n">
        <v>7.0641</v>
      </c>
      <c r="DA29" s="0" t="n">
        <v>9.271</v>
      </c>
      <c r="DB29" s="0" t="n">
        <v>7.1267</v>
      </c>
      <c r="DC29" s="0" t="n">
        <v>7.0142</v>
      </c>
      <c r="DD29" s="0" t="n">
        <v>4.0094</v>
      </c>
      <c r="DE29" s="0" t="n">
        <v>8.5722</v>
      </c>
      <c r="DF29" s="0" t="n">
        <v>3.43</v>
      </c>
      <c r="DG29" s="0" t="n">
        <v>10.0523</v>
      </c>
      <c r="DH29" s="0" t="n">
        <v>8.8209</v>
      </c>
      <c r="DI29" s="0" t="n">
        <v>16.2124</v>
      </c>
      <c r="DJ29" s="0" t="n">
        <v>7.9439</v>
      </c>
      <c r="DK29" s="0" t="n">
        <v>15.0759</v>
      </c>
      <c r="DL29" s="0" t="n">
        <v>19.3391</v>
      </c>
      <c r="DM29" s="0" t="n">
        <v>4.2718</v>
      </c>
      <c r="DN29" s="0" t="n">
        <v>24.1444</v>
      </c>
      <c r="DO29" s="0" t="n">
        <v>24.0181</v>
      </c>
      <c r="DP29" s="0" t="n">
        <v>16.2028</v>
      </c>
      <c r="DQ29" s="0" t="n">
        <v>11.7975</v>
      </c>
      <c r="DR29" s="0" t="n">
        <v>35.9123</v>
      </c>
      <c r="DS29" s="0" t="n">
        <v>28.1045</v>
      </c>
      <c r="DT29" s="0" t="n">
        <v>33.1929</v>
      </c>
      <c r="DU29" s="0" t="n">
        <v>23.2214</v>
      </c>
      <c r="DV29" s="0" t="n">
        <v>34.9111</v>
      </c>
      <c r="DW29" s="0" t="n">
        <v>37.2806</v>
      </c>
      <c r="DX29" s="0" t="n">
        <v>32.1215</v>
      </c>
      <c r="DY29" s="0" t="n">
        <v>1.0927</v>
      </c>
      <c r="DZ29" s="0" t="n">
        <v>22.1758</v>
      </c>
      <c r="EA29" s="0" t="n">
        <v>15.8839</v>
      </c>
      <c r="EB29" s="0" t="n">
        <v>8.3414</v>
      </c>
      <c r="EC29" s="0" t="n">
        <v>6.5432</v>
      </c>
      <c r="ED29" s="0" t="n">
        <v>5.2368</v>
      </c>
      <c r="EE29" s="0" t="n">
        <v>7.0135</v>
      </c>
      <c r="EF29" s="0" t="n">
        <v>5.0712</v>
      </c>
      <c r="EG29" s="0" t="n">
        <v>3.5085</v>
      </c>
      <c r="EH29" s="0" t="n">
        <v>5.9325</v>
      </c>
      <c r="EI29" s="0" t="n">
        <v>1.1827</v>
      </c>
      <c r="EJ29" s="0" t="n">
        <v>1.5675</v>
      </c>
      <c r="EK29" s="0" t="n">
        <v>1.491</v>
      </c>
      <c r="EL29" s="0" t="n">
        <v>0.4345</v>
      </c>
      <c r="EM29" s="0" t="n">
        <v>0.6712</v>
      </c>
      <c r="EN29" s="0" t="n">
        <v>0.6199</v>
      </c>
      <c r="EO29" s="0" t="n">
        <v>0.4418</v>
      </c>
      <c r="EP29" s="0" t="n">
        <v>0.0982</v>
      </c>
      <c r="EQ29" s="0" t="n">
        <v>0.1371</v>
      </c>
      <c r="ER29" s="0" t="n">
        <v>0.0254</v>
      </c>
      <c r="ES29" s="0" t="n">
        <v>0.038</v>
      </c>
      <c r="ET29" s="0" t="n">
        <v>0.0126</v>
      </c>
      <c r="EU29" s="0" t="n">
        <v>0.0507</v>
      </c>
      <c r="EV29" s="0" t="n">
        <v>0</v>
      </c>
      <c r="EW29" s="0" t="n">
        <v>0</v>
      </c>
      <c r="EX29" s="0" t="n">
        <v>0</v>
      </c>
      <c r="EY29" s="0" t="n">
        <v>0</v>
      </c>
      <c r="EZ29" s="0" t="n">
        <v>0</v>
      </c>
      <c r="FA29" s="0" t="n">
        <v>0</v>
      </c>
      <c r="FB29" s="0" t="n">
        <v>0</v>
      </c>
      <c r="FC29" s="0" t="n">
        <v>0.2531</v>
      </c>
      <c r="FD29" s="0" t="n">
        <v>0</v>
      </c>
      <c r="FE29" s="0" t="n">
        <v>0.0469</v>
      </c>
      <c r="FF29" s="0" t="n">
        <v>0</v>
      </c>
      <c r="FG29" s="0" t="n">
        <v>0.0578</v>
      </c>
      <c r="FH29" s="0" t="n">
        <v>0</v>
      </c>
      <c r="FI29" s="0" t="n">
        <v>0</v>
      </c>
      <c r="FJ29" s="0" t="n">
        <v>0</v>
      </c>
      <c r="FK29" s="0" t="n">
        <v>0</v>
      </c>
      <c r="FL29" s="0" t="n">
        <v>0</v>
      </c>
      <c r="FM29" s="0" t="n">
        <v>0</v>
      </c>
      <c r="FN29" s="0" t="n">
        <v>0</v>
      </c>
      <c r="FO29" s="0" t="n">
        <v>0</v>
      </c>
      <c r="FP29" s="0" t="n">
        <v>0</v>
      </c>
    </row>
    <row r="30" s="5" customFormat="true" ht="13.8" hidden="false" customHeight="false" outlineLevel="0" collapsed="false">
      <c r="A30" s="2" t="s">
        <v>231</v>
      </c>
      <c r="B30" s="5" t="s">
        <v>199</v>
      </c>
      <c r="C30" s="5" t="s">
        <v>200</v>
      </c>
      <c r="D30" s="5" t="s">
        <v>201</v>
      </c>
      <c r="E30" s="5" t="s">
        <v>232</v>
      </c>
      <c r="G30" s="5" t="n">
        <v>5573.1669</v>
      </c>
      <c r="H30" s="5" t="n">
        <v>460.8756</v>
      </c>
      <c r="I30" s="5" t="n">
        <v>1447.8831</v>
      </c>
      <c r="J30" s="5" t="n">
        <v>0.8343375</v>
      </c>
      <c r="K30" s="5" t="n">
        <v>0</v>
      </c>
      <c r="L30" s="5" t="n">
        <v>197.1396</v>
      </c>
      <c r="M30" s="5" t="n">
        <v>213.7474</v>
      </c>
      <c r="N30" s="5" t="n">
        <v>395.7118</v>
      </c>
      <c r="O30" s="5" t="n">
        <v>442.0594</v>
      </c>
      <c r="P30" s="5" t="n">
        <v>369.2826</v>
      </c>
      <c r="Q30" s="5" t="n">
        <v>277.7347</v>
      </c>
      <c r="R30" s="5" t="n">
        <v>288.5536</v>
      </c>
      <c r="S30" s="5" t="n">
        <v>182.0062</v>
      </c>
      <c r="T30" s="5" t="n">
        <v>191.9127</v>
      </c>
      <c r="U30" s="5" t="n">
        <v>196.5263</v>
      </c>
      <c r="V30" s="5" t="n">
        <v>178.939</v>
      </c>
      <c r="W30" s="5" t="n">
        <v>161.6454</v>
      </c>
      <c r="X30" s="5" t="n">
        <v>151.567</v>
      </c>
      <c r="Y30" s="5" t="n">
        <v>128.8993</v>
      </c>
      <c r="Z30" s="5" t="n">
        <v>114.6438</v>
      </c>
      <c r="AA30" s="5" t="n">
        <v>101.4671</v>
      </c>
      <c r="AB30" s="5" t="n">
        <v>96.5399</v>
      </c>
      <c r="AC30" s="5" t="n">
        <v>101.7858</v>
      </c>
      <c r="AD30" s="5" t="n">
        <v>100.5244</v>
      </c>
      <c r="AE30" s="5" t="n">
        <v>98.0119</v>
      </c>
      <c r="AF30" s="5" t="n">
        <v>107.7031</v>
      </c>
      <c r="AG30" s="5" t="n">
        <v>92.2178</v>
      </c>
      <c r="AH30" s="5" t="n">
        <v>83.8187</v>
      </c>
      <c r="AI30" s="5" t="n">
        <v>73.7272</v>
      </c>
      <c r="AJ30" s="5" t="n">
        <v>75.3325</v>
      </c>
      <c r="AK30" s="5" t="n">
        <v>82.8278</v>
      </c>
      <c r="AL30" s="5" t="n">
        <v>73.7584</v>
      </c>
      <c r="AM30" s="5" t="n">
        <v>66.6669</v>
      </c>
      <c r="AN30" s="5" t="n">
        <v>60.6973</v>
      </c>
      <c r="AO30" s="5" t="n">
        <v>65.6395</v>
      </c>
      <c r="AP30" s="5" t="n">
        <v>57.9714</v>
      </c>
      <c r="AQ30" s="5" t="n">
        <v>61.1502</v>
      </c>
      <c r="AR30" s="5" t="n">
        <v>55.3238</v>
      </c>
      <c r="AS30" s="5" t="n">
        <v>52.6408</v>
      </c>
      <c r="AT30" s="5" t="n">
        <v>61.3196</v>
      </c>
      <c r="AU30" s="5" t="n">
        <v>54.6982</v>
      </c>
      <c r="AV30" s="5" t="n">
        <v>46.9358</v>
      </c>
      <c r="AW30" s="5" t="n">
        <v>35.5384</v>
      </c>
      <c r="AX30" s="5" t="n">
        <v>40.7372</v>
      </c>
      <c r="AY30" s="5" t="n">
        <v>40.098</v>
      </c>
      <c r="AZ30" s="5" t="n">
        <v>32.8055</v>
      </c>
      <c r="BA30" s="5" t="n">
        <v>34.4141</v>
      </c>
      <c r="BB30" s="5" t="n">
        <v>27.3641</v>
      </c>
      <c r="BC30" s="5" t="n">
        <v>22.3229</v>
      </c>
      <c r="BD30" s="5" t="n">
        <v>19.3271</v>
      </c>
      <c r="BE30" s="5" t="n">
        <v>17.9148</v>
      </c>
      <c r="BF30" s="5" t="n">
        <v>16.2001</v>
      </c>
      <c r="BG30" s="5" t="n">
        <v>14.7139</v>
      </c>
      <c r="BH30" s="5" t="n">
        <v>13.7658</v>
      </c>
      <c r="BI30" s="5" t="n">
        <v>12.7732</v>
      </c>
      <c r="BJ30" s="5" t="n">
        <v>10.2766</v>
      </c>
      <c r="BK30" s="5" t="n">
        <v>7.4995</v>
      </c>
      <c r="BL30" s="5" t="n">
        <v>8.4103</v>
      </c>
      <c r="BM30" s="5" t="n">
        <v>8.8563</v>
      </c>
      <c r="BN30" s="5" t="n">
        <v>6.6646</v>
      </c>
      <c r="BO30" s="5" t="n">
        <v>4.2949</v>
      </c>
      <c r="BP30" s="5" t="n">
        <v>3.3725</v>
      </c>
      <c r="BQ30" s="5" t="n">
        <v>4.0467</v>
      </c>
      <c r="BR30" s="5" t="n">
        <v>3.7765</v>
      </c>
      <c r="BS30" s="5" t="n">
        <v>3.9491</v>
      </c>
      <c r="BT30" s="5" t="n">
        <v>1.9816</v>
      </c>
      <c r="BU30" s="5" t="n">
        <v>1.5029</v>
      </c>
      <c r="BV30" s="5" t="n">
        <v>4.0296</v>
      </c>
      <c r="BW30" s="5" t="n">
        <v>1.9809</v>
      </c>
      <c r="BX30" s="5" t="n">
        <v>1.4471</v>
      </c>
      <c r="BY30" s="5" t="n">
        <v>1.4107</v>
      </c>
      <c r="BZ30" s="5" t="n">
        <v>1.3049</v>
      </c>
      <c r="CA30" s="5" t="n">
        <v>1.5015</v>
      </c>
      <c r="CB30" s="5" t="n">
        <v>0.7195</v>
      </c>
      <c r="CC30" s="5" t="n">
        <v>0.4853</v>
      </c>
      <c r="CD30" s="5" t="n">
        <v>1.0676</v>
      </c>
      <c r="CE30" s="5" t="n">
        <v>0.4939</v>
      </c>
      <c r="CF30" s="5" t="n">
        <v>0.0902</v>
      </c>
      <c r="CG30" s="5" t="n">
        <v>0.6564</v>
      </c>
      <c r="CH30" s="5" t="n">
        <v>0.056</v>
      </c>
      <c r="CI30" s="5" t="n">
        <v>0.3247</v>
      </c>
      <c r="CJ30" s="5" t="n">
        <v>0.4878</v>
      </c>
      <c r="CK30" s="5" t="n">
        <v>0.1822</v>
      </c>
      <c r="CL30" s="5" t="n">
        <v>0.0867</v>
      </c>
      <c r="CM30" s="5" t="n">
        <v>1.3285</v>
      </c>
      <c r="CN30" s="5" t="n">
        <v>0</v>
      </c>
      <c r="CO30" s="5" t="n">
        <v>5.235</v>
      </c>
      <c r="CP30" s="5" t="n">
        <v>8.2668</v>
      </c>
      <c r="CQ30" s="5" t="n">
        <v>21.9817</v>
      </c>
      <c r="CR30" s="5" t="n">
        <v>30.8346</v>
      </c>
      <c r="CS30" s="5" t="n">
        <v>31.8125</v>
      </c>
      <c r="CT30" s="5" t="n">
        <v>28.3259</v>
      </c>
      <c r="CU30" s="5" t="n">
        <v>34.082</v>
      </c>
      <c r="CV30" s="5" t="n">
        <v>24.2697</v>
      </c>
      <c r="CW30" s="5" t="n">
        <v>28.6146</v>
      </c>
      <c r="CX30" s="5" t="n">
        <v>32.3853</v>
      </c>
      <c r="CY30" s="5" t="n">
        <v>32.3585</v>
      </c>
      <c r="CZ30" s="5" t="n">
        <v>31.6482</v>
      </c>
      <c r="DA30" s="5" t="n">
        <v>32.1092</v>
      </c>
      <c r="DB30" s="5" t="n">
        <v>29.3773</v>
      </c>
      <c r="DC30" s="5" t="n">
        <v>27.9262</v>
      </c>
      <c r="DD30" s="5" t="n">
        <v>26.2857</v>
      </c>
      <c r="DE30" s="5" t="n">
        <v>26.5492</v>
      </c>
      <c r="DF30" s="5" t="n">
        <v>29.5787</v>
      </c>
      <c r="DG30" s="5" t="n">
        <v>30.7852</v>
      </c>
      <c r="DH30" s="5" t="n">
        <v>31.5851</v>
      </c>
      <c r="DI30" s="5" t="n">
        <v>36.4145</v>
      </c>
      <c r="DJ30" s="5" t="n">
        <v>32.5363</v>
      </c>
      <c r="DK30" s="5" t="n">
        <v>30.9499</v>
      </c>
      <c r="DL30" s="5" t="n">
        <v>28.4025</v>
      </c>
      <c r="DM30" s="5" t="n">
        <v>30.143</v>
      </c>
      <c r="DN30" s="5" t="n">
        <v>34.4597</v>
      </c>
      <c r="DO30" s="5" t="n">
        <v>31.9075</v>
      </c>
      <c r="DP30" s="5" t="n">
        <v>29.8281</v>
      </c>
      <c r="DQ30" s="5" t="n">
        <v>28.111</v>
      </c>
      <c r="DR30" s="5" t="n">
        <v>31.4365</v>
      </c>
      <c r="DS30" s="5" t="n">
        <v>28.7256</v>
      </c>
      <c r="DT30" s="5" t="n">
        <v>31.2137</v>
      </c>
      <c r="DU30" s="5" t="n">
        <v>29.1113</v>
      </c>
      <c r="DV30" s="5" t="n">
        <v>28.499</v>
      </c>
      <c r="DW30" s="5" t="n">
        <v>34.1755</v>
      </c>
      <c r="DX30" s="5" t="n">
        <v>31.3911</v>
      </c>
      <c r="DY30" s="5" t="n">
        <v>27.6432</v>
      </c>
      <c r="DZ30" s="5" t="n">
        <v>21.488</v>
      </c>
      <c r="EA30" s="5" t="n">
        <v>25.2563</v>
      </c>
      <c r="EB30" s="5" t="n">
        <v>25.5161</v>
      </c>
      <c r="EC30" s="5" t="n">
        <v>21.3914</v>
      </c>
      <c r="ED30" s="5" t="n">
        <v>22.9857</v>
      </c>
      <c r="EE30" s="5" t="n">
        <v>18.6859</v>
      </c>
      <c r="EF30" s="5" t="n">
        <v>15.5835</v>
      </c>
      <c r="EG30" s="5" t="n">
        <v>13.8051</v>
      </c>
      <c r="EH30" s="5" t="n">
        <v>13.089</v>
      </c>
      <c r="EI30" s="5" t="n">
        <v>12.0857</v>
      </c>
      <c r="EJ30" s="5" t="n">
        <v>11.2025</v>
      </c>
      <c r="EK30" s="5" t="n">
        <v>10.7003</v>
      </c>
      <c r="EL30" s="5" t="n">
        <v>10.1423</v>
      </c>
      <c r="EM30" s="5" t="n">
        <v>8.3107</v>
      </c>
      <c r="EN30" s="5" t="n">
        <v>6.1739</v>
      </c>
      <c r="EO30" s="5" t="n">
        <v>7.0781</v>
      </c>
      <c r="EP30" s="5" t="n">
        <v>7.5835</v>
      </c>
      <c r="EQ30" s="5" t="n">
        <v>5.806</v>
      </c>
      <c r="ER30" s="5" t="n">
        <v>3.8083</v>
      </c>
      <c r="ES30" s="5" t="n">
        <v>3.0466</v>
      </c>
      <c r="ET30" s="5" t="n">
        <v>3.721</v>
      </c>
      <c r="EU30" s="5" t="n">
        <v>3.5276</v>
      </c>
      <c r="EV30" s="5" t="n">
        <v>3.7533</v>
      </c>
      <c r="EW30" s="5" t="n">
        <v>1.9113</v>
      </c>
      <c r="EX30" s="5" t="n">
        <v>1.4766</v>
      </c>
      <c r="EY30" s="5" t="n">
        <v>4.0137</v>
      </c>
      <c r="EZ30" s="5" t="n">
        <v>2.0035</v>
      </c>
      <c r="FA30" s="5" t="n">
        <v>1.4906</v>
      </c>
      <c r="FB30" s="5" t="n">
        <v>1.4739</v>
      </c>
      <c r="FC30" s="5" t="n">
        <v>1.3858</v>
      </c>
      <c r="FD30" s="5" t="n">
        <v>1.6141</v>
      </c>
      <c r="FE30" s="5" t="n">
        <v>0.787</v>
      </c>
      <c r="FF30" s="5" t="n">
        <v>0.5376</v>
      </c>
      <c r="FG30" s="5" t="n">
        <v>1.2005</v>
      </c>
      <c r="FH30" s="5" t="n">
        <v>0.5667</v>
      </c>
      <c r="FI30" s="5" t="n">
        <v>0.1042</v>
      </c>
      <c r="FJ30" s="5" t="n">
        <v>0.7659</v>
      </c>
      <c r="FK30" s="5" t="n">
        <v>0.0665</v>
      </c>
      <c r="FL30" s="5" t="n">
        <v>0.3899</v>
      </c>
      <c r="FM30" s="5" t="n">
        <v>0.5921</v>
      </c>
      <c r="FN30" s="5" t="n">
        <v>0.2247</v>
      </c>
      <c r="FO30" s="5" t="n">
        <v>0.1083</v>
      </c>
      <c r="FP30" s="5" t="n">
        <v>2.1547</v>
      </c>
    </row>
    <row r="31" customFormat="false" ht="13.8" hidden="false" customHeight="false" outlineLevel="0" collapsed="false">
      <c r="A31" s="2" t="s">
        <v>233</v>
      </c>
      <c r="B31" s="0" t="s">
        <v>176</v>
      </c>
      <c r="C31" s="0" t="n">
        <v>275</v>
      </c>
      <c r="D31" s="0" t="s">
        <v>234</v>
      </c>
      <c r="F31" s="0" t="e">
        <f aca="false">VLOOKUP(A31,[1]ROOT!$A$1:$C$1048576,3,0)</f>
        <v>#N/A</v>
      </c>
      <c r="G31" s="0" t="n">
        <v>1446.9662</v>
      </c>
      <c r="H31" s="0" t="n">
        <v>75.0872</v>
      </c>
      <c r="I31" s="0" t="n">
        <v>235.8936</v>
      </c>
      <c r="J31" s="0" t="n">
        <v>0.554366666666667</v>
      </c>
      <c r="K31" s="0" t="n">
        <v>0</v>
      </c>
      <c r="L31" s="0" t="n">
        <v>194.9443</v>
      </c>
      <c r="M31" s="0" t="n">
        <v>187.633</v>
      </c>
      <c r="N31" s="0" t="n">
        <v>141.7205</v>
      </c>
      <c r="O31" s="0" t="n">
        <v>0.3232</v>
      </c>
      <c r="P31" s="0" t="n">
        <v>170.285</v>
      </c>
      <c r="Q31" s="0" t="n">
        <v>71.2149</v>
      </c>
      <c r="R31" s="0" t="n">
        <v>110.1493</v>
      </c>
      <c r="S31" s="0" t="n">
        <v>66.4849</v>
      </c>
      <c r="T31" s="0" t="n">
        <v>10.7828</v>
      </c>
      <c r="U31" s="0" t="n">
        <v>74.8785</v>
      </c>
      <c r="V31" s="0" t="n">
        <v>49.3486</v>
      </c>
      <c r="W31" s="0" t="n">
        <v>28.7624</v>
      </c>
      <c r="X31" s="0" t="n">
        <v>32.9398</v>
      </c>
      <c r="Y31" s="0" t="n">
        <v>21.3367</v>
      </c>
      <c r="Z31" s="0" t="n">
        <v>20.7655</v>
      </c>
      <c r="AA31" s="0" t="n">
        <v>16.0902</v>
      </c>
      <c r="AB31" s="0" t="n">
        <v>31.2492</v>
      </c>
      <c r="AC31" s="0" t="n">
        <v>9.2973</v>
      </c>
      <c r="AD31" s="0" t="n">
        <v>23.2201</v>
      </c>
      <c r="AE31" s="0" t="n">
        <v>13.2703</v>
      </c>
      <c r="AF31" s="0" t="n">
        <v>22.0449</v>
      </c>
      <c r="AG31" s="0" t="n">
        <v>5.5957</v>
      </c>
      <c r="AH31" s="0" t="n">
        <v>18.1345</v>
      </c>
      <c r="AI31" s="0" t="n">
        <v>14.6779</v>
      </c>
      <c r="AJ31" s="0" t="n">
        <v>1.6716</v>
      </c>
      <c r="AK31" s="0" t="n">
        <v>13.5655</v>
      </c>
      <c r="AL31" s="0" t="n">
        <v>9.5137</v>
      </c>
      <c r="AM31" s="0" t="n">
        <v>3.1541</v>
      </c>
      <c r="AN31" s="0" t="n">
        <v>4.6806</v>
      </c>
      <c r="AO31" s="0" t="n">
        <v>5.7155</v>
      </c>
      <c r="AP31" s="0" t="n">
        <v>2.8927</v>
      </c>
      <c r="AQ31" s="0" t="n">
        <v>5.1062</v>
      </c>
      <c r="AR31" s="0" t="n">
        <v>4.3659</v>
      </c>
      <c r="AS31" s="0" t="n">
        <v>6.2069</v>
      </c>
      <c r="AT31" s="0" t="n">
        <v>10.4889</v>
      </c>
      <c r="AU31" s="0" t="n">
        <v>10.98</v>
      </c>
      <c r="AV31" s="0" t="n">
        <v>2.1685</v>
      </c>
      <c r="AW31" s="0" t="n">
        <v>6.9215</v>
      </c>
      <c r="AX31" s="0" t="n">
        <v>6.9221</v>
      </c>
      <c r="AY31" s="0" t="n">
        <v>2.8135</v>
      </c>
      <c r="AZ31" s="0" t="n">
        <v>3.8729</v>
      </c>
      <c r="BA31" s="0" t="n">
        <v>3.523</v>
      </c>
      <c r="BB31" s="0" t="n">
        <v>1.6731</v>
      </c>
      <c r="BC31" s="0" t="n">
        <v>0.4241</v>
      </c>
      <c r="BD31" s="0" t="n">
        <v>0.4862</v>
      </c>
      <c r="BE31" s="0" t="n">
        <v>1.4809</v>
      </c>
      <c r="BF31" s="0" t="n">
        <v>0.293</v>
      </c>
      <c r="BG31" s="0" t="n">
        <v>0.5695</v>
      </c>
      <c r="BH31" s="0" t="n">
        <v>0.5274</v>
      </c>
      <c r="BI31" s="0" t="n">
        <v>0.1116</v>
      </c>
      <c r="BJ31" s="0" t="n">
        <v>0.0206</v>
      </c>
      <c r="BK31" s="0" t="n">
        <v>0.1954</v>
      </c>
      <c r="BL31" s="0" t="n">
        <v>0.0196</v>
      </c>
      <c r="BM31" s="0" t="n">
        <v>0.0249</v>
      </c>
      <c r="BN31" s="0" t="n">
        <v>0.1316</v>
      </c>
      <c r="BO31" s="0" t="n">
        <v>0.0222</v>
      </c>
      <c r="BP31" s="0" t="n">
        <v>0.0745</v>
      </c>
      <c r="BQ31" s="0" t="n">
        <v>0</v>
      </c>
      <c r="BR31" s="0" t="n">
        <v>0</v>
      </c>
      <c r="BS31" s="0" t="n">
        <v>0.0898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0.0703</v>
      </c>
      <c r="CC31" s="0" t="n">
        <v>0</v>
      </c>
      <c r="CD31" s="0" t="n">
        <v>0</v>
      </c>
      <c r="CE31" s="0" t="n">
        <v>0.1886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0.0263</v>
      </c>
      <c r="CN31" s="0" t="n">
        <v>0</v>
      </c>
      <c r="CO31" s="0" t="n">
        <v>4.164</v>
      </c>
      <c r="CP31" s="0" t="n">
        <v>7.9921</v>
      </c>
      <c r="CQ31" s="0" t="n">
        <v>8.664</v>
      </c>
      <c r="CR31" s="0" t="n">
        <v>0.0223</v>
      </c>
      <c r="CS31" s="0" t="n">
        <v>14.2599</v>
      </c>
      <c r="CT31" s="0" t="n">
        <v>7.2399</v>
      </c>
      <c r="CU31" s="0" t="n">
        <v>12.845</v>
      </c>
      <c r="CV31" s="0" t="n">
        <v>9.2198</v>
      </c>
      <c r="CW31" s="0" t="n">
        <v>1.5591</v>
      </c>
      <c r="CX31" s="0" t="n">
        <v>12.1581</v>
      </c>
      <c r="CY31" s="0" t="n">
        <v>9.0449</v>
      </c>
      <c r="CZ31" s="0" t="n">
        <v>5.7124</v>
      </c>
      <c r="DA31" s="0" t="n">
        <v>6.9275</v>
      </c>
      <c r="DB31" s="0" t="n">
        <v>4.8485</v>
      </c>
      <c r="DC31" s="0" t="n">
        <v>5.0954</v>
      </c>
      <c r="DD31" s="0" t="n">
        <v>4.1072</v>
      </c>
      <c r="DE31" s="0" t="n">
        <v>8.5823</v>
      </c>
      <c r="DF31" s="0" t="n">
        <v>2.6884</v>
      </c>
      <c r="DG31" s="0" t="n">
        <v>7.0449</v>
      </c>
      <c r="DH31" s="0" t="n">
        <v>4.2688</v>
      </c>
      <c r="DI31" s="0" t="n">
        <v>7.5232</v>
      </c>
      <c r="DJ31" s="0" t="n">
        <v>1.9851</v>
      </c>
      <c r="DK31" s="0" t="n">
        <v>6.6923</v>
      </c>
      <c r="DL31" s="0" t="n">
        <v>5.7242</v>
      </c>
      <c r="DM31" s="0" t="n">
        <v>0.6651</v>
      </c>
      <c r="DN31" s="0" t="n">
        <v>5.6306</v>
      </c>
      <c r="DO31" s="0" t="n">
        <v>4.1471</v>
      </c>
      <c r="DP31" s="0" t="n">
        <v>1.4305</v>
      </c>
      <c r="DQ31" s="0" t="n">
        <v>2.1554</v>
      </c>
      <c r="DR31" s="0" t="n">
        <v>2.7388</v>
      </c>
      <c r="DS31" s="0" t="n">
        <v>1.4353</v>
      </c>
      <c r="DT31" s="0" t="n">
        <v>2.6033</v>
      </c>
      <c r="DU31" s="0" t="n">
        <v>2.3075</v>
      </c>
      <c r="DV31" s="0" t="n">
        <v>3.3348</v>
      </c>
      <c r="DW31" s="0" t="n">
        <v>5.8494</v>
      </c>
      <c r="DX31" s="0" t="n">
        <v>6.3328</v>
      </c>
      <c r="DY31" s="0" t="n">
        <v>1.2849</v>
      </c>
      <c r="DZ31" s="0" t="n">
        <v>4.1452</v>
      </c>
      <c r="EA31" s="0" t="n">
        <v>4.2931</v>
      </c>
      <c r="EB31" s="0" t="n">
        <v>1.7985</v>
      </c>
      <c r="EC31" s="0" t="n">
        <v>2.5211</v>
      </c>
      <c r="ED31" s="0" t="n">
        <v>2.3429</v>
      </c>
      <c r="EE31" s="0" t="n">
        <v>1.141</v>
      </c>
      <c r="EF31" s="0" t="n">
        <v>0.2985</v>
      </c>
      <c r="EG31" s="0" t="n">
        <v>0.3486</v>
      </c>
      <c r="EH31" s="0" t="n">
        <v>1.0779</v>
      </c>
      <c r="EI31" s="0" t="n">
        <v>0.2178</v>
      </c>
      <c r="EJ31" s="0" t="n">
        <v>0.4333</v>
      </c>
      <c r="EK31" s="0" t="n">
        <v>0.4122</v>
      </c>
      <c r="EL31" s="0" t="n">
        <v>0.1317</v>
      </c>
      <c r="EM31" s="0" t="n">
        <v>0.0166</v>
      </c>
      <c r="EN31" s="0" t="n">
        <v>0.1738</v>
      </c>
      <c r="EO31" s="0" t="n">
        <v>0.0164</v>
      </c>
      <c r="EP31" s="0" t="n">
        <v>0.0212</v>
      </c>
      <c r="EQ31" s="0" t="n">
        <v>0.115</v>
      </c>
      <c r="ER31" s="0" t="n">
        <v>0.0197</v>
      </c>
      <c r="ES31" s="0" t="n">
        <v>0.0672</v>
      </c>
      <c r="ET31" s="0" t="n">
        <v>0</v>
      </c>
      <c r="EU31" s="0" t="n">
        <v>0</v>
      </c>
      <c r="EV31" s="0" t="n">
        <v>0.086</v>
      </c>
      <c r="EW31" s="0" t="n">
        <v>0</v>
      </c>
      <c r="EX31" s="0" t="n">
        <v>0</v>
      </c>
      <c r="EY31" s="0" t="n">
        <v>0</v>
      </c>
      <c r="EZ31" s="0" t="n">
        <v>0</v>
      </c>
      <c r="FA31" s="0" t="n">
        <v>0</v>
      </c>
      <c r="FB31" s="0" t="n">
        <v>0</v>
      </c>
      <c r="FC31" s="0" t="n">
        <v>0</v>
      </c>
      <c r="FD31" s="0" t="n">
        <v>0</v>
      </c>
      <c r="FE31" s="0" t="n">
        <v>0.077</v>
      </c>
      <c r="FF31" s="0" t="n">
        <v>0</v>
      </c>
      <c r="FG31" s="0" t="n">
        <v>0</v>
      </c>
      <c r="FH31" s="0" t="n">
        <v>0.2143</v>
      </c>
      <c r="FI31" s="0" t="n">
        <v>0</v>
      </c>
      <c r="FJ31" s="0" t="n">
        <v>0</v>
      </c>
      <c r="FK31" s="0" t="n">
        <v>0</v>
      </c>
      <c r="FL31" s="0" t="n">
        <v>0</v>
      </c>
      <c r="FM31" s="0" t="n">
        <v>0</v>
      </c>
      <c r="FN31" s="0" t="n">
        <v>0</v>
      </c>
      <c r="FO31" s="0" t="n">
        <v>0</v>
      </c>
      <c r="FP31" s="0" t="n">
        <v>0.0382</v>
      </c>
    </row>
    <row r="32" customFormat="false" ht="13.8" hidden="false" customHeight="false" outlineLevel="0" collapsed="false">
      <c r="A32" s="2" t="s">
        <v>235</v>
      </c>
      <c r="B32" s="0" t="s">
        <v>173</v>
      </c>
      <c r="C32" s="0" t="n">
        <v>145</v>
      </c>
      <c r="D32" s="0" t="s">
        <v>236</v>
      </c>
      <c r="F32" s="0" t="e">
        <f aca="false">VLOOKUP(A32,[1]ROOT!$A$1:$C$1048576,3,0)</f>
        <v>#N/A</v>
      </c>
      <c r="G32" s="0" t="n">
        <v>2441.3123</v>
      </c>
      <c r="H32" s="0" t="n">
        <v>191.7887</v>
      </c>
      <c r="I32" s="0" t="n">
        <v>602.5219</v>
      </c>
      <c r="J32" s="0" t="n">
        <v>0.7855</v>
      </c>
      <c r="K32" s="0" t="n">
        <v>0.0196</v>
      </c>
      <c r="L32" s="0" t="n">
        <v>15.7634</v>
      </c>
      <c r="M32" s="0" t="n">
        <v>37.963</v>
      </c>
      <c r="N32" s="0" t="n">
        <v>168.1859</v>
      </c>
      <c r="O32" s="0" t="n">
        <v>187.686</v>
      </c>
      <c r="P32" s="0" t="n">
        <v>151.8261</v>
      </c>
      <c r="Q32" s="0" t="n">
        <v>279.8608</v>
      </c>
      <c r="R32" s="0" t="n">
        <v>164.3152</v>
      </c>
      <c r="S32" s="0" t="n">
        <v>160.9747</v>
      </c>
      <c r="T32" s="0" t="n">
        <v>141.2269</v>
      </c>
      <c r="U32" s="0" t="n">
        <v>169.9976</v>
      </c>
      <c r="V32" s="0" t="n">
        <v>75.1052</v>
      </c>
      <c r="W32" s="0" t="n">
        <v>117.6377</v>
      </c>
      <c r="X32" s="0" t="n">
        <v>77.7699</v>
      </c>
      <c r="Y32" s="0" t="n">
        <v>46.4544</v>
      </c>
      <c r="Z32" s="0" t="n">
        <v>48.9029</v>
      </c>
      <c r="AA32" s="0" t="n">
        <v>44.1199</v>
      </c>
      <c r="AB32" s="0" t="n">
        <v>38.3277</v>
      </c>
      <c r="AC32" s="0" t="n">
        <v>22.0379</v>
      </c>
      <c r="AD32" s="0" t="n">
        <v>26.3845</v>
      </c>
      <c r="AE32" s="0" t="n">
        <v>22.0645</v>
      </c>
      <c r="AF32" s="0" t="n">
        <v>31.6101</v>
      </c>
      <c r="AG32" s="0" t="n">
        <v>13.4554</v>
      </c>
      <c r="AH32" s="0" t="n">
        <v>16.9827</v>
      </c>
      <c r="AI32" s="0" t="n">
        <v>23.5481</v>
      </c>
      <c r="AJ32" s="0" t="n">
        <v>12.5223</v>
      </c>
      <c r="AK32" s="0" t="n">
        <v>19.5727</v>
      </c>
      <c r="AL32" s="0" t="n">
        <v>11.256</v>
      </c>
      <c r="AM32" s="0" t="n">
        <v>11.0516</v>
      </c>
      <c r="AN32" s="0" t="n">
        <v>15.5307</v>
      </c>
      <c r="AO32" s="0" t="n">
        <v>19.7586</v>
      </c>
      <c r="AP32" s="0" t="n">
        <v>24.3229</v>
      </c>
      <c r="AQ32" s="0" t="n">
        <v>27.0862</v>
      </c>
      <c r="AR32" s="0" t="n">
        <v>28.1163</v>
      </c>
      <c r="AS32" s="0" t="n">
        <v>19.5466</v>
      </c>
      <c r="AT32" s="0" t="n">
        <v>26.5422</v>
      </c>
      <c r="AU32" s="0" t="n">
        <v>28.802</v>
      </c>
      <c r="AV32" s="0" t="n">
        <v>8.848</v>
      </c>
      <c r="AW32" s="0" t="n">
        <v>12.0576</v>
      </c>
      <c r="AX32" s="0" t="n">
        <v>12.1969</v>
      </c>
      <c r="AY32" s="0" t="n">
        <v>7.2922</v>
      </c>
      <c r="AZ32" s="0" t="n">
        <v>6.8893</v>
      </c>
      <c r="BA32" s="0" t="n">
        <v>4.8289</v>
      </c>
      <c r="BB32" s="0" t="n">
        <v>9.4896</v>
      </c>
      <c r="BC32" s="0" t="n">
        <v>7.5488</v>
      </c>
      <c r="BD32" s="0" t="n">
        <v>6.2154</v>
      </c>
      <c r="BE32" s="0" t="n">
        <v>5.5252</v>
      </c>
      <c r="BF32" s="0" t="n">
        <v>6.0271</v>
      </c>
      <c r="BG32" s="0" t="n">
        <v>5.9631</v>
      </c>
      <c r="BH32" s="0" t="n">
        <v>4.5045</v>
      </c>
      <c r="BI32" s="0" t="n">
        <v>3.448</v>
      </c>
      <c r="BJ32" s="0" t="n">
        <v>0.9674</v>
      </c>
      <c r="BK32" s="0" t="n">
        <v>2.2875</v>
      </c>
      <c r="BL32" s="0" t="n">
        <v>1.1481</v>
      </c>
      <c r="BM32" s="0" t="n">
        <v>1.6489</v>
      </c>
      <c r="BN32" s="0" t="n">
        <v>1.027</v>
      </c>
      <c r="BO32" s="0" t="n">
        <v>1.4901</v>
      </c>
      <c r="BP32" s="0" t="n">
        <v>0.1412</v>
      </c>
      <c r="BQ32" s="0" t="n">
        <v>0.1559</v>
      </c>
      <c r="BR32" s="0" t="n">
        <v>0.5543</v>
      </c>
      <c r="BS32" s="0" t="n">
        <v>0.2544</v>
      </c>
      <c r="BT32" s="0" t="n">
        <v>0.2818</v>
      </c>
      <c r="BU32" s="0" t="n">
        <v>0.1845</v>
      </c>
      <c r="BV32" s="0" t="n">
        <v>0.2749</v>
      </c>
      <c r="BW32" s="0" t="n">
        <v>0.692</v>
      </c>
      <c r="BX32" s="0" t="n">
        <v>0.111</v>
      </c>
      <c r="BY32" s="0" t="n">
        <v>0.0682</v>
      </c>
      <c r="BZ32" s="0" t="n">
        <v>0.0645</v>
      </c>
      <c r="CA32" s="0" t="n">
        <v>0.0227</v>
      </c>
      <c r="CB32" s="0" t="n">
        <v>0.0333</v>
      </c>
      <c r="CC32" s="0" t="n">
        <v>0.4779</v>
      </c>
      <c r="CD32" s="0" t="n">
        <v>0.0941</v>
      </c>
      <c r="CE32" s="0" t="n">
        <v>0.245</v>
      </c>
      <c r="CF32" s="0" t="n">
        <v>0.0137</v>
      </c>
      <c r="CG32" s="0" t="n">
        <v>0.2369</v>
      </c>
      <c r="CH32" s="0" t="n">
        <v>0</v>
      </c>
      <c r="CI32" s="0" t="n">
        <v>0.0799</v>
      </c>
      <c r="CJ32" s="0" t="n">
        <v>0.2136</v>
      </c>
      <c r="CK32" s="0" t="n">
        <v>0.1603</v>
      </c>
      <c r="CL32" s="0" t="n">
        <v>0</v>
      </c>
      <c r="CM32" s="0" t="n">
        <v>0.9675</v>
      </c>
      <c r="CN32" s="0" t="n">
        <v>0.0002</v>
      </c>
      <c r="CO32" s="0" t="n">
        <v>0.4214</v>
      </c>
      <c r="CP32" s="0" t="n">
        <v>1.4865</v>
      </c>
      <c r="CQ32" s="0" t="n">
        <v>9.4617</v>
      </c>
      <c r="CR32" s="0" t="n">
        <v>13.3324</v>
      </c>
      <c r="CS32" s="0" t="n">
        <v>12.7404</v>
      </c>
      <c r="CT32" s="0" t="n">
        <v>28.2595</v>
      </c>
      <c r="CU32" s="0" t="n">
        <v>19.5873</v>
      </c>
      <c r="CV32" s="0" t="n">
        <v>21.4344</v>
      </c>
      <c r="CW32" s="0" t="n">
        <v>20.7161</v>
      </c>
      <c r="CX32" s="0" t="n">
        <v>28.2086</v>
      </c>
      <c r="CY32" s="0" t="n">
        <v>13.6576</v>
      </c>
      <c r="CZ32" s="0" t="n">
        <v>23.0505</v>
      </c>
      <c r="DA32" s="0" t="n">
        <v>16.7675</v>
      </c>
      <c r="DB32" s="0" t="n">
        <v>10.4986</v>
      </c>
      <c r="DC32" s="0" t="n">
        <v>11.8363</v>
      </c>
      <c r="DD32" s="0" t="n">
        <v>11.3862</v>
      </c>
      <c r="DE32" s="0" t="n">
        <v>10.5918</v>
      </c>
      <c r="DF32" s="0" t="n">
        <v>6.4111</v>
      </c>
      <c r="DG32" s="0" t="n">
        <v>8.0689</v>
      </c>
      <c r="DH32" s="0" t="n">
        <v>7.0735</v>
      </c>
      <c r="DI32" s="0" t="n">
        <v>10.7302</v>
      </c>
      <c r="DJ32" s="0" t="n">
        <v>4.808</v>
      </c>
      <c r="DK32" s="0" t="n">
        <v>6.2385</v>
      </c>
      <c r="DL32" s="0" t="n">
        <v>9.0923</v>
      </c>
      <c r="DM32" s="0" t="n">
        <v>5.0078</v>
      </c>
      <c r="DN32" s="0" t="n">
        <v>8.1595</v>
      </c>
      <c r="DO32" s="0" t="n">
        <v>4.862</v>
      </c>
      <c r="DP32" s="0" t="n">
        <v>4.9222</v>
      </c>
      <c r="DQ32" s="0" t="n">
        <v>7.1872</v>
      </c>
      <c r="DR32" s="0" t="n">
        <v>9.5193</v>
      </c>
      <c r="DS32" s="0" t="n">
        <v>12.0509</v>
      </c>
      <c r="DT32" s="0" t="n">
        <v>13.8097</v>
      </c>
      <c r="DU32" s="0" t="n">
        <v>14.7974</v>
      </c>
      <c r="DV32" s="0" t="n">
        <v>10.5614</v>
      </c>
      <c r="DW32" s="0" t="n">
        <v>14.7416</v>
      </c>
      <c r="DX32" s="0" t="n">
        <v>16.5452</v>
      </c>
      <c r="DY32" s="0" t="n">
        <v>5.2257</v>
      </c>
      <c r="DZ32" s="0" t="n">
        <v>7.2587</v>
      </c>
      <c r="EA32" s="0" t="n">
        <v>7.5661</v>
      </c>
      <c r="EB32" s="0" t="n">
        <v>4.6521</v>
      </c>
      <c r="EC32" s="0" t="n">
        <v>4.4934</v>
      </c>
      <c r="ED32" s="0" t="n">
        <v>3.2132</v>
      </c>
      <c r="EE32" s="0" t="n">
        <v>6.474</v>
      </c>
      <c r="EF32" s="0" t="n">
        <v>5.2907</v>
      </c>
      <c r="EG32" s="0" t="n">
        <v>4.4523</v>
      </c>
      <c r="EH32" s="0" t="n">
        <v>4.0409</v>
      </c>
      <c r="EI32" s="0" t="n">
        <v>4.4883</v>
      </c>
      <c r="EJ32" s="0" t="n">
        <v>4.535</v>
      </c>
      <c r="EK32" s="0" t="n">
        <v>3.5028</v>
      </c>
      <c r="EL32" s="0" t="n">
        <v>2.7349</v>
      </c>
      <c r="EM32" s="0" t="n">
        <v>0.7826</v>
      </c>
      <c r="EN32" s="0" t="n">
        <v>1.8849</v>
      </c>
      <c r="EO32" s="0" t="n">
        <v>0.9668</v>
      </c>
      <c r="EP32" s="0" t="n">
        <v>1.4133</v>
      </c>
      <c r="EQ32" s="0" t="n">
        <v>0.8943</v>
      </c>
      <c r="ER32" s="0" t="n">
        <v>1.3214</v>
      </c>
      <c r="ES32" s="0" t="n">
        <v>0.1275</v>
      </c>
      <c r="ET32" s="0" t="n">
        <v>0.1888</v>
      </c>
      <c r="EU32" s="0" t="n">
        <v>0.5174</v>
      </c>
      <c r="EV32" s="0" t="n">
        <v>0.2422</v>
      </c>
      <c r="EW32" s="0" t="n">
        <v>0.271</v>
      </c>
      <c r="EX32" s="0" t="n">
        <v>0.181</v>
      </c>
      <c r="EY32" s="0" t="n">
        <v>0.2733</v>
      </c>
      <c r="EZ32" s="0" t="n">
        <v>0.7025</v>
      </c>
      <c r="FA32" s="0" t="n">
        <v>0.1135</v>
      </c>
      <c r="FB32" s="0" t="n">
        <v>0.0712</v>
      </c>
      <c r="FC32" s="0" t="n">
        <v>0.0686</v>
      </c>
      <c r="FD32" s="0" t="n">
        <v>0.0246</v>
      </c>
      <c r="FE32" s="0" t="n">
        <v>0.0363</v>
      </c>
      <c r="FF32" s="0" t="n">
        <v>0.5292</v>
      </c>
      <c r="FG32" s="0" t="n">
        <v>0.1062</v>
      </c>
      <c r="FH32" s="0" t="n">
        <v>0.2872</v>
      </c>
      <c r="FI32" s="0" t="n">
        <v>0.0159</v>
      </c>
      <c r="FJ32" s="0" t="n">
        <v>0.2772</v>
      </c>
      <c r="FK32" s="0" t="n">
        <v>0</v>
      </c>
      <c r="FL32" s="0" t="n">
        <v>0.0962</v>
      </c>
      <c r="FM32" s="0" t="n">
        <v>0.2608</v>
      </c>
      <c r="FN32" s="0" t="n">
        <v>0.1976</v>
      </c>
      <c r="FO32" s="0" t="n">
        <v>0</v>
      </c>
      <c r="FP32" s="0" t="n">
        <v>1.3519</v>
      </c>
    </row>
    <row r="33" customFormat="false" ht="13.8" hidden="false" customHeight="false" outlineLevel="0" collapsed="false">
      <c r="A33" s="2" t="s">
        <v>237</v>
      </c>
      <c r="B33" s="0" t="s">
        <v>176</v>
      </c>
      <c r="C33" s="0" t="n">
        <v>305</v>
      </c>
      <c r="D33" s="0" t="s">
        <v>238</v>
      </c>
      <c r="G33" s="0" t="n">
        <v>3858.4617</v>
      </c>
      <c r="H33" s="0" t="n">
        <v>298.3743</v>
      </c>
      <c r="I33" s="0" t="n">
        <v>937.3703</v>
      </c>
      <c r="J33" s="0" t="n">
        <v>0.745825</v>
      </c>
      <c r="K33" s="0" t="n">
        <v>0</v>
      </c>
      <c r="L33" s="0" t="n">
        <v>351.8769</v>
      </c>
      <c r="M33" s="0" t="n">
        <v>310.081</v>
      </c>
      <c r="N33" s="0" t="n">
        <v>443.8327</v>
      </c>
      <c r="O33" s="0" t="n">
        <v>305.3571</v>
      </c>
      <c r="P33" s="0" t="n">
        <v>194.5963</v>
      </c>
      <c r="Q33" s="0" t="n">
        <v>133.097</v>
      </c>
      <c r="R33" s="0" t="n">
        <v>108.9799</v>
      </c>
      <c r="S33" s="0" t="n">
        <v>68.4198</v>
      </c>
      <c r="T33" s="0" t="n">
        <v>69.7339</v>
      </c>
      <c r="U33" s="0" t="n">
        <v>68.8762</v>
      </c>
      <c r="V33" s="0" t="n">
        <v>66.3231</v>
      </c>
      <c r="W33" s="0" t="n">
        <v>56.1165</v>
      </c>
      <c r="X33" s="0" t="n">
        <v>51.0599</v>
      </c>
      <c r="Y33" s="0" t="n">
        <v>46.9713</v>
      </c>
      <c r="Z33" s="0" t="n">
        <v>44.0261</v>
      </c>
      <c r="AA33" s="0" t="n">
        <v>42.9774</v>
      </c>
      <c r="AB33" s="0" t="n">
        <v>44.216</v>
      </c>
      <c r="AC33" s="0" t="n">
        <v>45.7376</v>
      </c>
      <c r="AD33" s="0" t="n">
        <v>56.1273</v>
      </c>
      <c r="AE33" s="0" t="n">
        <v>55.7828</v>
      </c>
      <c r="AF33" s="0" t="n">
        <v>62.0797</v>
      </c>
      <c r="AG33" s="0" t="n">
        <v>58.8875</v>
      </c>
      <c r="AH33" s="0" t="n">
        <v>63.9504</v>
      </c>
      <c r="AI33" s="0" t="n">
        <v>71.8965</v>
      </c>
      <c r="AJ33" s="0" t="n">
        <v>78.818</v>
      </c>
      <c r="AK33" s="0" t="n">
        <v>86.3403</v>
      </c>
      <c r="AL33" s="0" t="n">
        <v>74.7891</v>
      </c>
      <c r="AM33" s="0" t="n">
        <v>70.0217</v>
      </c>
      <c r="AN33" s="0" t="n">
        <v>70.5269</v>
      </c>
      <c r="AO33" s="0" t="n">
        <v>77.7533</v>
      </c>
      <c r="AP33" s="0" t="n">
        <v>79.2441</v>
      </c>
      <c r="AQ33" s="0" t="n">
        <v>68.3377</v>
      </c>
      <c r="AR33" s="0" t="n">
        <v>75.8724</v>
      </c>
      <c r="AS33" s="0" t="n">
        <v>72.469</v>
      </c>
      <c r="AT33" s="0" t="n">
        <v>62.5851</v>
      </c>
      <c r="AU33" s="0" t="n">
        <v>48.436</v>
      </c>
      <c r="AV33" s="0" t="n">
        <v>31.6011</v>
      </c>
      <c r="AW33" s="0" t="n">
        <v>23.7516</v>
      </c>
      <c r="AX33" s="0" t="n">
        <v>19.0963</v>
      </c>
      <c r="AY33" s="0" t="n">
        <v>17.1289</v>
      </c>
      <c r="AZ33" s="0" t="n">
        <v>14.3491</v>
      </c>
      <c r="BA33" s="0" t="n">
        <v>13.345</v>
      </c>
      <c r="BB33" s="0" t="n">
        <v>10.3316</v>
      </c>
      <c r="BC33" s="0" t="n">
        <v>7.6601</v>
      </c>
      <c r="BD33" s="0" t="n">
        <v>5.5436</v>
      </c>
      <c r="BE33" s="0" t="n">
        <v>3.6611</v>
      </c>
      <c r="BF33" s="0" t="n">
        <v>3.4233</v>
      </c>
      <c r="BG33" s="0" t="n">
        <v>3.5998</v>
      </c>
      <c r="BH33" s="0" t="n">
        <v>2.6533</v>
      </c>
      <c r="BI33" s="0" t="n">
        <v>2.0044</v>
      </c>
      <c r="BJ33" s="0" t="n">
        <v>2.1488</v>
      </c>
      <c r="BK33" s="0" t="n">
        <v>1.4839</v>
      </c>
      <c r="BL33" s="0" t="n">
        <v>1.1567</v>
      </c>
      <c r="BM33" s="0" t="n">
        <v>1.4958</v>
      </c>
      <c r="BN33" s="0" t="n">
        <v>1.544</v>
      </c>
      <c r="BO33" s="0" t="n">
        <v>0.4402</v>
      </c>
      <c r="BP33" s="0" t="n">
        <v>0.4669</v>
      </c>
      <c r="BQ33" s="0" t="n">
        <v>0.8485</v>
      </c>
      <c r="BR33" s="0" t="n">
        <v>0.4629</v>
      </c>
      <c r="BS33" s="0" t="n">
        <v>0.5113</v>
      </c>
      <c r="BT33" s="0" t="n">
        <v>0.2765</v>
      </c>
      <c r="BU33" s="0" t="n">
        <v>0.2507</v>
      </c>
      <c r="BV33" s="0" t="n">
        <v>0.3554</v>
      </c>
      <c r="BW33" s="0" t="n">
        <v>0.3992</v>
      </c>
      <c r="BX33" s="0" t="n">
        <v>0.2302</v>
      </c>
      <c r="BY33" s="0" t="n">
        <v>0.2598</v>
      </c>
      <c r="BZ33" s="0" t="n">
        <v>0.1215</v>
      </c>
      <c r="CA33" s="0" t="n">
        <v>0.0195</v>
      </c>
      <c r="CB33" s="0" t="n">
        <v>0.1256</v>
      </c>
      <c r="CC33" s="0" t="n">
        <v>0.0195</v>
      </c>
      <c r="CD33" s="0" t="n">
        <v>0.0069</v>
      </c>
      <c r="CE33" s="0" t="n">
        <v>0.0132</v>
      </c>
      <c r="CF33" s="0" t="n">
        <v>0.1013</v>
      </c>
      <c r="CG33" s="0" t="n">
        <v>0.019</v>
      </c>
      <c r="CH33" s="0" t="n">
        <v>0.0069</v>
      </c>
      <c r="CI33" s="0" t="n">
        <v>0.0697</v>
      </c>
      <c r="CJ33" s="0" t="n">
        <v>0.038</v>
      </c>
      <c r="CK33" s="0" t="n">
        <v>0.0275</v>
      </c>
      <c r="CL33" s="0" t="n">
        <v>0.0269</v>
      </c>
      <c r="CM33" s="0" t="n">
        <v>0.19</v>
      </c>
      <c r="CN33" s="0" t="n">
        <v>0</v>
      </c>
      <c r="CO33" s="0" t="n">
        <v>9.2386</v>
      </c>
      <c r="CP33" s="0" t="n">
        <v>11.8705</v>
      </c>
      <c r="CQ33" s="0" t="n">
        <v>24.3732</v>
      </c>
      <c r="CR33" s="0" t="n">
        <v>21.1775</v>
      </c>
      <c r="CS33" s="0" t="n">
        <v>16.7306</v>
      </c>
      <c r="CT33" s="0" t="n">
        <v>13.5562</v>
      </c>
      <c r="CU33" s="0" t="n">
        <v>12.8033</v>
      </c>
      <c r="CV33" s="0" t="n">
        <v>9.1312</v>
      </c>
      <c r="CW33" s="0" t="n">
        <v>10.3759</v>
      </c>
      <c r="CX33" s="0" t="n">
        <v>11.3407</v>
      </c>
      <c r="CY33" s="0" t="n">
        <v>12.0193</v>
      </c>
      <c r="CZ33" s="0" t="n">
        <v>11.0002</v>
      </c>
      <c r="DA33" s="0" t="n">
        <v>10.8118</v>
      </c>
      <c r="DB33" s="0" t="n">
        <v>10.6921</v>
      </c>
      <c r="DC33" s="0" t="n">
        <v>10.7217</v>
      </c>
      <c r="DD33" s="0" t="n">
        <v>11.1362</v>
      </c>
      <c r="DE33" s="0" t="n">
        <v>12.1514</v>
      </c>
      <c r="DF33" s="0" t="n">
        <v>13.3084</v>
      </c>
      <c r="DG33" s="0" t="n">
        <v>17.1936</v>
      </c>
      <c r="DH33" s="0" t="n">
        <v>17.9741</v>
      </c>
      <c r="DI33" s="0" t="n">
        <v>20.996</v>
      </c>
      <c r="DJ33" s="0" t="n">
        <v>20.7917</v>
      </c>
      <c r="DK33" s="0" t="n">
        <v>23.6215</v>
      </c>
      <c r="DL33" s="0" t="n">
        <v>27.7086</v>
      </c>
      <c r="DM33" s="0" t="n">
        <v>31.5422</v>
      </c>
      <c r="DN33" s="0" t="n">
        <v>35.8975</v>
      </c>
      <c r="DO33" s="0" t="n">
        <v>32.3605</v>
      </c>
      <c r="DP33" s="0" t="n">
        <v>31.3182</v>
      </c>
      <c r="DQ33" s="0" t="n">
        <v>32.6792</v>
      </c>
      <c r="DR33" s="0" t="n">
        <v>37.2721</v>
      </c>
      <c r="DS33" s="0" t="n">
        <v>39.2366</v>
      </c>
      <c r="DT33" s="0" t="n">
        <v>34.8741</v>
      </c>
      <c r="DU33" s="0" t="n">
        <v>39.9215</v>
      </c>
      <c r="DV33" s="0" t="n">
        <v>39.2273</v>
      </c>
      <c r="DW33" s="0" t="n">
        <v>34.8799</v>
      </c>
      <c r="DX33" s="0" t="n">
        <v>27.79</v>
      </c>
      <c r="DY33" s="0" t="n">
        <v>18.6181</v>
      </c>
      <c r="DZ33" s="0" t="n">
        <v>14.3506</v>
      </c>
      <c r="EA33" s="0" t="n">
        <v>11.836</v>
      </c>
      <c r="EB33" s="0" t="n">
        <v>10.9148</v>
      </c>
      <c r="EC33" s="0" t="n">
        <v>9.3468</v>
      </c>
      <c r="ED33" s="0" t="n">
        <v>8.896</v>
      </c>
      <c r="EE33" s="0" t="n">
        <v>7.057</v>
      </c>
      <c r="EF33" s="0" t="n">
        <v>5.3543</v>
      </c>
      <c r="EG33" s="0" t="n">
        <v>3.9585</v>
      </c>
      <c r="EH33" s="0" t="n">
        <v>2.6724</v>
      </c>
      <c r="EI33" s="0" t="n">
        <v>2.5578</v>
      </c>
      <c r="EJ33" s="0" t="n">
        <v>2.7351</v>
      </c>
      <c r="EK33" s="0" t="n">
        <v>2.0685</v>
      </c>
      <c r="EL33" s="0" t="n">
        <v>1.5872</v>
      </c>
      <c r="EM33" s="0" t="n">
        <v>1.7379</v>
      </c>
      <c r="EN33" s="0" t="n">
        <v>1.2257</v>
      </c>
      <c r="EO33" s="0" t="n">
        <v>0.9723</v>
      </c>
      <c r="EP33" s="0" t="n">
        <v>1.2769</v>
      </c>
      <c r="EQ33" s="0" t="n">
        <v>1.3431</v>
      </c>
      <c r="ER33" s="0" t="n">
        <v>0.3913</v>
      </c>
      <c r="ES33" s="0" t="n">
        <v>0.4219</v>
      </c>
      <c r="ET33" s="0" t="n">
        <v>0.7819</v>
      </c>
      <c r="EU33" s="0" t="n">
        <v>0.4339</v>
      </c>
      <c r="EV33" s="0" t="n">
        <v>0.4854</v>
      </c>
      <c r="EW33" s="0" t="n">
        <v>0.2681</v>
      </c>
      <c r="EX33" s="0" t="n">
        <v>0.2475</v>
      </c>
      <c r="EY33" s="0" t="n">
        <v>0.3555</v>
      </c>
      <c r="EZ33" s="0" t="n">
        <v>0.4036</v>
      </c>
      <c r="FA33" s="0" t="n">
        <v>0.2375</v>
      </c>
      <c r="FB33" s="0" t="n">
        <v>0.2714</v>
      </c>
      <c r="FC33" s="0" t="n">
        <v>0.1285</v>
      </c>
      <c r="FD33" s="0" t="n">
        <v>0.021</v>
      </c>
      <c r="FE33" s="0" t="n">
        <v>0.1369</v>
      </c>
      <c r="FF33" s="0" t="n">
        <v>0.0217</v>
      </c>
      <c r="FG33" s="0" t="n">
        <v>0.0077</v>
      </c>
      <c r="FH33" s="0" t="n">
        <v>0.015</v>
      </c>
      <c r="FI33" s="0" t="n">
        <v>0.1167</v>
      </c>
      <c r="FJ33" s="0" t="n">
        <v>0.0224</v>
      </c>
      <c r="FK33" s="0" t="n">
        <v>0.0081</v>
      </c>
      <c r="FL33" s="0" t="n">
        <v>0.0836</v>
      </c>
      <c r="FM33" s="0" t="n">
        <v>0.0464</v>
      </c>
      <c r="FN33" s="0" t="n">
        <v>0.0339</v>
      </c>
      <c r="FO33" s="0" t="n">
        <v>0.0336</v>
      </c>
      <c r="FP33" s="0" t="n">
        <v>0.2445</v>
      </c>
    </row>
    <row r="34" customFormat="false" ht="13.8" hidden="false" customHeight="false" outlineLevel="0" collapsed="false">
      <c r="A34" s="2" t="s">
        <v>239</v>
      </c>
      <c r="B34" s="0" t="s">
        <v>173</v>
      </c>
      <c r="C34" s="0" t="n">
        <v>24</v>
      </c>
      <c r="D34" s="0" t="s">
        <v>240</v>
      </c>
      <c r="G34" s="0" t="n">
        <v>1286.9387</v>
      </c>
      <c r="H34" s="0" t="n">
        <v>76.2582</v>
      </c>
      <c r="I34" s="0" t="n">
        <v>239.5722</v>
      </c>
      <c r="J34" s="0" t="n">
        <v>0.58955</v>
      </c>
      <c r="K34" s="0" t="n">
        <v>0</v>
      </c>
      <c r="L34" s="0" t="n">
        <v>131.93</v>
      </c>
      <c r="M34" s="0" t="n">
        <v>112.3345</v>
      </c>
      <c r="N34" s="0" t="n">
        <v>162.5787</v>
      </c>
      <c r="O34" s="0" t="n">
        <v>110.5702</v>
      </c>
      <c r="P34" s="0" t="n">
        <v>72.257</v>
      </c>
      <c r="Q34" s="0" t="n">
        <v>44.2376</v>
      </c>
      <c r="R34" s="0" t="n">
        <v>48.1978</v>
      </c>
      <c r="S34" s="0" t="n">
        <v>29.9123</v>
      </c>
      <c r="T34" s="0" t="n">
        <v>30.8606</v>
      </c>
      <c r="U34" s="0" t="n">
        <v>40.8675</v>
      </c>
      <c r="V34" s="0" t="n">
        <v>40.3302</v>
      </c>
      <c r="W34" s="0" t="n">
        <v>28.7546</v>
      </c>
      <c r="X34" s="0" t="n">
        <v>24.843</v>
      </c>
      <c r="Y34" s="0" t="n">
        <v>24.8304</v>
      </c>
      <c r="Z34" s="0" t="n">
        <v>23.4239</v>
      </c>
      <c r="AA34" s="0" t="n">
        <v>25.8965</v>
      </c>
      <c r="AB34" s="0" t="n">
        <v>23.0874</v>
      </c>
      <c r="AC34" s="0" t="n">
        <v>23.1139</v>
      </c>
      <c r="AD34" s="0" t="n">
        <v>14.4283</v>
      </c>
      <c r="AE34" s="0" t="n">
        <v>15.6489</v>
      </c>
      <c r="AF34" s="0" t="n">
        <v>21.4174</v>
      </c>
      <c r="AG34" s="0" t="n">
        <v>21.6106</v>
      </c>
      <c r="AH34" s="0" t="n">
        <v>18.712</v>
      </c>
      <c r="AI34" s="0" t="n">
        <v>12.0172</v>
      </c>
      <c r="AJ34" s="0" t="n">
        <v>16.1638</v>
      </c>
      <c r="AK34" s="0" t="n">
        <v>14.5922</v>
      </c>
      <c r="AL34" s="0" t="n">
        <v>15.7568</v>
      </c>
      <c r="AM34" s="0" t="n">
        <v>16.1116</v>
      </c>
      <c r="AN34" s="0" t="n">
        <v>12.9603</v>
      </c>
      <c r="AO34" s="0" t="n">
        <v>14.9822</v>
      </c>
      <c r="AP34" s="0" t="n">
        <v>17.2162</v>
      </c>
      <c r="AQ34" s="0" t="n">
        <v>16.1409</v>
      </c>
      <c r="AR34" s="0" t="n">
        <v>16.0356</v>
      </c>
      <c r="AS34" s="0" t="n">
        <v>11.4874</v>
      </c>
      <c r="AT34" s="0" t="n">
        <v>9.8351</v>
      </c>
      <c r="AU34" s="0" t="n">
        <v>6.7866</v>
      </c>
      <c r="AV34" s="0" t="n">
        <v>6.6576</v>
      </c>
      <c r="AW34" s="0" t="n">
        <v>3.1351</v>
      </c>
      <c r="AX34" s="0" t="n">
        <v>1.8844</v>
      </c>
      <c r="AY34" s="0" t="n">
        <v>1.7379</v>
      </c>
      <c r="AZ34" s="0" t="n">
        <v>0.6597</v>
      </c>
      <c r="BA34" s="0" t="n">
        <v>0.7052</v>
      </c>
      <c r="BB34" s="0" t="n">
        <v>0.2434</v>
      </c>
      <c r="BC34" s="0" t="n">
        <v>0.1422</v>
      </c>
      <c r="BD34" s="0" t="n">
        <v>0.1216</v>
      </c>
      <c r="BE34" s="0" t="n">
        <v>0.2786</v>
      </c>
      <c r="BF34" s="0" t="n">
        <v>0.0814</v>
      </c>
      <c r="BG34" s="0" t="n">
        <v>0.1672</v>
      </c>
      <c r="BH34" s="0" t="n">
        <v>0</v>
      </c>
      <c r="BI34" s="0" t="n">
        <v>0</v>
      </c>
      <c r="BJ34" s="0" t="n">
        <v>0.0206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0.0629</v>
      </c>
      <c r="BV34" s="0" t="n">
        <v>0</v>
      </c>
      <c r="BW34" s="0" t="n">
        <v>0.0555</v>
      </c>
      <c r="BX34" s="0" t="n">
        <v>0</v>
      </c>
      <c r="BY34" s="0" t="n">
        <v>0</v>
      </c>
      <c r="BZ34" s="0" t="n">
        <v>0</v>
      </c>
      <c r="CA34" s="0" t="n">
        <v>0.0112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3.4637</v>
      </c>
      <c r="CP34" s="0" t="n">
        <v>4.3341</v>
      </c>
      <c r="CQ34" s="0" t="n">
        <v>8.9093</v>
      </c>
      <c r="CR34" s="0" t="n">
        <v>7.6702</v>
      </c>
      <c r="CS34" s="0" t="n">
        <v>6.2039</v>
      </c>
      <c r="CT34" s="0" t="n">
        <v>4.5054</v>
      </c>
      <c r="CU34" s="0" t="n">
        <v>5.7051</v>
      </c>
      <c r="CV34" s="0" t="n">
        <v>3.9853</v>
      </c>
      <c r="CW34" s="0" t="n">
        <v>4.6068</v>
      </c>
      <c r="CX34" s="0" t="n">
        <v>6.7349</v>
      </c>
      <c r="CY34" s="0" t="n">
        <v>7.3054</v>
      </c>
      <c r="CZ34" s="0" t="n">
        <v>5.6359</v>
      </c>
      <c r="DA34" s="0" t="n">
        <v>5.2624</v>
      </c>
      <c r="DB34" s="0" t="n">
        <v>5.6741</v>
      </c>
      <c r="DC34" s="0" t="n">
        <v>5.7157</v>
      </c>
      <c r="DD34" s="0" t="n">
        <v>6.6987</v>
      </c>
      <c r="DE34" s="0" t="n">
        <v>6.3441</v>
      </c>
      <c r="DF34" s="0" t="n">
        <v>6.7134</v>
      </c>
      <c r="DG34" s="0" t="n">
        <v>4.4082</v>
      </c>
      <c r="DH34" s="0" t="n">
        <v>5.0495</v>
      </c>
      <c r="DI34" s="0" t="n">
        <v>7.2361</v>
      </c>
      <c r="DJ34" s="0" t="n">
        <v>7.6342</v>
      </c>
      <c r="DK34" s="0" t="n">
        <v>6.9006</v>
      </c>
      <c r="DL34" s="0" t="n">
        <v>4.6189</v>
      </c>
      <c r="DM34" s="0" t="n">
        <v>6.4597</v>
      </c>
      <c r="DN34" s="0" t="n">
        <v>6.0829</v>
      </c>
      <c r="DO34" s="0" t="n">
        <v>6.8189</v>
      </c>
      <c r="DP34" s="0" t="n">
        <v>7.2111</v>
      </c>
      <c r="DQ34" s="0" t="n">
        <v>5.9915</v>
      </c>
      <c r="DR34" s="0" t="n">
        <v>7.1851</v>
      </c>
      <c r="DS34" s="0" t="n">
        <v>8.5142</v>
      </c>
      <c r="DT34" s="0" t="n">
        <v>8.2547</v>
      </c>
      <c r="DU34" s="0" t="n">
        <v>8.4367</v>
      </c>
      <c r="DV34" s="0" t="n">
        <v>6.216</v>
      </c>
      <c r="DW34" s="0" t="n">
        <v>5.4739</v>
      </c>
      <c r="DX34" s="0" t="n">
        <v>3.8942</v>
      </c>
      <c r="DY34" s="0" t="n">
        <v>3.9116</v>
      </c>
      <c r="DZ34" s="0" t="n">
        <v>1.892</v>
      </c>
      <c r="EA34" s="0" t="n">
        <v>1.169</v>
      </c>
      <c r="EB34" s="0" t="n">
        <v>1.1058</v>
      </c>
      <c r="EC34" s="0" t="n">
        <v>0.4294</v>
      </c>
      <c r="ED34" s="0" t="n">
        <v>0.4702</v>
      </c>
      <c r="EE34" s="0" t="n">
        <v>0.1661</v>
      </c>
      <c r="EF34" s="0" t="n">
        <v>0.0986</v>
      </c>
      <c r="EG34" s="0" t="n">
        <v>0.0865</v>
      </c>
      <c r="EH34" s="0" t="n">
        <v>0.2039</v>
      </c>
      <c r="EI34" s="0" t="n">
        <v>0.0608</v>
      </c>
      <c r="EJ34" s="0" t="n">
        <v>0.1265</v>
      </c>
      <c r="EK34" s="0" t="n">
        <v>0</v>
      </c>
      <c r="EL34" s="0" t="n">
        <v>0</v>
      </c>
      <c r="EM34" s="0" t="n">
        <v>0.0168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0.0618</v>
      </c>
      <c r="EY34" s="0" t="n">
        <v>0</v>
      </c>
      <c r="EZ34" s="0" t="n">
        <v>0.0567</v>
      </c>
      <c r="FA34" s="0" t="n">
        <v>0</v>
      </c>
      <c r="FB34" s="0" t="n">
        <v>0</v>
      </c>
      <c r="FC34" s="0" t="n">
        <v>0</v>
      </c>
      <c r="FD34" s="0" t="n">
        <v>0.1097</v>
      </c>
      <c r="FE34" s="0" t="n">
        <v>0</v>
      </c>
      <c r="FF34" s="0" t="n">
        <v>0</v>
      </c>
      <c r="FG34" s="0" t="n">
        <v>0</v>
      </c>
      <c r="FH34" s="0" t="n">
        <v>0</v>
      </c>
      <c r="FI34" s="0" t="n">
        <v>0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0</v>
      </c>
      <c r="FO34" s="0" t="n">
        <v>0</v>
      </c>
      <c r="FP34" s="0" t="n">
        <v>0</v>
      </c>
    </row>
    <row r="35" customFormat="false" ht="13.8" hidden="false" customHeight="false" outlineLevel="0" collapsed="false">
      <c r="A35" s="2" t="s">
        <v>241</v>
      </c>
      <c r="B35" s="0" t="s">
        <v>199</v>
      </c>
      <c r="C35" s="0" t="s">
        <v>242</v>
      </c>
      <c r="D35" s="0" t="s">
        <v>243</v>
      </c>
      <c r="E35" s="0" t="e">
        <f aca="false">VLOOKUP(A35,[1]RHIZOMES!$A$1:$B$1048576,2,0)</f>
        <v>#N/A</v>
      </c>
      <c r="F35" s="0" t="n">
        <v>0.4262</v>
      </c>
      <c r="G35" s="0" t="n">
        <v>1610.1328</v>
      </c>
      <c r="H35" s="0" t="n">
        <v>115.9344</v>
      </c>
      <c r="I35" s="0" t="n">
        <v>364.2188</v>
      </c>
      <c r="J35" s="0" t="n">
        <v>0.693925</v>
      </c>
      <c r="K35" s="0" t="n">
        <v>0.0572</v>
      </c>
      <c r="L35" s="0" t="n">
        <v>46.0884</v>
      </c>
      <c r="M35" s="0" t="n">
        <v>54.7903</v>
      </c>
      <c r="N35" s="0" t="n">
        <v>124.4886</v>
      </c>
      <c r="O35" s="0" t="n">
        <v>105.3937</v>
      </c>
      <c r="P35" s="0" t="n">
        <v>127.9164</v>
      </c>
      <c r="Q35" s="0" t="n">
        <v>119.6049</v>
      </c>
      <c r="R35" s="0" t="n">
        <v>96.7616</v>
      </c>
      <c r="S35" s="0" t="n">
        <v>72.3391</v>
      </c>
      <c r="T35" s="0" t="n">
        <v>46.4132</v>
      </c>
      <c r="U35" s="0" t="n">
        <v>86.0004</v>
      </c>
      <c r="V35" s="0" t="n">
        <v>43.447</v>
      </c>
      <c r="W35" s="0" t="n">
        <v>51.9053</v>
      </c>
      <c r="X35" s="0" t="n">
        <v>48.3332</v>
      </c>
      <c r="Y35" s="0" t="n">
        <v>40.684</v>
      </c>
      <c r="Z35" s="0" t="n">
        <v>50.617</v>
      </c>
      <c r="AA35" s="0" t="n">
        <v>47.6729</v>
      </c>
      <c r="AB35" s="0" t="n">
        <v>57.2493</v>
      </c>
      <c r="AC35" s="0" t="n">
        <v>37.5972</v>
      </c>
      <c r="AD35" s="0" t="n">
        <v>51.6341</v>
      </c>
      <c r="AE35" s="0" t="n">
        <v>34.1396</v>
      </c>
      <c r="AF35" s="0" t="n">
        <v>49.9941</v>
      </c>
      <c r="AG35" s="0" t="n">
        <v>17.138</v>
      </c>
      <c r="AH35" s="0" t="n">
        <v>29.5821</v>
      </c>
      <c r="AI35" s="0" t="n">
        <v>37.5409</v>
      </c>
      <c r="AJ35" s="0" t="n">
        <v>15.1743</v>
      </c>
      <c r="AK35" s="0" t="n">
        <v>29.9312</v>
      </c>
      <c r="AL35" s="0" t="n">
        <v>12.7195</v>
      </c>
      <c r="AM35" s="0" t="n">
        <v>12.5245</v>
      </c>
      <c r="AN35" s="0" t="n">
        <v>12.9943</v>
      </c>
      <c r="AO35" s="0" t="n">
        <v>13.9264</v>
      </c>
      <c r="AP35" s="0" t="n">
        <v>5.8642</v>
      </c>
      <c r="AQ35" s="0" t="n">
        <v>6.2781</v>
      </c>
      <c r="AR35" s="0" t="n">
        <v>3.388</v>
      </c>
      <c r="AS35" s="0" t="n">
        <v>3.3888</v>
      </c>
      <c r="AT35" s="0" t="n">
        <v>2.3661</v>
      </c>
      <c r="AU35" s="0" t="n">
        <v>2.8201</v>
      </c>
      <c r="AV35" s="0" t="n">
        <v>2.0181</v>
      </c>
      <c r="AW35" s="0" t="n">
        <v>0.9841</v>
      </c>
      <c r="AX35" s="0" t="n">
        <v>2.1855</v>
      </c>
      <c r="AY35" s="0" t="n">
        <v>0.3315</v>
      </c>
      <c r="AZ35" s="0" t="n">
        <v>1.021</v>
      </c>
      <c r="BA35" s="0" t="n">
        <v>0.1914</v>
      </c>
      <c r="BB35" s="0" t="n">
        <v>0.1945</v>
      </c>
      <c r="BC35" s="0" t="n">
        <v>0.2295</v>
      </c>
      <c r="BD35" s="0" t="n">
        <v>0.2484</v>
      </c>
      <c r="BE35" s="0" t="n">
        <v>0.1742</v>
      </c>
      <c r="BF35" s="0" t="n">
        <v>0.0132</v>
      </c>
      <c r="BG35" s="0" t="n">
        <v>0.3659</v>
      </c>
      <c r="BH35" s="0" t="n">
        <v>0.0682</v>
      </c>
      <c r="BI35" s="0" t="n">
        <v>0.2337</v>
      </c>
      <c r="BJ35" s="0" t="n">
        <v>0.4133</v>
      </c>
      <c r="BK35" s="0" t="n">
        <v>0.2029</v>
      </c>
      <c r="BL35" s="0" t="n">
        <v>0.1655</v>
      </c>
      <c r="BM35" s="0" t="n">
        <v>0.204</v>
      </c>
      <c r="BN35" s="0" t="n">
        <v>0.4764</v>
      </c>
      <c r="BO35" s="0" t="n">
        <v>0.0132</v>
      </c>
      <c r="BP35" s="0" t="n">
        <v>0.0069</v>
      </c>
      <c r="BQ35" s="0" t="n">
        <v>0.0127</v>
      </c>
      <c r="BR35" s="0" t="n">
        <v>0.0745</v>
      </c>
      <c r="BS35" s="0" t="n">
        <v>0.3469</v>
      </c>
      <c r="BT35" s="0" t="n">
        <v>0.0063</v>
      </c>
      <c r="BU35" s="0" t="n">
        <v>0.0788</v>
      </c>
      <c r="BV35" s="0" t="n">
        <v>0.0227</v>
      </c>
      <c r="BW35" s="0" t="n">
        <v>0.0069</v>
      </c>
      <c r="BX35" s="0" t="n">
        <v>0.0672</v>
      </c>
      <c r="BY35" s="0" t="n">
        <v>0</v>
      </c>
      <c r="BZ35" s="0" t="n">
        <v>0</v>
      </c>
      <c r="CA35" s="0" t="n">
        <v>0.0159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0.0007</v>
      </c>
      <c r="CO35" s="0" t="n">
        <v>1.0327</v>
      </c>
      <c r="CP35" s="0" t="n">
        <v>2.2676</v>
      </c>
      <c r="CQ35" s="0" t="n">
        <v>7.2119</v>
      </c>
      <c r="CR35" s="0" t="n">
        <v>7.5844</v>
      </c>
      <c r="CS35" s="0" t="n">
        <v>10.8477</v>
      </c>
      <c r="CT35" s="0" t="n">
        <v>12.06</v>
      </c>
      <c r="CU35" s="0" t="n">
        <v>11.4336</v>
      </c>
      <c r="CV35" s="0" t="n">
        <v>9.8066</v>
      </c>
      <c r="CW35" s="0" t="n">
        <v>6.7955</v>
      </c>
      <c r="CX35" s="0" t="n">
        <v>14.2443</v>
      </c>
      <c r="CY35" s="0" t="n">
        <v>7.9329</v>
      </c>
      <c r="CZ35" s="0" t="n">
        <v>10.1747</v>
      </c>
      <c r="DA35" s="0" t="n">
        <v>10.3724</v>
      </c>
      <c r="DB35" s="0" t="n">
        <v>9.2481</v>
      </c>
      <c r="DC35" s="0" t="n">
        <v>12.3246</v>
      </c>
      <c r="DD35" s="0" t="n">
        <v>12.2548</v>
      </c>
      <c r="DE35" s="0" t="n">
        <v>15.7515</v>
      </c>
      <c r="DF35" s="0" t="n">
        <v>10.9231</v>
      </c>
      <c r="DG35" s="0" t="n">
        <v>15.7677</v>
      </c>
      <c r="DH35" s="0" t="n">
        <v>10.9542</v>
      </c>
      <c r="DI35" s="0" t="n">
        <v>16.9713</v>
      </c>
      <c r="DJ35" s="0" t="n">
        <v>6.1062</v>
      </c>
      <c r="DK35" s="0" t="n">
        <v>10.873</v>
      </c>
      <c r="DL35" s="0" t="n">
        <v>14.5563</v>
      </c>
      <c r="DM35" s="0" t="n">
        <v>6.0638</v>
      </c>
      <c r="DN35" s="0" t="n">
        <v>12.4559</v>
      </c>
      <c r="DO35" s="0" t="n">
        <v>5.527</v>
      </c>
      <c r="DP35" s="0" t="n">
        <v>5.5877</v>
      </c>
      <c r="DQ35" s="0" t="n">
        <v>6.0093</v>
      </c>
      <c r="DR35" s="0" t="n">
        <v>6.689</v>
      </c>
      <c r="DS35" s="0" t="n">
        <v>2.9005</v>
      </c>
      <c r="DT35" s="0" t="n">
        <v>3.1963</v>
      </c>
      <c r="DU35" s="0" t="n">
        <v>1.78</v>
      </c>
      <c r="DV35" s="0" t="n">
        <v>1.8314</v>
      </c>
      <c r="DW35" s="0" t="n">
        <v>1.3141</v>
      </c>
      <c r="DX35" s="0" t="n">
        <v>1.6205</v>
      </c>
      <c r="DY35" s="0" t="n">
        <v>1.1954</v>
      </c>
      <c r="DZ35" s="0" t="n">
        <v>0.5908</v>
      </c>
      <c r="EA35" s="0" t="n">
        <v>1.3599</v>
      </c>
      <c r="EB35" s="0" t="n">
        <v>0.2113</v>
      </c>
      <c r="EC35" s="0" t="n">
        <v>0.6622</v>
      </c>
      <c r="ED35" s="0" t="n">
        <v>0.1276</v>
      </c>
      <c r="EE35" s="0" t="n">
        <v>0.1326</v>
      </c>
      <c r="EF35" s="0" t="n">
        <v>0.1607</v>
      </c>
      <c r="EG35" s="0" t="n">
        <v>0.1789</v>
      </c>
      <c r="EH35" s="0" t="n">
        <v>0.1276</v>
      </c>
      <c r="EI35" s="0" t="n">
        <v>0.0099</v>
      </c>
      <c r="EJ35" s="0" t="n">
        <v>0.2785</v>
      </c>
      <c r="EK35" s="0" t="n">
        <v>0.0532</v>
      </c>
      <c r="EL35" s="0" t="n">
        <v>0.1859</v>
      </c>
      <c r="EM35" s="0" t="n">
        <v>0.3334</v>
      </c>
      <c r="EN35" s="0" t="n">
        <v>0.1678</v>
      </c>
      <c r="EO35" s="0" t="n">
        <v>0.14</v>
      </c>
      <c r="EP35" s="0" t="n">
        <v>0.1743</v>
      </c>
      <c r="EQ35" s="0" t="n">
        <v>0.4141</v>
      </c>
      <c r="ER35" s="0" t="n">
        <v>0.0117</v>
      </c>
      <c r="ES35" s="0" t="n">
        <v>0.0062</v>
      </c>
      <c r="ET35" s="0" t="n">
        <v>0.0117</v>
      </c>
      <c r="EU35" s="0" t="n">
        <v>0.0696</v>
      </c>
      <c r="EV35" s="0" t="n">
        <v>0.331</v>
      </c>
      <c r="EW35" s="0" t="n">
        <v>0.0062</v>
      </c>
      <c r="EX35" s="0" t="n">
        <v>0.0778</v>
      </c>
      <c r="EY35" s="0" t="n">
        <v>0.0226</v>
      </c>
      <c r="EZ35" s="0" t="n">
        <v>0.007</v>
      </c>
      <c r="FA35" s="0" t="n">
        <v>0.0691</v>
      </c>
      <c r="FB35" s="0" t="n">
        <v>0</v>
      </c>
      <c r="FC35" s="0" t="n">
        <v>0</v>
      </c>
      <c r="FD35" s="0" t="n">
        <v>0.0172</v>
      </c>
      <c r="FE35" s="0" t="n">
        <v>0</v>
      </c>
      <c r="FF35" s="0" t="n">
        <v>0</v>
      </c>
      <c r="FG35" s="0" t="n">
        <v>0</v>
      </c>
      <c r="FH35" s="0" t="n">
        <v>0</v>
      </c>
      <c r="FI35" s="0" t="n">
        <v>0</v>
      </c>
      <c r="FJ35" s="0" t="n">
        <v>0</v>
      </c>
      <c r="FK35" s="0" t="n">
        <v>0</v>
      </c>
      <c r="FL35" s="0" t="n">
        <v>0</v>
      </c>
      <c r="FM35" s="0" t="n">
        <v>0</v>
      </c>
      <c r="FN35" s="0" t="n">
        <v>0</v>
      </c>
      <c r="FO35" s="0" t="n">
        <v>0</v>
      </c>
      <c r="FP35" s="0" t="n">
        <v>0</v>
      </c>
    </row>
    <row r="36" customFormat="false" ht="13.8" hidden="false" customHeight="false" outlineLevel="0" collapsed="false">
      <c r="A36" s="2" t="s">
        <v>244</v>
      </c>
      <c r="B36" s="0" t="s">
        <v>173</v>
      </c>
      <c r="C36" s="0" t="n">
        <v>38</v>
      </c>
      <c r="D36" s="0" t="s">
        <v>245</v>
      </c>
      <c r="G36" s="0" t="n">
        <v>3359.9556</v>
      </c>
      <c r="H36" s="0" t="n">
        <v>210.6019</v>
      </c>
      <c r="I36" s="0" t="n">
        <v>661.6247</v>
      </c>
      <c r="J36" s="0" t="n">
        <v>0.597433333333333</v>
      </c>
      <c r="K36" s="0" t="n">
        <v>0</v>
      </c>
      <c r="L36" s="0" t="n">
        <v>375.6926</v>
      </c>
      <c r="M36" s="0" t="n">
        <v>331.0767</v>
      </c>
      <c r="N36" s="0" t="n">
        <v>460.309</v>
      </c>
      <c r="O36" s="0" t="n">
        <v>326.7006</v>
      </c>
      <c r="P36" s="0" t="n">
        <v>214.2466</v>
      </c>
      <c r="Q36" s="0" t="n">
        <v>123.7036</v>
      </c>
      <c r="R36" s="0" t="n">
        <v>112.7552</v>
      </c>
      <c r="S36" s="0" t="n">
        <v>64.4861</v>
      </c>
      <c r="T36" s="0" t="n">
        <v>53.771</v>
      </c>
      <c r="U36" s="0" t="n">
        <v>54.3765</v>
      </c>
      <c r="V36" s="0" t="n">
        <v>48.0619</v>
      </c>
      <c r="W36" s="0" t="n">
        <v>48.3358</v>
      </c>
      <c r="X36" s="0" t="n">
        <v>50.9012</v>
      </c>
      <c r="Y36" s="0" t="n">
        <v>42.486</v>
      </c>
      <c r="Z36" s="0" t="n">
        <v>42.0961</v>
      </c>
      <c r="AA36" s="0" t="n">
        <v>42.5826</v>
      </c>
      <c r="AB36" s="0" t="n">
        <v>40.8291</v>
      </c>
      <c r="AC36" s="0" t="n">
        <v>42.5201</v>
      </c>
      <c r="AD36" s="0" t="n">
        <v>43.8033</v>
      </c>
      <c r="AE36" s="0" t="n">
        <v>41.2102</v>
      </c>
      <c r="AF36" s="0" t="n">
        <v>47.4824</v>
      </c>
      <c r="AG36" s="0" t="n">
        <v>47.6541</v>
      </c>
      <c r="AH36" s="0" t="n">
        <v>44.4885</v>
      </c>
      <c r="AI36" s="0" t="n">
        <v>47.4167</v>
      </c>
      <c r="AJ36" s="0" t="n">
        <v>49.3391</v>
      </c>
      <c r="AK36" s="0" t="n">
        <v>55.1928</v>
      </c>
      <c r="AL36" s="0" t="n">
        <v>52.7572</v>
      </c>
      <c r="AM36" s="0" t="n">
        <v>53.0038</v>
      </c>
      <c r="AN36" s="0" t="n">
        <v>50.0967</v>
      </c>
      <c r="AO36" s="0" t="n">
        <v>52.9926</v>
      </c>
      <c r="AP36" s="0" t="n">
        <v>50.9201</v>
      </c>
      <c r="AQ36" s="0" t="n">
        <v>46.8432</v>
      </c>
      <c r="AR36" s="0" t="n">
        <v>41.0473</v>
      </c>
      <c r="AS36" s="0" t="n">
        <v>29.6433</v>
      </c>
      <c r="AT36" s="0" t="n">
        <v>25.2345</v>
      </c>
      <c r="AU36" s="0" t="n">
        <v>21.02</v>
      </c>
      <c r="AV36" s="0" t="n">
        <v>16.2797</v>
      </c>
      <c r="AW36" s="0" t="n">
        <v>10.8324</v>
      </c>
      <c r="AX36" s="0" t="n">
        <v>12.6313</v>
      </c>
      <c r="AY36" s="0" t="n">
        <v>10.6767</v>
      </c>
      <c r="AZ36" s="0" t="n">
        <v>8.4404</v>
      </c>
      <c r="BA36" s="0" t="n">
        <v>5.1876</v>
      </c>
      <c r="BB36" s="0" t="n">
        <v>2.8593</v>
      </c>
      <c r="BC36" s="0" t="n">
        <v>2.4273</v>
      </c>
      <c r="BD36" s="0" t="n">
        <v>2.1197</v>
      </c>
      <c r="BE36" s="0" t="n">
        <v>1.6669</v>
      </c>
      <c r="BF36" s="0" t="n">
        <v>2.2339</v>
      </c>
      <c r="BG36" s="0" t="n">
        <v>1.7472</v>
      </c>
      <c r="BH36" s="0" t="n">
        <v>0.859</v>
      </c>
      <c r="BI36" s="0" t="n">
        <v>1.4206</v>
      </c>
      <c r="BJ36" s="0" t="n">
        <v>0.671</v>
      </c>
      <c r="BK36" s="0" t="n">
        <v>0.5479</v>
      </c>
      <c r="BL36" s="0" t="n">
        <v>0.4069</v>
      </c>
      <c r="BM36" s="0" t="n">
        <v>0.1193</v>
      </c>
      <c r="BN36" s="0" t="n">
        <v>0.0956</v>
      </c>
      <c r="BO36" s="0" t="n">
        <v>0.3028</v>
      </c>
      <c r="BP36" s="0" t="n">
        <v>0.1293</v>
      </c>
      <c r="BQ36" s="0" t="n">
        <v>0.3083</v>
      </c>
      <c r="BR36" s="0" t="n">
        <v>0.0897</v>
      </c>
      <c r="BS36" s="0" t="n">
        <v>0.0069</v>
      </c>
      <c r="BT36" s="0" t="n">
        <v>0.0581</v>
      </c>
      <c r="BU36" s="0" t="n">
        <v>0.1563</v>
      </c>
      <c r="BV36" s="0" t="n">
        <v>0.0137</v>
      </c>
      <c r="BW36" s="0" t="n">
        <v>0.0544</v>
      </c>
      <c r="BX36" s="0" t="n">
        <v>0.4363</v>
      </c>
      <c r="BY36" s="0" t="n">
        <v>0.1952</v>
      </c>
      <c r="BZ36" s="0" t="n">
        <v>0</v>
      </c>
      <c r="CA36" s="0" t="n">
        <v>0.1405</v>
      </c>
      <c r="CB36" s="0" t="n">
        <v>0</v>
      </c>
      <c r="CC36" s="0" t="n">
        <v>0.132</v>
      </c>
      <c r="CD36" s="0" t="n">
        <v>0.0401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9.8728</v>
      </c>
      <c r="CP36" s="0" t="n">
        <v>12.8685</v>
      </c>
      <c r="CQ36" s="0" t="n">
        <v>25.2477</v>
      </c>
      <c r="CR36" s="0" t="n">
        <v>22.736</v>
      </c>
      <c r="CS36" s="0" t="n">
        <v>18.3713</v>
      </c>
      <c r="CT36" s="0" t="n">
        <v>12.5849</v>
      </c>
      <c r="CU36" s="0" t="n">
        <v>13.27</v>
      </c>
      <c r="CV36" s="0" t="n">
        <v>8.5994</v>
      </c>
      <c r="CW36" s="0" t="n">
        <v>8.0069</v>
      </c>
      <c r="CX36" s="0" t="n">
        <v>8.9461</v>
      </c>
      <c r="CY36" s="0" t="n">
        <v>8.6984</v>
      </c>
      <c r="CZ36" s="0" t="n">
        <v>9.4708</v>
      </c>
      <c r="DA36" s="0" t="n">
        <v>10.7848</v>
      </c>
      <c r="DB36" s="0" t="n">
        <v>9.6636</v>
      </c>
      <c r="DC36" s="0" t="n">
        <v>10.2705</v>
      </c>
      <c r="DD36" s="0" t="n">
        <v>11.0246</v>
      </c>
      <c r="DE36" s="0" t="n">
        <v>11.1924</v>
      </c>
      <c r="DF36" s="0" t="n">
        <v>12.3751</v>
      </c>
      <c r="DG36" s="0" t="n">
        <v>13.4193</v>
      </c>
      <c r="DH36" s="0" t="n">
        <v>13.2671</v>
      </c>
      <c r="DI36" s="0" t="n">
        <v>16.0575</v>
      </c>
      <c r="DJ36" s="0" t="n">
        <v>16.8207</v>
      </c>
      <c r="DK36" s="0" t="n">
        <v>16.4412</v>
      </c>
      <c r="DL36" s="0" t="n">
        <v>18.2736</v>
      </c>
      <c r="DM36" s="0" t="n">
        <v>19.7283</v>
      </c>
      <c r="DN36" s="0" t="n">
        <v>22.9635</v>
      </c>
      <c r="DO36" s="0" t="n">
        <v>22.83</v>
      </c>
      <c r="DP36" s="0" t="n">
        <v>23.7107</v>
      </c>
      <c r="DQ36" s="0" t="n">
        <v>23.1932</v>
      </c>
      <c r="DR36" s="0" t="n">
        <v>25.3797</v>
      </c>
      <c r="DS36" s="0" t="n">
        <v>25.2175</v>
      </c>
      <c r="DT36" s="0" t="n">
        <v>23.9188</v>
      </c>
      <c r="DU36" s="0" t="n">
        <v>21.5941</v>
      </c>
      <c r="DV36" s="0" t="n">
        <v>16.0534</v>
      </c>
      <c r="DW36" s="0" t="n">
        <v>14.0688</v>
      </c>
      <c r="DX36" s="0" t="n">
        <v>12.0576</v>
      </c>
      <c r="DY36" s="0" t="n">
        <v>9.5798</v>
      </c>
      <c r="DZ36" s="0" t="n">
        <v>6.5459</v>
      </c>
      <c r="EA36" s="0" t="n">
        <v>7.835</v>
      </c>
      <c r="EB36" s="0" t="n">
        <v>6.7941</v>
      </c>
      <c r="EC36" s="0" t="n">
        <v>5.5004</v>
      </c>
      <c r="ED36" s="0" t="n">
        <v>3.458</v>
      </c>
      <c r="EE36" s="0" t="n">
        <v>1.9542</v>
      </c>
      <c r="EF36" s="0" t="n">
        <v>1.6972</v>
      </c>
      <c r="EG36" s="0" t="n">
        <v>1.5136</v>
      </c>
      <c r="EH36" s="0" t="n">
        <v>1.2166</v>
      </c>
      <c r="EI36" s="0" t="n">
        <v>1.6628</v>
      </c>
      <c r="EJ36" s="0" t="n">
        <v>1.3322</v>
      </c>
      <c r="EK36" s="0" t="n">
        <v>0.6699</v>
      </c>
      <c r="EL36" s="0" t="n">
        <v>1.1245</v>
      </c>
      <c r="EM36" s="0" t="n">
        <v>0.5411</v>
      </c>
      <c r="EN36" s="0" t="n">
        <v>0.5087</v>
      </c>
      <c r="EO36" s="0" t="n">
        <v>0.3401</v>
      </c>
      <c r="EP36" s="0" t="n">
        <v>0.1031</v>
      </c>
      <c r="EQ36" s="0" t="n">
        <v>0.0832</v>
      </c>
      <c r="ER36" s="0" t="n">
        <v>0.2682</v>
      </c>
      <c r="ES36" s="0" t="n">
        <v>0.1165</v>
      </c>
      <c r="ET36" s="0" t="n">
        <v>0.2837</v>
      </c>
      <c r="EU36" s="0" t="n">
        <v>0.0838</v>
      </c>
      <c r="EV36" s="0" t="n">
        <v>0.0065</v>
      </c>
      <c r="EW36" s="0" t="n">
        <v>0.0559</v>
      </c>
      <c r="EX36" s="0" t="n">
        <v>0.1542</v>
      </c>
      <c r="EY36" s="0" t="n">
        <v>0.0137</v>
      </c>
      <c r="EZ36" s="0" t="n">
        <v>0.0553</v>
      </c>
      <c r="FA36" s="0" t="n">
        <v>0.4503</v>
      </c>
      <c r="FB36" s="0" t="n">
        <v>0.2038</v>
      </c>
      <c r="FC36" s="0" t="n">
        <v>0</v>
      </c>
      <c r="FD36" s="0" t="n">
        <v>0.1512</v>
      </c>
      <c r="FE36" s="0" t="n">
        <v>0</v>
      </c>
      <c r="FF36" s="0" t="n">
        <v>0.1463</v>
      </c>
      <c r="FG36" s="0" t="n">
        <v>0.0449</v>
      </c>
      <c r="FH36" s="0" t="n">
        <v>0</v>
      </c>
      <c r="FI36" s="0" t="n">
        <v>0</v>
      </c>
      <c r="FJ36" s="0" t="n">
        <v>0</v>
      </c>
      <c r="FK36" s="0" t="n">
        <v>0</v>
      </c>
      <c r="FL36" s="0" t="n">
        <v>0</v>
      </c>
      <c r="FM36" s="0" t="n">
        <v>0</v>
      </c>
      <c r="FN36" s="0" t="n">
        <v>0</v>
      </c>
      <c r="FO36" s="0" t="n">
        <v>0</v>
      </c>
      <c r="FP36" s="0" t="n">
        <v>0</v>
      </c>
    </row>
    <row r="37" customFormat="false" ht="13.8" hidden="false" customHeight="false" outlineLevel="0" collapsed="false">
      <c r="A37" s="2" t="s">
        <v>246</v>
      </c>
      <c r="B37" s="0" t="s">
        <v>176</v>
      </c>
      <c r="C37" s="0" t="n">
        <v>248</v>
      </c>
      <c r="D37" s="0" t="s">
        <v>247</v>
      </c>
      <c r="E37" s="0" t="e">
        <f aca="false">VLOOKUP(A37,[1]RHIZOMES!$A$1:$B$1048576,2,0)</f>
        <v>#N/A</v>
      </c>
      <c r="F37" s="0" t="n">
        <v>4.233</v>
      </c>
      <c r="G37" s="0" t="n">
        <v>1466.8714</v>
      </c>
      <c r="H37" s="0" t="n">
        <v>203.7666</v>
      </c>
      <c r="I37" s="0" t="n">
        <v>640.1517</v>
      </c>
      <c r="J37" s="0" t="n">
        <v>1.14275</v>
      </c>
      <c r="K37" s="0" t="n">
        <v>0</v>
      </c>
      <c r="L37" s="0" t="n">
        <v>4.807</v>
      </c>
      <c r="M37" s="0" t="n">
        <v>6.9371</v>
      </c>
      <c r="N37" s="0" t="n">
        <v>47.6697</v>
      </c>
      <c r="O37" s="0" t="n">
        <v>86.2543</v>
      </c>
      <c r="P37" s="0" t="n">
        <v>74.8006</v>
      </c>
      <c r="Q37" s="0" t="n">
        <v>118.2415</v>
      </c>
      <c r="R37" s="0" t="n">
        <v>47.9831</v>
      </c>
      <c r="S37" s="0" t="n">
        <v>38.6231</v>
      </c>
      <c r="T37" s="0" t="n">
        <v>36.9482</v>
      </c>
      <c r="U37" s="0" t="n">
        <v>46.4816</v>
      </c>
      <c r="V37" s="0" t="n">
        <v>18.8205</v>
      </c>
      <c r="W37" s="0" t="n">
        <v>32.0878</v>
      </c>
      <c r="X37" s="0" t="n">
        <v>22.9815</v>
      </c>
      <c r="Y37" s="0" t="n">
        <v>14.3995</v>
      </c>
      <c r="Z37" s="0" t="n">
        <v>21.0333</v>
      </c>
      <c r="AA37" s="0" t="n">
        <v>22.6454</v>
      </c>
      <c r="AB37" s="0" t="n">
        <v>22.9675</v>
      </c>
      <c r="AC37" s="0" t="n">
        <v>17.9222</v>
      </c>
      <c r="AD37" s="0" t="n">
        <v>21.9634</v>
      </c>
      <c r="AE37" s="0" t="n">
        <v>13.8704</v>
      </c>
      <c r="AF37" s="0" t="n">
        <v>21.3441</v>
      </c>
      <c r="AG37" s="0" t="n">
        <v>8.6261</v>
      </c>
      <c r="AH37" s="0" t="n">
        <v>16.2552</v>
      </c>
      <c r="AI37" s="0" t="n">
        <v>21.5514</v>
      </c>
      <c r="AJ37" s="0" t="n">
        <v>14.8276</v>
      </c>
      <c r="AK37" s="0" t="n">
        <v>24.5562</v>
      </c>
      <c r="AL37" s="0" t="n">
        <v>14.2286</v>
      </c>
      <c r="AM37" s="0" t="n">
        <v>16.6702</v>
      </c>
      <c r="AN37" s="0" t="n">
        <v>23.7006</v>
      </c>
      <c r="AO37" s="0" t="n">
        <v>30.0028</v>
      </c>
      <c r="AP37" s="0" t="n">
        <v>26.4995</v>
      </c>
      <c r="AQ37" s="0" t="n">
        <v>33.257</v>
      </c>
      <c r="AR37" s="0" t="n">
        <v>31.4067</v>
      </c>
      <c r="AS37" s="0" t="n">
        <v>30.3536</v>
      </c>
      <c r="AT37" s="0" t="n">
        <v>37.4053</v>
      </c>
      <c r="AU37" s="0" t="n">
        <v>34.469</v>
      </c>
      <c r="AV37" s="0" t="n">
        <v>21.339</v>
      </c>
      <c r="AW37" s="0" t="n">
        <v>26.601</v>
      </c>
      <c r="AX37" s="0" t="n">
        <v>31.4033</v>
      </c>
      <c r="AY37" s="0" t="n">
        <v>19.918</v>
      </c>
      <c r="AZ37" s="0" t="n">
        <v>26.2367</v>
      </c>
      <c r="BA37" s="0" t="n">
        <v>13.3647</v>
      </c>
      <c r="BB37" s="0" t="n">
        <v>27.8889</v>
      </c>
      <c r="BC37" s="0" t="n">
        <v>21.3445</v>
      </c>
      <c r="BD37" s="0" t="n">
        <v>12.132</v>
      </c>
      <c r="BE37" s="0" t="n">
        <v>16.471</v>
      </c>
      <c r="BF37" s="0" t="n">
        <v>12.2634</v>
      </c>
      <c r="BG37" s="0" t="n">
        <v>11.3152</v>
      </c>
      <c r="BH37" s="0" t="n">
        <v>9.5692</v>
      </c>
      <c r="BI37" s="0" t="n">
        <v>6.6259</v>
      </c>
      <c r="BJ37" s="0" t="n">
        <v>8.8696</v>
      </c>
      <c r="BK37" s="0" t="n">
        <v>6.978</v>
      </c>
      <c r="BL37" s="0" t="n">
        <v>5.2199</v>
      </c>
      <c r="BM37" s="0" t="n">
        <v>5.4915</v>
      </c>
      <c r="BN37" s="0" t="n">
        <v>3.6898</v>
      </c>
      <c r="BO37" s="0" t="n">
        <v>2.9465</v>
      </c>
      <c r="BP37" s="0" t="n">
        <v>4.4545</v>
      </c>
      <c r="BQ37" s="0" t="n">
        <v>4.0805</v>
      </c>
      <c r="BR37" s="0" t="n">
        <v>4.0998</v>
      </c>
      <c r="BS37" s="0" t="n">
        <v>2.8415</v>
      </c>
      <c r="BT37" s="0" t="n">
        <v>4.2615</v>
      </c>
      <c r="BU37" s="0" t="n">
        <v>3.6671</v>
      </c>
      <c r="BV37" s="0" t="n">
        <v>3.3507</v>
      </c>
      <c r="BW37" s="0" t="n">
        <v>2.4771</v>
      </c>
      <c r="BX37" s="0" t="n">
        <v>1.1249</v>
      </c>
      <c r="BY37" s="0" t="n">
        <v>2.7383</v>
      </c>
      <c r="BZ37" s="0" t="n">
        <v>2.8058</v>
      </c>
      <c r="CA37" s="0" t="n">
        <v>3.1651</v>
      </c>
      <c r="CB37" s="0" t="n">
        <v>1.7538</v>
      </c>
      <c r="CC37" s="0" t="n">
        <v>2.0928</v>
      </c>
      <c r="CD37" s="0" t="n">
        <v>1.2135</v>
      </c>
      <c r="CE37" s="0" t="n">
        <v>2.5439</v>
      </c>
      <c r="CF37" s="0" t="n">
        <v>1.2355</v>
      </c>
      <c r="CG37" s="0" t="n">
        <v>1.6841</v>
      </c>
      <c r="CH37" s="0" t="n">
        <v>1.1698</v>
      </c>
      <c r="CI37" s="0" t="n">
        <v>0.7493</v>
      </c>
      <c r="CJ37" s="0" t="n">
        <v>0.8706</v>
      </c>
      <c r="CK37" s="0" t="n">
        <v>0.374</v>
      </c>
      <c r="CL37" s="0" t="n">
        <v>0.4495</v>
      </c>
      <c r="CM37" s="0" t="n">
        <v>21.165</v>
      </c>
      <c r="CN37" s="0" t="n">
        <v>0</v>
      </c>
      <c r="CO37" s="0" t="n">
        <v>0.1316</v>
      </c>
      <c r="CP37" s="0" t="n">
        <v>0.2755</v>
      </c>
      <c r="CQ37" s="0" t="n">
        <v>2.7191</v>
      </c>
      <c r="CR37" s="0" t="n">
        <v>6.1147</v>
      </c>
      <c r="CS37" s="0" t="n">
        <v>6.2452</v>
      </c>
      <c r="CT37" s="0" t="n">
        <v>11.9294</v>
      </c>
      <c r="CU37" s="0" t="n">
        <v>5.7071</v>
      </c>
      <c r="CV37" s="0" t="n">
        <v>5.1548</v>
      </c>
      <c r="CW37" s="0" t="n">
        <v>5.4304</v>
      </c>
      <c r="CX37" s="0" t="n">
        <v>7.6873</v>
      </c>
      <c r="CY37" s="0" t="n">
        <v>3.4126</v>
      </c>
      <c r="CZ37" s="0" t="n">
        <v>6.2846</v>
      </c>
      <c r="DA37" s="0" t="n">
        <v>4.9773</v>
      </c>
      <c r="DB37" s="0" t="n">
        <v>3.2655</v>
      </c>
      <c r="DC37" s="0" t="n">
        <v>5.0982</v>
      </c>
      <c r="DD37" s="0" t="n">
        <v>5.8649</v>
      </c>
      <c r="DE37" s="0" t="n">
        <v>6.3477</v>
      </c>
      <c r="DF37" s="0" t="n">
        <v>5.2185</v>
      </c>
      <c r="DG37" s="0" t="n">
        <v>6.7266</v>
      </c>
      <c r="DH37" s="0" t="n">
        <v>4.4441</v>
      </c>
      <c r="DI37" s="0" t="n">
        <v>7.2453</v>
      </c>
      <c r="DJ37" s="0" t="n">
        <v>3.0758</v>
      </c>
      <c r="DK37" s="0" t="n">
        <v>5.9614</v>
      </c>
      <c r="DL37" s="0" t="n">
        <v>8.3142</v>
      </c>
      <c r="DM37" s="0" t="n">
        <v>5.9372</v>
      </c>
      <c r="DN37" s="0" t="n">
        <v>10.2436</v>
      </c>
      <c r="DO37" s="0" t="n">
        <v>6.1634</v>
      </c>
      <c r="DP37" s="0" t="n">
        <v>7.4358</v>
      </c>
      <c r="DQ37" s="0" t="n">
        <v>10.9916</v>
      </c>
      <c r="DR37" s="0" t="n">
        <v>14.4472</v>
      </c>
      <c r="DS37" s="0" t="n">
        <v>13.0822</v>
      </c>
      <c r="DT37" s="0" t="n">
        <v>16.9478</v>
      </c>
      <c r="DU37" s="0" t="n">
        <v>16.5476</v>
      </c>
      <c r="DV37" s="0" t="n">
        <v>16.4071</v>
      </c>
      <c r="DW37" s="0" t="n">
        <v>20.7743</v>
      </c>
      <c r="DX37" s="0" t="n">
        <v>19.8048</v>
      </c>
      <c r="DY37" s="0" t="n">
        <v>12.6177</v>
      </c>
      <c r="DZ37" s="0" t="n">
        <v>16.0171</v>
      </c>
      <c r="EA37" s="0" t="n">
        <v>19.49</v>
      </c>
      <c r="EB37" s="0" t="n">
        <v>12.7061</v>
      </c>
      <c r="EC37" s="0" t="n">
        <v>17.1542</v>
      </c>
      <c r="ED37" s="0" t="n">
        <v>8.8803</v>
      </c>
      <c r="EE37" s="0" t="n">
        <v>18.9991</v>
      </c>
      <c r="EF37" s="0" t="n">
        <v>14.9604</v>
      </c>
      <c r="EG37" s="0" t="n">
        <v>8.6949</v>
      </c>
      <c r="EH37" s="0" t="n">
        <v>12.0269</v>
      </c>
      <c r="EI37" s="0" t="n">
        <v>9.1331</v>
      </c>
      <c r="EJ37" s="0" t="n">
        <v>8.6092</v>
      </c>
      <c r="EK37" s="0" t="n">
        <v>7.4385</v>
      </c>
      <c r="EL37" s="0" t="n">
        <v>5.2466</v>
      </c>
      <c r="EM37" s="0" t="n">
        <v>7.1668</v>
      </c>
      <c r="EN37" s="0" t="n">
        <v>5.7682</v>
      </c>
      <c r="EO37" s="0" t="n">
        <v>4.3933</v>
      </c>
      <c r="EP37" s="0" t="n">
        <v>4.693</v>
      </c>
      <c r="EQ37" s="0" t="n">
        <v>3.2196</v>
      </c>
      <c r="ER37" s="0" t="n">
        <v>2.6163</v>
      </c>
      <c r="ES37" s="0" t="n">
        <v>4.0154</v>
      </c>
      <c r="ET37" s="0" t="n">
        <v>3.7546</v>
      </c>
      <c r="EU37" s="0" t="n">
        <v>3.8263</v>
      </c>
      <c r="EV37" s="0" t="n">
        <v>2.702</v>
      </c>
      <c r="EW37" s="0" t="n">
        <v>4.1196</v>
      </c>
      <c r="EX37" s="0" t="n">
        <v>3.6009</v>
      </c>
      <c r="EY37" s="0" t="n">
        <v>3.3446</v>
      </c>
      <c r="EZ37" s="0" t="n">
        <v>2.514</v>
      </c>
      <c r="FA37" s="0" t="n">
        <v>1.1552</v>
      </c>
      <c r="FB37" s="0" t="n">
        <v>2.8581</v>
      </c>
      <c r="FC37" s="0" t="n">
        <v>2.979</v>
      </c>
      <c r="FD37" s="0" t="n">
        <v>3.4053</v>
      </c>
      <c r="FE37" s="0" t="n">
        <v>1.9125</v>
      </c>
      <c r="FF37" s="0" t="n">
        <v>2.3177</v>
      </c>
      <c r="FG37" s="0" t="n">
        <v>1.3635</v>
      </c>
      <c r="FH37" s="0" t="n">
        <v>2.9045</v>
      </c>
      <c r="FI37" s="0" t="n">
        <v>1.4252</v>
      </c>
      <c r="FJ37" s="0" t="n">
        <v>1.9716</v>
      </c>
      <c r="FK37" s="0" t="n">
        <v>1.3862</v>
      </c>
      <c r="FL37" s="0" t="n">
        <v>0.9013</v>
      </c>
      <c r="FM37" s="0" t="n">
        <v>1.0595</v>
      </c>
      <c r="FN37" s="0" t="n">
        <v>0.4602</v>
      </c>
      <c r="FO37" s="0" t="n">
        <v>0.561</v>
      </c>
      <c r="FP37" s="0" t="n">
        <v>31.3752</v>
      </c>
    </row>
    <row r="38" customFormat="false" ht="13.8" hidden="false" customHeight="false" outlineLevel="0" collapsed="false">
      <c r="A38" s="2" t="s">
        <v>248</v>
      </c>
      <c r="B38" s="0" t="s">
        <v>173</v>
      </c>
      <c r="C38" s="0" t="n">
        <v>142</v>
      </c>
      <c r="D38" s="0" t="s">
        <v>249</v>
      </c>
      <c r="F38" s="0" t="e">
        <f aca="false">VLOOKUP(A38,[1]ROOT!$A$1:$C$1048576,3,0)</f>
        <v>#N/A</v>
      </c>
      <c r="G38" s="0" t="n">
        <v>4824.3176</v>
      </c>
      <c r="H38" s="0" t="n">
        <v>189.9723</v>
      </c>
      <c r="I38" s="0" t="n">
        <v>596.8153</v>
      </c>
      <c r="J38" s="0" t="n">
        <v>0.390233333333333</v>
      </c>
      <c r="K38" s="0" t="n">
        <v>0</v>
      </c>
      <c r="L38" s="0" t="n">
        <v>806.0534</v>
      </c>
      <c r="M38" s="0" t="n">
        <v>1225.9637</v>
      </c>
      <c r="N38" s="0" t="n">
        <v>783.6282</v>
      </c>
      <c r="O38" s="0" t="n">
        <v>1.1831</v>
      </c>
      <c r="P38" s="0" t="n">
        <v>540.2335</v>
      </c>
      <c r="Q38" s="0" t="n">
        <v>168.2225</v>
      </c>
      <c r="R38" s="0" t="n">
        <v>200.7598</v>
      </c>
      <c r="S38" s="0" t="n">
        <v>101.2775</v>
      </c>
      <c r="T38" s="0" t="n">
        <v>18.7203</v>
      </c>
      <c r="U38" s="0" t="n">
        <v>98.7904</v>
      </c>
      <c r="V38" s="0" t="n">
        <v>81.2983</v>
      </c>
      <c r="W38" s="0" t="n">
        <v>41.8691</v>
      </c>
      <c r="X38" s="0" t="n">
        <v>67.684</v>
      </c>
      <c r="Y38" s="0" t="n">
        <v>53.6824</v>
      </c>
      <c r="Z38" s="0" t="n">
        <v>54.8672</v>
      </c>
      <c r="AA38" s="0" t="n">
        <v>26.024</v>
      </c>
      <c r="AB38" s="0" t="n">
        <v>44.3258</v>
      </c>
      <c r="AC38" s="0" t="n">
        <v>17.1592</v>
      </c>
      <c r="AD38" s="0" t="n">
        <v>37.9906</v>
      </c>
      <c r="AE38" s="0" t="n">
        <v>25.5391</v>
      </c>
      <c r="AF38" s="0" t="n">
        <v>40.7732</v>
      </c>
      <c r="AG38" s="0" t="n">
        <v>23.1353</v>
      </c>
      <c r="AH38" s="0" t="n">
        <v>27.9086</v>
      </c>
      <c r="AI38" s="0" t="n">
        <v>30.9226</v>
      </c>
      <c r="AJ38" s="0" t="n">
        <v>10.9981</v>
      </c>
      <c r="AK38" s="0" t="n">
        <v>43.1592</v>
      </c>
      <c r="AL38" s="0" t="n">
        <v>29.7467</v>
      </c>
      <c r="AM38" s="0" t="n">
        <v>14.9609</v>
      </c>
      <c r="AN38" s="0" t="n">
        <v>8.4606</v>
      </c>
      <c r="AO38" s="0" t="n">
        <v>23.6156</v>
      </c>
      <c r="AP38" s="0" t="n">
        <v>24.8282</v>
      </c>
      <c r="AQ38" s="0" t="n">
        <v>23.2344</v>
      </c>
      <c r="AR38" s="0" t="n">
        <v>12.7606</v>
      </c>
      <c r="AS38" s="0" t="n">
        <v>15.8954</v>
      </c>
      <c r="AT38" s="0" t="n">
        <v>18.0753</v>
      </c>
      <c r="AU38" s="0" t="n">
        <v>16.5183</v>
      </c>
      <c r="AV38" s="0" t="n">
        <v>1.3757</v>
      </c>
      <c r="AW38" s="0" t="n">
        <v>12.4766</v>
      </c>
      <c r="AX38" s="0" t="n">
        <v>11.8892</v>
      </c>
      <c r="AY38" s="0" t="n">
        <v>8.0408</v>
      </c>
      <c r="AZ38" s="0" t="n">
        <v>5.3237</v>
      </c>
      <c r="BA38" s="0" t="n">
        <v>4.8059</v>
      </c>
      <c r="BB38" s="0" t="n">
        <v>5.0505</v>
      </c>
      <c r="BC38" s="0" t="n">
        <v>3.0667</v>
      </c>
      <c r="BD38" s="0" t="n">
        <v>1.2325</v>
      </c>
      <c r="BE38" s="0" t="n">
        <v>1.672</v>
      </c>
      <c r="BF38" s="0" t="n">
        <v>0.3889</v>
      </c>
      <c r="BG38" s="0" t="n">
        <v>1.2184</v>
      </c>
      <c r="BH38" s="0" t="n">
        <v>0.9107</v>
      </c>
      <c r="BI38" s="0" t="n">
        <v>0.1476</v>
      </c>
      <c r="BJ38" s="0" t="n">
        <v>0.8964</v>
      </c>
      <c r="BK38" s="0" t="n">
        <v>0.4869</v>
      </c>
      <c r="BL38" s="0" t="n">
        <v>0.6618</v>
      </c>
      <c r="BM38" s="0" t="n">
        <v>0.0761</v>
      </c>
      <c r="BN38" s="0" t="n">
        <v>0.5528</v>
      </c>
      <c r="BO38" s="0" t="n">
        <v>0.0529</v>
      </c>
      <c r="BP38" s="0" t="n">
        <v>0.3474</v>
      </c>
      <c r="BQ38" s="0" t="n">
        <v>0.0127</v>
      </c>
      <c r="BR38" s="0" t="n">
        <v>0.1212</v>
      </c>
      <c r="BS38" s="0" t="n">
        <v>0.0069</v>
      </c>
      <c r="BT38" s="0" t="n">
        <v>0.1412</v>
      </c>
      <c r="BU38" s="0" t="n">
        <v>0.0989</v>
      </c>
      <c r="BV38" s="0" t="n">
        <v>0.0603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17.4363</v>
      </c>
      <c r="CP38" s="0" t="n">
        <v>52.208</v>
      </c>
      <c r="CQ38" s="0" t="n">
        <v>47.7976</v>
      </c>
      <c r="CR38" s="0" t="n">
        <v>0.0818</v>
      </c>
      <c r="CS38" s="0" t="n">
        <v>44.8439</v>
      </c>
      <c r="CT38" s="0" t="n">
        <v>17.0732</v>
      </c>
      <c r="CU38" s="0" t="n">
        <v>23.5003</v>
      </c>
      <c r="CV38" s="0" t="n">
        <v>14.066</v>
      </c>
      <c r="CW38" s="0" t="n">
        <v>2.7066</v>
      </c>
      <c r="CX38" s="0" t="n">
        <v>16.0274</v>
      </c>
      <c r="CY38" s="0" t="n">
        <v>14.8467</v>
      </c>
      <c r="CZ38" s="0" t="n">
        <v>8.321</v>
      </c>
      <c r="DA38" s="0" t="n">
        <v>14.2783</v>
      </c>
      <c r="DB38" s="0" t="n">
        <v>12.2036</v>
      </c>
      <c r="DC38" s="0" t="n">
        <v>13.4317</v>
      </c>
      <c r="DD38" s="0" t="n">
        <v>6.6803</v>
      </c>
      <c r="DE38" s="0" t="n">
        <v>12.0768</v>
      </c>
      <c r="DF38" s="0" t="n">
        <v>4.9619</v>
      </c>
      <c r="DG38" s="0" t="n">
        <v>11.5713</v>
      </c>
      <c r="DH38" s="0" t="n">
        <v>8.1971</v>
      </c>
      <c r="DI38" s="0" t="n">
        <v>13.8089</v>
      </c>
      <c r="DJ38" s="0" t="n">
        <v>8.2205</v>
      </c>
      <c r="DK38" s="0" t="n">
        <v>10.3269</v>
      </c>
      <c r="DL38" s="0" t="n">
        <v>12.0241</v>
      </c>
      <c r="DM38" s="0" t="n">
        <v>4.3853</v>
      </c>
      <c r="DN38" s="0" t="n">
        <v>17.9277</v>
      </c>
      <c r="DO38" s="0" t="n">
        <v>12.9572</v>
      </c>
      <c r="DP38" s="0" t="n">
        <v>6.7943</v>
      </c>
      <c r="DQ38" s="0" t="n">
        <v>3.8882</v>
      </c>
      <c r="DR38" s="0" t="n">
        <v>11.2719</v>
      </c>
      <c r="DS38" s="0" t="n">
        <v>12.3321</v>
      </c>
      <c r="DT38" s="0" t="n">
        <v>11.9469</v>
      </c>
      <c r="DU38" s="0" t="n">
        <v>6.7089</v>
      </c>
      <c r="DV38" s="0" t="n">
        <v>8.5405</v>
      </c>
      <c r="DW38" s="0" t="n">
        <v>10.0604</v>
      </c>
      <c r="DX38" s="0" t="n">
        <v>9.5367</v>
      </c>
      <c r="DY38" s="0" t="n">
        <v>0.8151</v>
      </c>
      <c r="DZ38" s="0" t="n">
        <v>7.4703</v>
      </c>
      <c r="EA38" s="0" t="n">
        <v>7.3696</v>
      </c>
      <c r="EB38" s="0" t="n">
        <v>5.1414</v>
      </c>
      <c r="EC38" s="0" t="n">
        <v>3.4712</v>
      </c>
      <c r="ED38" s="0" t="n">
        <v>3.1846</v>
      </c>
      <c r="EE38" s="0" t="n">
        <v>3.4389</v>
      </c>
      <c r="EF38" s="0" t="n">
        <v>2.1508</v>
      </c>
      <c r="EG38" s="0" t="n">
        <v>0.8832</v>
      </c>
      <c r="EH38" s="0" t="n">
        <v>1.2199</v>
      </c>
      <c r="EI38" s="0" t="n">
        <v>0.2892</v>
      </c>
      <c r="EJ38" s="0" t="n">
        <v>0.9365</v>
      </c>
      <c r="EK38" s="0" t="n">
        <v>0.713</v>
      </c>
      <c r="EL38" s="0" t="n">
        <v>0.1177</v>
      </c>
      <c r="EM38" s="0" t="n">
        <v>0.7225</v>
      </c>
      <c r="EN38" s="0" t="n">
        <v>0.4011</v>
      </c>
      <c r="EO38" s="0" t="n">
        <v>0.5585</v>
      </c>
      <c r="EP38" s="0" t="n">
        <v>0.0649</v>
      </c>
      <c r="EQ38" s="0" t="n">
        <v>0.4799</v>
      </c>
      <c r="ER38" s="0" t="n">
        <v>0.0469</v>
      </c>
      <c r="ES38" s="0" t="n">
        <v>0.3157</v>
      </c>
      <c r="ET38" s="0" t="n">
        <v>0.0117</v>
      </c>
      <c r="EU38" s="0" t="n">
        <v>0.1126</v>
      </c>
      <c r="EV38" s="0" t="n">
        <v>0.0065</v>
      </c>
      <c r="EW38" s="0" t="n">
        <v>0.1366</v>
      </c>
      <c r="EX38" s="0" t="n">
        <v>0.0967</v>
      </c>
      <c r="EY38" s="0" t="n">
        <v>0.0597</v>
      </c>
      <c r="EZ38" s="0" t="n">
        <v>0</v>
      </c>
      <c r="FA38" s="0" t="n">
        <v>0</v>
      </c>
      <c r="FB38" s="0" t="n">
        <v>0</v>
      </c>
      <c r="FC38" s="0" t="n">
        <v>0</v>
      </c>
      <c r="FD38" s="0" t="n">
        <v>0</v>
      </c>
      <c r="FE38" s="0" t="n">
        <v>0</v>
      </c>
      <c r="FF38" s="0" t="n">
        <v>0</v>
      </c>
      <c r="FG38" s="0" t="n">
        <v>0</v>
      </c>
      <c r="FH38" s="0" t="n">
        <v>0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0</v>
      </c>
      <c r="FP38" s="0" t="n">
        <v>0</v>
      </c>
    </row>
    <row r="39" customFormat="false" ht="13.8" hidden="false" customHeight="false" outlineLevel="0" collapsed="false">
      <c r="A39" s="2" t="s">
        <v>250</v>
      </c>
      <c r="B39" s="0" t="s">
        <v>176</v>
      </c>
      <c r="C39" s="0" t="n">
        <v>301</v>
      </c>
      <c r="D39" s="0" t="s">
        <v>251</v>
      </c>
      <c r="F39" s="0" t="e">
        <f aca="false">VLOOKUP(A39,[1]ROOT!$A$1:$C$1048576,3,0)</f>
        <v>#N/A</v>
      </c>
      <c r="G39" s="0" t="n">
        <v>3601.8852</v>
      </c>
      <c r="H39" s="0" t="n">
        <v>174.7418</v>
      </c>
      <c r="I39" s="0" t="n">
        <v>548.9679</v>
      </c>
      <c r="J39" s="0" t="n">
        <v>0.50492</v>
      </c>
      <c r="K39" s="0" t="n">
        <v>0</v>
      </c>
      <c r="L39" s="0" t="n">
        <v>503.4768</v>
      </c>
      <c r="M39" s="0" t="n">
        <v>641.9872</v>
      </c>
      <c r="N39" s="0" t="n">
        <v>519.093</v>
      </c>
      <c r="O39" s="0" t="n">
        <v>0.9466</v>
      </c>
      <c r="P39" s="0" t="n">
        <v>479.4551</v>
      </c>
      <c r="Q39" s="0" t="n">
        <v>153.6793</v>
      </c>
      <c r="R39" s="0" t="n">
        <v>212.6311</v>
      </c>
      <c r="S39" s="0" t="n">
        <v>140.0668</v>
      </c>
      <c r="T39" s="0" t="n">
        <v>23.3026</v>
      </c>
      <c r="U39" s="0" t="n">
        <v>111.4673</v>
      </c>
      <c r="V39" s="0" t="n">
        <v>76.8173</v>
      </c>
      <c r="W39" s="0" t="n">
        <v>35.3733</v>
      </c>
      <c r="X39" s="0" t="n">
        <v>48.3176</v>
      </c>
      <c r="Y39" s="0" t="n">
        <v>43.8283</v>
      </c>
      <c r="Z39" s="0" t="n">
        <v>36.3176</v>
      </c>
      <c r="AA39" s="0" t="n">
        <v>25.268</v>
      </c>
      <c r="AB39" s="0" t="n">
        <v>32.1137</v>
      </c>
      <c r="AC39" s="0" t="n">
        <v>12.8897</v>
      </c>
      <c r="AD39" s="0" t="n">
        <v>34.0778</v>
      </c>
      <c r="AE39" s="0" t="n">
        <v>16.1172</v>
      </c>
      <c r="AF39" s="0" t="n">
        <v>31.7601</v>
      </c>
      <c r="AG39" s="0" t="n">
        <v>11.3975</v>
      </c>
      <c r="AH39" s="0" t="n">
        <v>25.9027</v>
      </c>
      <c r="AI39" s="0" t="n">
        <v>28.8145</v>
      </c>
      <c r="AJ39" s="0" t="n">
        <v>5.0551</v>
      </c>
      <c r="AK39" s="0" t="n">
        <v>32.7965</v>
      </c>
      <c r="AL39" s="0" t="n">
        <v>35.6967</v>
      </c>
      <c r="AM39" s="0" t="n">
        <v>19.7295</v>
      </c>
      <c r="AN39" s="0" t="n">
        <v>15.7135</v>
      </c>
      <c r="AO39" s="0" t="n">
        <v>31.6481</v>
      </c>
      <c r="AP39" s="0" t="n">
        <v>14.2046</v>
      </c>
      <c r="AQ39" s="0" t="n">
        <v>23.0823</v>
      </c>
      <c r="AR39" s="0" t="n">
        <v>18.7445</v>
      </c>
      <c r="AS39" s="0" t="n">
        <v>17.1536</v>
      </c>
      <c r="AT39" s="0" t="n">
        <v>28.7238</v>
      </c>
      <c r="AU39" s="0" t="n">
        <v>25.7148</v>
      </c>
      <c r="AV39" s="0" t="n">
        <v>3.6134</v>
      </c>
      <c r="AW39" s="0" t="n">
        <v>11.4377</v>
      </c>
      <c r="AX39" s="0" t="n">
        <v>11.5697</v>
      </c>
      <c r="AY39" s="0" t="n">
        <v>7.5714</v>
      </c>
      <c r="AZ39" s="0" t="n">
        <v>9.2429</v>
      </c>
      <c r="BA39" s="0" t="n">
        <v>9.2197</v>
      </c>
      <c r="BB39" s="0" t="n">
        <v>7.7629</v>
      </c>
      <c r="BC39" s="0" t="n">
        <v>4.3854</v>
      </c>
      <c r="BD39" s="0" t="n">
        <v>3.0029</v>
      </c>
      <c r="BE39" s="0" t="n">
        <v>3.5039</v>
      </c>
      <c r="BF39" s="0" t="n">
        <v>0.5499</v>
      </c>
      <c r="BG39" s="0" t="n">
        <v>2.6721</v>
      </c>
      <c r="BH39" s="0" t="n">
        <v>1.8767</v>
      </c>
      <c r="BI39" s="0" t="n">
        <v>0.3823</v>
      </c>
      <c r="BJ39" s="0" t="n">
        <v>1.8715</v>
      </c>
      <c r="BK39" s="0" t="n">
        <v>1.9232</v>
      </c>
      <c r="BL39" s="0" t="n">
        <v>1.2953</v>
      </c>
      <c r="BM39" s="0" t="n">
        <v>0.1084</v>
      </c>
      <c r="BN39" s="0" t="n">
        <v>0.8474</v>
      </c>
      <c r="BO39" s="0" t="n">
        <v>0.4004</v>
      </c>
      <c r="BP39" s="0" t="n">
        <v>0.8701</v>
      </c>
      <c r="BQ39" s="0" t="n">
        <v>0.3744</v>
      </c>
      <c r="BR39" s="0" t="n">
        <v>0.6188</v>
      </c>
      <c r="BS39" s="0" t="n">
        <v>0.4835</v>
      </c>
      <c r="BT39" s="0" t="n">
        <v>0.2832</v>
      </c>
      <c r="BU39" s="0" t="n">
        <v>0</v>
      </c>
      <c r="BV39" s="0" t="n">
        <v>0.4077</v>
      </c>
      <c r="BW39" s="0" t="n">
        <v>0.2355</v>
      </c>
      <c r="BX39" s="0" t="n">
        <v>0.3946</v>
      </c>
      <c r="BY39" s="0" t="n">
        <v>0</v>
      </c>
      <c r="BZ39" s="0" t="n">
        <v>0.0201</v>
      </c>
      <c r="CA39" s="0" t="n">
        <v>0.0338</v>
      </c>
      <c r="CB39" s="0" t="n">
        <v>0.0333</v>
      </c>
      <c r="CC39" s="0" t="n">
        <v>0</v>
      </c>
      <c r="CD39" s="0" t="n">
        <v>0.248</v>
      </c>
      <c r="CE39" s="0" t="n">
        <v>0.0064</v>
      </c>
      <c r="CF39" s="0" t="n">
        <v>0.1423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10.8106</v>
      </c>
      <c r="CP39" s="0" t="n">
        <v>27.4162</v>
      </c>
      <c r="CQ39" s="0" t="n">
        <v>31.7275</v>
      </c>
      <c r="CR39" s="0" t="n">
        <v>0.0655</v>
      </c>
      <c r="CS39" s="0" t="n">
        <v>39.8689</v>
      </c>
      <c r="CT39" s="0" t="n">
        <v>15.6049</v>
      </c>
      <c r="CU39" s="0" t="n">
        <v>24.8576</v>
      </c>
      <c r="CV39" s="0" t="n">
        <v>19.4426</v>
      </c>
      <c r="CW39" s="0" t="n">
        <v>3.3692</v>
      </c>
      <c r="CX39" s="0" t="n">
        <v>18.0984</v>
      </c>
      <c r="CY39" s="0" t="n">
        <v>14.0529</v>
      </c>
      <c r="CZ39" s="0" t="n">
        <v>7.0162</v>
      </c>
      <c r="DA39" s="0" t="n">
        <v>10.1396</v>
      </c>
      <c r="DB39" s="0" t="n">
        <v>9.963</v>
      </c>
      <c r="DC39" s="0" t="n">
        <v>8.9212</v>
      </c>
      <c r="DD39" s="0" t="n">
        <v>6.4555</v>
      </c>
      <c r="DE39" s="0" t="n">
        <v>8.7951</v>
      </c>
      <c r="DF39" s="0" t="n">
        <v>3.7273</v>
      </c>
      <c r="DG39" s="0" t="n">
        <v>10.3667</v>
      </c>
      <c r="DH39" s="0" t="n">
        <v>5.1794</v>
      </c>
      <c r="DI39" s="0" t="n">
        <v>10.8094</v>
      </c>
      <c r="DJ39" s="0" t="n">
        <v>4.0428</v>
      </c>
      <c r="DK39" s="0" t="n">
        <v>9.5644</v>
      </c>
      <c r="DL39" s="0" t="n">
        <v>11.238</v>
      </c>
      <c r="DM39" s="0" t="n">
        <v>2.011</v>
      </c>
      <c r="DN39" s="0" t="n">
        <v>13.6255</v>
      </c>
      <c r="DO39" s="0" t="n">
        <v>15.5581</v>
      </c>
      <c r="DP39" s="0" t="n">
        <v>8.9585</v>
      </c>
      <c r="DQ39" s="0" t="n">
        <v>7.2317</v>
      </c>
      <c r="DR39" s="0" t="n">
        <v>15.1411</v>
      </c>
      <c r="DS39" s="0" t="n">
        <v>7.053</v>
      </c>
      <c r="DT39" s="0" t="n">
        <v>11.7885</v>
      </c>
      <c r="DU39" s="0" t="n">
        <v>9.8828</v>
      </c>
      <c r="DV39" s="0" t="n">
        <v>9.2153</v>
      </c>
      <c r="DW39" s="0" t="n">
        <v>15.9847</v>
      </c>
      <c r="DX39" s="0" t="n">
        <v>14.8344</v>
      </c>
      <c r="DY39" s="0" t="n">
        <v>2.141</v>
      </c>
      <c r="DZ39" s="0" t="n">
        <v>6.8493</v>
      </c>
      <c r="EA39" s="0" t="n">
        <v>7.1767</v>
      </c>
      <c r="EB39" s="0" t="n">
        <v>4.8412</v>
      </c>
      <c r="EC39" s="0" t="n">
        <v>6.0024</v>
      </c>
      <c r="ED39" s="0" t="n">
        <v>6.1265</v>
      </c>
      <c r="EE39" s="0" t="n">
        <v>5.2993</v>
      </c>
      <c r="EF39" s="0" t="n">
        <v>3.077</v>
      </c>
      <c r="EG39" s="0" t="n">
        <v>2.1507</v>
      </c>
      <c r="EH39" s="0" t="n">
        <v>2.5664</v>
      </c>
      <c r="EI39" s="0" t="n">
        <v>0.409</v>
      </c>
      <c r="EJ39" s="0" t="n">
        <v>2.0337</v>
      </c>
      <c r="EK39" s="0" t="n">
        <v>1.4698</v>
      </c>
      <c r="EL39" s="0" t="n">
        <v>0.3047</v>
      </c>
      <c r="EM39" s="0" t="n">
        <v>1.508</v>
      </c>
      <c r="EN39" s="0" t="n">
        <v>1.5897</v>
      </c>
      <c r="EO39" s="0" t="n">
        <v>1.0952</v>
      </c>
      <c r="EP39" s="0" t="n">
        <v>0.0927</v>
      </c>
      <c r="EQ39" s="0" t="n">
        <v>0.7417</v>
      </c>
      <c r="ER39" s="0" t="n">
        <v>0.3556</v>
      </c>
      <c r="ES39" s="0" t="n">
        <v>0.7845</v>
      </c>
      <c r="ET39" s="0" t="n">
        <v>0.3531</v>
      </c>
      <c r="EU39" s="0" t="n">
        <v>0.5796</v>
      </c>
      <c r="EV39" s="0" t="n">
        <v>0.4601</v>
      </c>
      <c r="EW39" s="0" t="n">
        <v>0.2745</v>
      </c>
      <c r="EX39" s="0" t="n">
        <v>0</v>
      </c>
      <c r="EY39" s="0" t="n">
        <v>0.4046</v>
      </c>
      <c r="EZ39" s="0" t="n">
        <v>0.2391</v>
      </c>
      <c r="FA39" s="0" t="n">
        <v>0.4081</v>
      </c>
      <c r="FB39" s="0" t="n">
        <v>0</v>
      </c>
      <c r="FC39" s="0" t="n">
        <v>0.0212</v>
      </c>
      <c r="FD39" s="0" t="n">
        <v>0.0364</v>
      </c>
      <c r="FE39" s="0" t="n">
        <v>0.0365</v>
      </c>
      <c r="FF39" s="0" t="n">
        <v>0</v>
      </c>
      <c r="FG39" s="0" t="n">
        <v>0.2767</v>
      </c>
      <c r="FH39" s="0" t="n">
        <v>0.0072</v>
      </c>
      <c r="FI39" s="0" t="n">
        <v>0.1639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0</v>
      </c>
      <c r="FP39" s="0" t="n">
        <v>0</v>
      </c>
    </row>
    <row r="40" customFormat="false" ht="13.8" hidden="false" customHeight="false" outlineLevel="0" collapsed="false">
      <c r="A40" s="2" t="s">
        <v>252</v>
      </c>
      <c r="B40" s="0" t="s">
        <v>176</v>
      </c>
      <c r="C40" s="0" t="n">
        <v>260</v>
      </c>
      <c r="D40" s="0" t="s">
        <v>253</v>
      </c>
      <c r="G40" s="0" t="n">
        <v>1835.5727</v>
      </c>
      <c r="H40" s="0" t="n">
        <v>107.5121</v>
      </c>
      <c r="I40" s="0" t="n">
        <v>337.7591</v>
      </c>
      <c r="J40" s="0" t="n">
        <v>0.59455</v>
      </c>
      <c r="K40" s="0" t="n">
        <v>0.0092</v>
      </c>
      <c r="L40" s="0" t="n">
        <v>147.5192</v>
      </c>
      <c r="M40" s="0" t="n">
        <v>160.5878</v>
      </c>
      <c r="N40" s="0" t="n">
        <v>256.615</v>
      </c>
      <c r="O40" s="0" t="n">
        <v>210.2085</v>
      </c>
      <c r="P40" s="0" t="n">
        <v>137.1914</v>
      </c>
      <c r="Q40" s="0" t="n">
        <v>86.0044</v>
      </c>
      <c r="R40" s="0" t="n">
        <v>88.9515</v>
      </c>
      <c r="S40" s="0" t="n">
        <v>57.9375</v>
      </c>
      <c r="T40" s="0" t="n">
        <v>43.2844</v>
      </c>
      <c r="U40" s="0" t="n">
        <v>32.6439</v>
      </c>
      <c r="V40" s="0" t="n">
        <v>29.6726</v>
      </c>
      <c r="W40" s="0" t="n">
        <v>28.2224</v>
      </c>
      <c r="X40" s="0" t="n">
        <v>22.9252</v>
      </c>
      <c r="Y40" s="0" t="n">
        <v>21.1145</v>
      </c>
      <c r="Z40" s="0" t="n">
        <v>22.5428</v>
      </c>
      <c r="AA40" s="0" t="n">
        <v>21.2374</v>
      </c>
      <c r="AB40" s="0" t="n">
        <v>23.4969</v>
      </c>
      <c r="AC40" s="0" t="n">
        <v>27.6789</v>
      </c>
      <c r="AD40" s="0" t="n">
        <v>27.2425</v>
      </c>
      <c r="AE40" s="0" t="n">
        <v>26.2304</v>
      </c>
      <c r="AF40" s="0" t="n">
        <v>32.2787</v>
      </c>
      <c r="AG40" s="0" t="n">
        <v>24.3694</v>
      </c>
      <c r="AH40" s="0" t="n">
        <v>24.1967</v>
      </c>
      <c r="AI40" s="0" t="n">
        <v>23.9893</v>
      </c>
      <c r="AJ40" s="0" t="n">
        <v>24.1739</v>
      </c>
      <c r="AK40" s="0" t="n">
        <v>28.9893</v>
      </c>
      <c r="AL40" s="0" t="n">
        <v>21.4232</v>
      </c>
      <c r="AM40" s="0" t="n">
        <v>26.6878</v>
      </c>
      <c r="AN40" s="0" t="n">
        <v>20.3187</v>
      </c>
      <c r="AO40" s="0" t="n">
        <v>16.1827</v>
      </c>
      <c r="AP40" s="0" t="n">
        <v>19.5101</v>
      </c>
      <c r="AQ40" s="0" t="n">
        <v>16.9411</v>
      </c>
      <c r="AR40" s="0" t="n">
        <v>12.7111</v>
      </c>
      <c r="AS40" s="0" t="n">
        <v>9.0049</v>
      </c>
      <c r="AT40" s="0" t="n">
        <v>12.1837</v>
      </c>
      <c r="AU40" s="0" t="n">
        <v>9.984</v>
      </c>
      <c r="AV40" s="0" t="n">
        <v>6.8536</v>
      </c>
      <c r="AW40" s="0" t="n">
        <v>8.0894</v>
      </c>
      <c r="AX40" s="0" t="n">
        <v>4.7111</v>
      </c>
      <c r="AY40" s="0" t="n">
        <v>5.0994</v>
      </c>
      <c r="AZ40" s="0" t="n">
        <v>3.4314</v>
      </c>
      <c r="BA40" s="0" t="n">
        <v>3.1052</v>
      </c>
      <c r="BB40" s="0" t="n">
        <v>1.8671</v>
      </c>
      <c r="BC40" s="0" t="n">
        <v>0.9345</v>
      </c>
      <c r="BD40" s="0" t="n">
        <v>0.8996</v>
      </c>
      <c r="BE40" s="0" t="n">
        <v>0.5569</v>
      </c>
      <c r="BF40" s="0" t="n">
        <v>0.9065</v>
      </c>
      <c r="BG40" s="0" t="n">
        <v>0.4951</v>
      </c>
      <c r="BH40" s="0" t="n">
        <v>0.3094</v>
      </c>
      <c r="BI40" s="0" t="n">
        <v>0.4745</v>
      </c>
      <c r="BJ40" s="0" t="n">
        <v>0.5717</v>
      </c>
      <c r="BK40" s="0" t="n">
        <v>0.6025</v>
      </c>
      <c r="BL40" s="0" t="n">
        <v>0.2497</v>
      </c>
      <c r="BM40" s="0" t="n">
        <v>0.1651</v>
      </c>
      <c r="BN40" s="0" t="n">
        <v>0.3825</v>
      </c>
      <c r="BO40" s="0" t="n">
        <v>0.0995</v>
      </c>
      <c r="BP40" s="0" t="n">
        <v>0.0455</v>
      </c>
      <c r="BQ40" s="0" t="n">
        <v>0.0127</v>
      </c>
      <c r="BR40" s="0" t="n">
        <v>0</v>
      </c>
      <c r="BS40" s="0" t="n">
        <v>0.1263</v>
      </c>
      <c r="BT40" s="0" t="n">
        <v>0.0069</v>
      </c>
      <c r="BU40" s="0" t="n">
        <v>0.1168</v>
      </c>
      <c r="BV40" s="0" t="n">
        <v>0.1036</v>
      </c>
      <c r="BW40" s="0" t="n">
        <v>0.0064</v>
      </c>
      <c r="BX40" s="0" t="n">
        <v>0.1847</v>
      </c>
      <c r="BY40" s="0" t="n">
        <v>0.0132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0.0001</v>
      </c>
      <c r="CO40" s="0" t="n">
        <v>3.86</v>
      </c>
      <c r="CP40" s="0" t="n">
        <v>6.3022</v>
      </c>
      <c r="CQ40" s="0" t="n">
        <v>14.1849</v>
      </c>
      <c r="CR40" s="0" t="n">
        <v>14.6143</v>
      </c>
      <c r="CS40" s="0" t="n">
        <v>11.756</v>
      </c>
      <c r="CT40" s="0" t="n">
        <v>8.7409</v>
      </c>
      <c r="CU40" s="0" t="n">
        <v>10.4912</v>
      </c>
      <c r="CV40" s="0" t="n">
        <v>7.7343</v>
      </c>
      <c r="CW40" s="0" t="n">
        <v>6.4205</v>
      </c>
      <c r="CX40" s="0" t="n">
        <v>5.3803</v>
      </c>
      <c r="CY40" s="0" t="n">
        <v>5.366</v>
      </c>
      <c r="CZ40" s="0" t="n">
        <v>5.5424</v>
      </c>
      <c r="DA40" s="0" t="n">
        <v>4.8602</v>
      </c>
      <c r="DB40" s="0" t="n">
        <v>4.808</v>
      </c>
      <c r="DC40" s="0" t="n">
        <v>5.4972</v>
      </c>
      <c r="DD40" s="0" t="n">
        <v>5.4925</v>
      </c>
      <c r="DE40" s="0" t="n">
        <v>6.4558</v>
      </c>
      <c r="DF40" s="0" t="n">
        <v>8.048</v>
      </c>
      <c r="DG40" s="0" t="n">
        <v>8.3621</v>
      </c>
      <c r="DH40" s="0" t="n">
        <v>8.4466</v>
      </c>
      <c r="DI40" s="0" t="n">
        <v>10.9025</v>
      </c>
      <c r="DJ40" s="0" t="n">
        <v>8.5954</v>
      </c>
      <c r="DK40" s="0" t="n">
        <v>8.9218</v>
      </c>
      <c r="DL40" s="0" t="n">
        <v>9.2398</v>
      </c>
      <c r="DM40" s="0" t="n">
        <v>9.6689</v>
      </c>
      <c r="DN40" s="0" t="n">
        <v>12.0602</v>
      </c>
      <c r="DO40" s="0" t="n">
        <v>9.2759</v>
      </c>
      <c r="DP40" s="0" t="n">
        <v>11.9283</v>
      </c>
      <c r="DQ40" s="0" t="n">
        <v>9.4072</v>
      </c>
      <c r="DR40" s="0" t="n">
        <v>7.749</v>
      </c>
      <c r="DS40" s="0" t="n">
        <v>9.6595</v>
      </c>
      <c r="DT40" s="0" t="n">
        <v>8.6452</v>
      </c>
      <c r="DU40" s="0" t="n">
        <v>6.6918</v>
      </c>
      <c r="DV40" s="0" t="n">
        <v>4.8743</v>
      </c>
      <c r="DW40" s="0" t="n">
        <v>6.7902</v>
      </c>
      <c r="DX40" s="0" t="n">
        <v>5.7258</v>
      </c>
      <c r="DY40" s="0" t="n">
        <v>4.0338</v>
      </c>
      <c r="DZ40" s="0" t="n">
        <v>4.8977</v>
      </c>
      <c r="EA40" s="0" t="n">
        <v>2.918</v>
      </c>
      <c r="EB40" s="0" t="n">
        <v>3.2475</v>
      </c>
      <c r="EC40" s="0" t="n">
        <v>2.2427</v>
      </c>
      <c r="ED40" s="0" t="n">
        <v>2.0718</v>
      </c>
      <c r="EE40" s="0" t="n">
        <v>1.2784</v>
      </c>
      <c r="EF40" s="0" t="n">
        <v>0.6541</v>
      </c>
      <c r="EG40" s="0" t="n">
        <v>0.6432</v>
      </c>
      <c r="EH40" s="0" t="n">
        <v>0.4068</v>
      </c>
      <c r="EI40" s="0" t="n">
        <v>0.678</v>
      </c>
      <c r="EJ40" s="0" t="n">
        <v>0.3769</v>
      </c>
      <c r="EK40" s="0" t="n">
        <v>0.2407</v>
      </c>
      <c r="EL40" s="0" t="n">
        <v>0.3787</v>
      </c>
      <c r="EM40" s="0" t="n">
        <v>0.4597</v>
      </c>
      <c r="EN40" s="0" t="n">
        <v>0.4957</v>
      </c>
      <c r="EO40" s="0" t="n">
        <v>0.2099</v>
      </c>
      <c r="EP40" s="0" t="n">
        <v>0.1415</v>
      </c>
      <c r="EQ40" s="0" t="n">
        <v>0.3322</v>
      </c>
      <c r="ER40" s="0" t="n">
        <v>0.0882</v>
      </c>
      <c r="ES40" s="0" t="n">
        <v>0.0409</v>
      </c>
      <c r="ET40" s="0" t="n">
        <v>0.0116</v>
      </c>
      <c r="EU40" s="0" t="n">
        <v>0</v>
      </c>
      <c r="EV40" s="0" t="n">
        <v>0.1207</v>
      </c>
      <c r="EW40" s="0" t="n">
        <v>0.0066</v>
      </c>
      <c r="EX40" s="0" t="n">
        <v>0.1153</v>
      </c>
      <c r="EY40" s="0" t="n">
        <v>0.1031</v>
      </c>
      <c r="EZ40" s="0" t="n">
        <v>0.0065</v>
      </c>
      <c r="FA40" s="0" t="n">
        <v>0.1909</v>
      </c>
      <c r="FB40" s="0" t="n">
        <v>0.0137</v>
      </c>
      <c r="FC40" s="0" t="n">
        <v>0</v>
      </c>
      <c r="FD40" s="0" t="n">
        <v>0</v>
      </c>
      <c r="FE40" s="0" t="n">
        <v>0</v>
      </c>
      <c r="FF40" s="0" t="n">
        <v>0</v>
      </c>
      <c r="FG40" s="0" t="n">
        <v>0</v>
      </c>
      <c r="FH40" s="0" t="n">
        <v>0</v>
      </c>
      <c r="FI40" s="0" t="n">
        <v>0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0</v>
      </c>
      <c r="FP40" s="0" t="n">
        <v>0</v>
      </c>
    </row>
    <row r="41" customFormat="false" ht="13.8" hidden="false" customHeight="false" outlineLevel="0" collapsed="false">
      <c r="A41" s="2" t="s">
        <v>254</v>
      </c>
      <c r="B41" s="0" t="s">
        <v>176</v>
      </c>
      <c r="C41" s="0" t="n">
        <v>313</v>
      </c>
      <c r="D41" s="0" t="s">
        <v>255</v>
      </c>
      <c r="G41" s="0" t="n">
        <v>3888.1678</v>
      </c>
      <c r="H41" s="0" t="n">
        <v>219.4611</v>
      </c>
      <c r="I41" s="0" t="n">
        <v>689.4576</v>
      </c>
      <c r="J41" s="0" t="n">
        <v>0.68905</v>
      </c>
      <c r="K41" s="0" t="n">
        <v>0</v>
      </c>
      <c r="L41" s="0" t="n">
        <v>638.45</v>
      </c>
      <c r="M41" s="0" t="n">
        <v>732.0195</v>
      </c>
      <c r="N41" s="0" t="n">
        <v>449.2634</v>
      </c>
      <c r="O41" s="0" t="n">
        <v>1.8288</v>
      </c>
      <c r="P41" s="0" t="n">
        <v>349.0862</v>
      </c>
      <c r="Q41" s="0" t="n">
        <v>115.9567</v>
      </c>
      <c r="R41" s="0" t="n">
        <v>156.9949</v>
      </c>
      <c r="S41" s="0" t="n">
        <v>86.4805</v>
      </c>
      <c r="T41" s="0" t="n">
        <v>18.7976</v>
      </c>
      <c r="U41" s="0" t="n">
        <v>102.7596</v>
      </c>
      <c r="V41" s="0" t="n">
        <v>81.3172</v>
      </c>
      <c r="W41" s="0" t="n">
        <v>44.0135</v>
      </c>
      <c r="X41" s="0" t="n">
        <v>56.9786</v>
      </c>
      <c r="Y41" s="0" t="n">
        <v>40.1815</v>
      </c>
      <c r="Z41" s="0" t="n">
        <v>47.0704</v>
      </c>
      <c r="AA41" s="0" t="n">
        <v>29.5071</v>
      </c>
      <c r="AB41" s="0" t="n">
        <v>58.837</v>
      </c>
      <c r="AC41" s="0" t="n">
        <v>26.393</v>
      </c>
      <c r="AD41" s="0" t="n">
        <v>55.6925</v>
      </c>
      <c r="AE41" s="0" t="n">
        <v>30.4056</v>
      </c>
      <c r="AF41" s="0" t="n">
        <v>39.3246</v>
      </c>
      <c r="AG41" s="0" t="n">
        <v>56.622</v>
      </c>
      <c r="AH41" s="0" t="n">
        <v>50.2631</v>
      </c>
      <c r="AI41" s="0" t="n">
        <v>42.0253</v>
      </c>
      <c r="AJ41" s="0" t="n">
        <v>53.7601</v>
      </c>
      <c r="AK41" s="0" t="n">
        <v>79.2395</v>
      </c>
      <c r="AL41" s="0" t="n">
        <v>67.4023</v>
      </c>
      <c r="AM41" s="0" t="n">
        <v>32.4864</v>
      </c>
      <c r="AN41" s="0" t="n">
        <v>26.3245</v>
      </c>
      <c r="AO41" s="0" t="n">
        <v>59.5904</v>
      </c>
      <c r="AP41" s="0" t="n">
        <v>35.9672</v>
      </c>
      <c r="AQ41" s="0" t="n">
        <v>40.3491</v>
      </c>
      <c r="AR41" s="0" t="n">
        <v>26.8558</v>
      </c>
      <c r="AS41" s="0" t="n">
        <v>28.292</v>
      </c>
      <c r="AT41" s="0" t="n">
        <v>30.9541</v>
      </c>
      <c r="AU41" s="0" t="n">
        <v>21.1952</v>
      </c>
      <c r="AV41" s="0" t="n">
        <v>1.696</v>
      </c>
      <c r="AW41" s="0" t="n">
        <v>12.8878</v>
      </c>
      <c r="AX41" s="0" t="n">
        <v>11.9335</v>
      </c>
      <c r="AY41" s="0" t="n">
        <v>6.0789</v>
      </c>
      <c r="AZ41" s="0" t="n">
        <v>5.5038</v>
      </c>
      <c r="BA41" s="0" t="n">
        <v>4.6313</v>
      </c>
      <c r="BB41" s="0" t="n">
        <v>3.7999</v>
      </c>
      <c r="BC41" s="0" t="n">
        <v>4.9316</v>
      </c>
      <c r="BD41" s="0" t="n">
        <v>1.2053</v>
      </c>
      <c r="BE41" s="0" t="n">
        <v>1.8545</v>
      </c>
      <c r="BF41" s="0" t="n">
        <v>1.951</v>
      </c>
      <c r="BG41" s="0" t="n">
        <v>1.8064</v>
      </c>
      <c r="BH41" s="0" t="n">
        <v>1.3784</v>
      </c>
      <c r="BI41" s="0" t="n">
        <v>1.2635</v>
      </c>
      <c r="BJ41" s="0" t="n">
        <v>0.6215</v>
      </c>
      <c r="BK41" s="0" t="n">
        <v>0.6924</v>
      </c>
      <c r="BL41" s="0" t="n">
        <v>1.0499</v>
      </c>
      <c r="BM41" s="0" t="n">
        <v>0.2546</v>
      </c>
      <c r="BN41" s="0" t="n">
        <v>1.3832</v>
      </c>
      <c r="BO41" s="0" t="n">
        <v>0.027</v>
      </c>
      <c r="BP41" s="0" t="n">
        <v>1.2822</v>
      </c>
      <c r="BQ41" s="0" t="n">
        <v>0.4165</v>
      </c>
      <c r="BR41" s="0" t="n">
        <v>0.361</v>
      </c>
      <c r="BS41" s="0" t="n">
        <v>0.7145</v>
      </c>
      <c r="BT41" s="0" t="n">
        <v>1.0587</v>
      </c>
      <c r="BU41" s="0" t="n">
        <v>0.0641</v>
      </c>
      <c r="BV41" s="0" t="n">
        <v>0.2637</v>
      </c>
      <c r="BW41" s="0" t="n">
        <v>0.3541</v>
      </c>
      <c r="BX41" s="0" t="n">
        <v>0.4501</v>
      </c>
      <c r="BY41" s="0" t="n">
        <v>0.0297</v>
      </c>
      <c r="BZ41" s="0" t="n">
        <v>0.052</v>
      </c>
      <c r="CA41" s="0" t="n">
        <v>0.1693</v>
      </c>
      <c r="CB41" s="0" t="n">
        <v>0.0493</v>
      </c>
      <c r="CC41" s="0" t="n">
        <v>0.2856</v>
      </c>
      <c r="CD41" s="0" t="n">
        <v>0.0588</v>
      </c>
      <c r="CE41" s="0" t="n">
        <v>0.352</v>
      </c>
      <c r="CF41" s="0" t="n">
        <v>0.2721</v>
      </c>
      <c r="CG41" s="0" t="n">
        <v>0.2323</v>
      </c>
      <c r="CH41" s="0" t="n">
        <v>0.0831</v>
      </c>
      <c r="CI41" s="0" t="n">
        <v>0.2086</v>
      </c>
      <c r="CJ41" s="0" t="n">
        <v>0.0572</v>
      </c>
      <c r="CK41" s="0" t="n">
        <v>0</v>
      </c>
      <c r="CL41" s="0" t="n">
        <v>0.0317</v>
      </c>
      <c r="CM41" s="0" t="n">
        <v>1.1542</v>
      </c>
      <c r="CN41" s="0" t="n">
        <v>0</v>
      </c>
      <c r="CO41" s="0" t="n">
        <v>13.6629</v>
      </c>
      <c r="CP41" s="0" t="n">
        <v>31.1606</v>
      </c>
      <c r="CQ41" s="0" t="n">
        <v>27.4445</v>
      </c>
      <c r="CR41" s="0" t="n">
        <v>0.1265</v>
      </c>
      <c r="CS41" s="0" t="n">
        <v>29.0401</v>
      </c>
      <c r="CT41" s="0" t="n">
        <v>11.7952</v>
      </c>
      <c r="CU41" s="0" t="n">
        <v>18.3843</v>
      </c>
      <c r="CV41" s="0" t="n">
        <v>12.0177</v>
      </c>
      <c r="CW41" s="0" t="n">
        <v>2.7204</v>
      </c>
      <c r="CX41" s="0" t="n">
        <v>16.6868</v>
      </c>
      <c r="CY41" s="0" t="n">
        <v>14.8668</v>
      </c>
      <c r="CZ41" s="0" t="n">
        <v>8.7628</v>
      </c>
      <c r="DA41" s="0" t="n">
        <v>11.9904</v>
      </c>
      <c r="DB41" s="0" t="n">
        <v>9.1489</v>
      </c>
      <c r="DC41" s="0" t="n">
        <v>11.5533</v>
      </c>
      <c r="DD41" s="0" t="n">
        <v>7.5866</v>
      </c>
      <c r="DE41" s="0" t="n">
        <v>16.1135</v>
      </c>
      <c r="DF41" s="0" t="n">
        <v>7.6389</v>
      </c>
      <c r="DG41" s="0" t="n">
        <v>16.9546</v>
      </c>
      <c r="DH41" s="0" t="n">
        <v>9.7658</v>
      </c>
      <c r="DI41" s="0" t="n">
        <v>13.1793</v>
      </c>
      <c r="DJ41" s="0" t="n">
        <v>19.8988</v>
      </c>
      <c r="DK41" s="0" t="n">
        <v>18.6068</v>
      </c>
      <c r="DL41" s="0" t="n">
        <v>16.2347</v>
      </c>
      <c r="DM41" s="0" t="n">
        <v>21.2459</v>
      </c>
      <c r="DN41" s="0" t="n">
        <v>32.9173</v>
      </c>
      <c r="DO41" s="0" t="n">
        <v>29.3742</v>
      </c>
      <c r="DP41" s="0" t="n">
        <v>14.7692</v>
      </c>
      <c r="DQ41" s="0" t="n">
        <v>12.1092</v>
      </c>
      <c r="DR41" s="0" t="n">
        <v>28.5012</v>
      </c>
      <c r="DS41" s="0" t="n">
        <v>17.8744</v>
      </c>
      <c r="DT41" s="0" t="n">
        <v>20.7004</v>
      </c>
      <c r="DU41" s="0" t="n">
        <v>14.1486</v>
      </c>
      <c r="DV41" s="0" t="n">
        <v>15.2151</v>
      </c>
      <c r="DW41" s="0" t="n">
        <v>17.2253</v>
      </c>
      <c r="DX41" s="0" t="n">
        <v>12.2487</v>
      </c>
      <c r="DY41" s="0" t="n">
        <v>1.0059</v>
      </c>
      <c r="DZ41" s="0" t="n">
        <v>7.724</v>
      </c>
      <c r="EA41" s="0" t="n">
        <v>7.4013</v>
      </c>
      <c r="EB41" s="0" t="n">
        <v>3.8897</v>
      </c>
      <c r="EC41" s="0" t="n">
        <v>3.5923</v>
      </c>
      <c r="ED41" s="0" t="n">
        <v>3.0775</v>
      </c>
      <c r="EE41" s="0" t="n">
        <v>2.5874</v>
      </c>
      <c r="EF41" s="0" t="n">
        <v>3.4479</v>
      </c>
      <c r="EG41" s="0" t="n">
        <v>0.8638</v>
      </c>
      <c r="EH41" s="0" t="n">
        <v>1.3606</v>
      </c>
      <c r="EI41" s="0" t="n">
        <v>1.4456</v>
      </c>
      <c r="EJ41" s="0" t="n">
        <v>1.3761</v>
      </c>
      <c r="EK41" s="0" t="n">
        <v>1.0772</v>
      </c>
      <c r="EL41" s="0" t="n">
        <v>0.9983</v>
      </c>
      <c r="EM41" s="0" t="n">
        <v>0.5014</v>
      </c>
      <c r="EN41" s="0" t="n">
        <v>0.5712</v>
      </c>
      <c r="EO41" s="0" t="n">
        <v>0.8886</v>
      </c>
      <c r="EP41" s="0" t="n">
        <v>0.218</v>
      </c>
      <c r="EQ41" s="0" t="n">
        <v>1.2078</v>
      </c>
      <c r="ER41" s="0" t="n">
        <v>0.024</v>
      </c>
      <c r="ES41" s="0" t="n">
        <v>1.1583</v>
      </c>
      <c r="ET41" s="0" t="n">
        <v>0.3839</v>
      </c>
      <c r="EU41" s="0" t="n">
        <v>0.3366</v>
      </c>
      <c r="EV41" s="0" t="n">
        <v>0.6767</v>
      </c>
      <c r="EW41" s="0" t="n">
        <v>1.0241</v>
      </c>
      <c r="EX41" s="0" t="n">
        <v>0.0629</v>
      </c>
      <c r="EY41" s="0" t="n">
        <v>0.333</v>
      </c>
      <c r="EZ41" s="0" t="n">
        <v>0.359</v>
      </c>
      <c r="FA41" s="0" t="n">
        <v>0.4653</v>
      </c>
      <c r="FB41" s="0" t="n">
        <v>0.0308</v>
      </c>
      <c r="FC41" s="0" t="n">
        <v>0.0547</v>
      </c>
      <c r="FD41" s="0" t="n">
        <v>0.1827</v>
      </c>
      <c r="FE41" s="0" t="n">
        <v>0.0539</v>
      </c>
      <c r="FF41" s="0" t="n">
        <v>0.316</v>
      </c>
      <c r="FG41" s="0" t="n">
        <v>0.066</v>
      </c>
      <c r="FH41" s="0" t="n">
        <v>0.4001</v>
      </c>
      <c r="FI41" s="0" t="n">
        <v>0.3148</v>
      </c>
      <c r="FJ41" s="0" t="n">
        <v>0.2733</v>
      </c>
      <c r="FK41" s="0" t="n">
        <v>0.0985</v>
      </c>
      <c r="FL41" s="0" t="n">
        <v>0.2501</v>
      </c>
      <c r="FM41" s="0" t="n">
        <v>0.0697</v>
      </c>
      <c r="FN41" s="0" t="n">
        <v>0</v>
      </c>
      <c r="FO41" s="0" t="n">
        <v>0.0395</v>
      </c>
      <c r="FP41" s="0" t="n">
        <v>1.56</v>
      </c>
    </row>
    <row r="42" customFormat="false" ht="13.8" hidden="false" customHeight="false" outlineLevel="0" collapsed="false">
      <c r="A42" s="2" t="s">
        <v>256</v>
      </c>
      <c r="B42" s="0" t="s">
        <v>199</v>
      </c>
      <c r="C42" s="0" t="s">
        <v>213</v>
      </c>
      <c r="D42" s="0" t="s">
        <v>214</v>
      </c>
      <c r="G42" s="0" t="n">
        <v>2504.6735</v>
      </c>
      <c r="H42" s="0" t="n">
        <v>219.9414</v>
      </c>
      <c r="I42" s="0" t="n">
        <v>690.9662</v>
      </c>
      <c r="J42" s="0" t="n">
        <v>0.875866666666667</v>
      </c>
      <c r="K42" s="0" t="n">
        <v>0.0952</v>
      </c>
      <c r="L42" s="0" t="n">
        <v>19.43</v>
      </c>
      <c r="M42" s="0" t="n">
        <v>28.8174</v>
      </c>
      <c r="N42" s="0" t="n">
        <v>142.9254</v>
      </c>
      <c r="O42" s="0" t="n">
        <v>210.7361</v>
      </c>
      <c r="P42" s="0" t="n">
        <v>199.5008</v>
      </c>
      <c r="Q42" s="0" t="n">
        <v>250.8768</v>
      </c>
      <c r="R42" s="0" t="n">
        <v>144.9315</v>
      </c>
      <c r="S42" s="0" t="n">
        <v>98.8019</v>
      </c>
      <c r="T42" s="0" t="n">
        <v>82.6998</v>
      </c>
      <c r="U42" s="0" t="n">
        <v>105.4142</v>
      </c>
      <c r="V42" s="0" t="n">
        <v>46.7673</v>
      </c>
      <c r="W42" s="0" t="n">
        <v>80.0687</v>
      </c>
      <c r="X42" s="0" t="n">
        <v>52.4144</v>
      </c>
      <c r="Y42" s="0" t="n">
        <v>39.6286</v>
      </c>
      <c r="Z42" s="0" t="n">
        <v>42.272</v>
      </c>
      <c r="AA42" s="0" t="n">
        <v>61.6116</v>
      </c>
      <c r="AB42" s="0" t="n">
        <v>65.8113</v>
      </c>
      <c r="AC42" s="0" t="n">
        <v>44.8729</v>
      </c>
      <c r="AD42" s="0" t="n">
        <v>57.2558</v>
      </c>
      <c r="AE42" s="0" t="n">
        <v>36.8691</v>
      </c>
      <c r="AF42" s="0" t="n">
        <v>62.5626</v>
      </c>
      <c r="AG42" s="0" t="n">
        <v>25.0227</v>
      </c>
      <c r="AH42" s="0" t="n">
        <v>53.2506</v>
      </c>
      <c r="AI42" s="0" t="n">
        <v>60.6953</v>
      </c>
      <c r="AJ42" s="0" t="n">
        <v>32.7475</v>
      </c>
      <c r="AK42" s="0" t="n">
        <v>54.7418</v>
      </c>
      <c r="AL42" s="0" t="n">
        <v>38.4746</v>
      </c>
      <c r="AM42" s="0" t="n">
        <v>43.7543</v>
      </c>
      <c r="AN42" s="0" t="n">
        <v>49.0397</v>
      </c>
      <c r="AO42" s="0" t="n">
        <v>43.8774</v>
      </c>
      <c r="AP42" s="0" t="n">
        <v>28.8816</v>
      </c>
      <c r="AQ42" s="0" t="n">
        <v>37.1762</v>
      </c>
      <c r="AR42" s="0" t="n">
        <v>28.1329</v>
      </c>
      <c r="AS42" s="0" t="n">
        <v>15.9125</v>
      </c>
      <c r="AT42" s="0" t="n">
        <v>25.1832</v>
      </c>
      <c r="AU42" s="0" t="n">
        <v>16.3577</v>
      </c>
      <c r="AV42" s="0" t="n">
        <v>10.7826</v>
      </c>
      <c r="AW42" s="0" t="n">
        <v>8.0153</v>
      </c>
      <c r="AX42" s="0" t="n">
        <v>8.7016</v>
      </c>
      <c r="AY42" s="0" t="n">
        <v>6.2526</v>
      </c>
      <c r="AZ42" s="0" t="n">
        <v>5.7245</v>
      </c>
      <c r="BA42" s="0" t="n">
        <v>2.9143</v>
      </c>
      <c r="BB42" s="0" t="n">
        <v>6.1171</v>
      </c>
      <c r="BC42" s="0" t="n">
        <v>3.6405</v>
      </c>
      <c r="BD42" s="0" t="n">
        <v>2.4537</v>
      </c>
      <c r="BE42" s="0" t="n">
        <v>2.2493</v>
      </c>
      <c r="BF42" s="0" t="n">
        <v>2.1362</v>
      </c>
      <c r="BG42" s="0" t="n">
        <v>1.6631</v>
      </c>
      <c r="BH42" s="0" t="n">
        <v>2.06</v>
      </c>
      <c r="BI42" s="0" t="n">
        <v>1.2556</v>
      </c>
      <c r="BJ42" s="0" t="n">
        <v>1.0232</v>
      </c>
      <c r="BK42" s="0" t="n">
        <v>2.4607</v>
      </c>
      <c r="BL42" s="0" t="n">
        <v>0.7441</v>
      </c>
      <c r="BM42" s="0" t="n">
        <v>0.9715</v>
      </c>
      <c r="BN42" s="0" t="n">
        <v>0.9352</v>
      </c>
      <c r="BO42" s="0" t="n">
        <v>0.4656</v>
      </c>
      <c r="BP42" s="0" t="n">
        <v>0.9587</v>
      </c>
      <c r="BQ42" s="0" t="n">
        <v>0.4066</v>
      </c>
      <c r="BR42" s="0" t="n">
        <v>0.4658</v>
      </c>
      <c r="BS42" s="0" t="n">
        <v>0.6927</v>
      </c>
      <c r="BT42" s="0" t="n">
        <v>0.2703</v>
      </c>
      <c r="BU42" s="0" t="n">
        <v>0.1237</v>
      </c>
      <c r="BV42" s="0" t="n">
        <v>0.2126</v>
      </c>
      <c r="BW42" s="0" t="n">
        <v>0.4068</v>
      </c>
      <c r="BX42" s="0" t="n">
        <v>0.2622</v>
      </c>
      <c r="BY42" s="0" t="n">
        <v>0.1189</v>
      </c>
      <c r="BZ42" s="0" t="n">
        <v>0.4637</v>
      </c>
      <c r="CA42" s="0" t="n">
        <v>0.1735</v>
      </c>
      <c r="CB42" s="0" t="n">
        <v>0.13</v>
      </c>
      <c r="CC42" s="0" t="n">
        <v>0.0159</v>
      </c>
      <c r="CD42" s="0" t="n">
        <v>0.0159</v>
      </c>
      <c r="CE42" s="0" t="n">
        <v>0.1317</v>
      </c>
      <c r="CF42" s="0" t="n">
        <v>0.0248</v>
      </c>
      <c r="CG42" s="0" t="n">
        <v>0.1158</v>
      </c>
      <c r="CH42" s="0" t="n">
        <v>0.0317</v>
      </c>
      <c r="CI42" s="0" t="n">
        <v>0.0407</v>
      </c>
      <c r="CJ42" s="0" t="n">
        <v>0.1263</v>
      </c>
      <c r="CK42" s="0" t="n">
        <v>0.0967</v>
      </c>
      <c r="CL42" s="0" t="n">
        <v>0.0069</v>
      </c>
      <c r="CM42" s="0" t="n">
        <v>0.1829</v>
      </c>
      <c r="CN42" s="0" t="n">
        <v>0.0013</v>
      </c>
      <c r="CO42" s="0" t="n">
        <v>0.5097</v>
      </c>
      <c r="CP42" s="0" t="n">
        <v>1.1282</v>
      </c>
      <c r="CQ42" s="0" t="n">
        <v>8.1026</v>
      </c>
      <c r="CR42" s="0" t="n">
        <v>15.2578</v>
      </c>
      <c r="CS42" s="0" t="n">
        <v>17.0954</v>
      </c>
      <c r="CT42" s="0" t="n">
        <v>25.3084</v>
      </c>
      <c r="CU42" s="0" t="n">
        <v>17.2046</v>
      </c>
      <c r="CV42" s="0" t="n">
        <v>13.1733</v>
      </c>
      <c r="CW42" s="0" t="n">
        <v>12.1346</v>
      </c>
      <c r="CX42" s="0" t="n">
        <v>17.5631</v>
      </c>
      <c r="CY42" s="0" t="n">
        <v>8.5173</v>
      </c>
      <c r="CZ42" s="0" t="n">
        <v>15.6609</v>
      </c>
      <c r="DA42" s="0" t="n">
        <v>11.3126</v>
      </c>
      <c r="DB42" s="0" t="n">
        <v>8.9837</v>
      </c>
      <c r="DC42" s="0" t="n">
        <v>10.2567</v>
      </c>
      <c r="DD42" s="0" t="n">
        <v>15.8871</v>
      </c>
      <c r="DE42" s="0" t="n">
        <v>18.1947</v>
      </c>
      <c r="DF42" s="0" t="n">
        <v>13.0528</v>
      </c>
      <c r="DG42" s="0" t="n">
        <v>17.5456</v>
      </c>
      <c r="DH42" s="0" t="n">
        <v>11.8137</v>
      </c>
      <c r="DI42" s="0" t="n">
        <v>21.2198</v>
      </c>
      <c r="DJ42" s="0" t="n">
        <v>8.9522</v>
      </c>
      <c r="DK42" s="0" t="n">
        <v>19.5322</v>
      </c>
      <c r="DL42" s="0" t="n">
        <v>23.4736</v>
      </c>
      <c r="DM42" s="0" t="n">
        <v>13.0935</v>
      </c>
      <c r="DN42" s="0" t="n">
        <v>22.7984</v>
      </c>
      <c r="DO42" s="0" t="n">
        <v>16.6914</v>
      </c>
      <c r="DP42" s="0" t="n">
        <v>19.5031</v>
      </c>
      <c r="DQ42" s="0" t="n">
        <v>22.6818</v>
      </c>
      <c r="DR42" s="0" t="n">
        <v>21.1136</v>
      </c>
      <c r="DS42" s="0" t="n">
        <v>14.2047</v>
      </c>
      <c r="DT42" s="0" t="n">
        <v>18.9099</v>
      </c>
      <c r="DU42" s="0" t="n">
        <v>14.8136</v>
      </c>
      <c r="DV42" s="0" t="n">
        <v>8.5989</v>
      </c>
      <c r="DW42" s="0" t="n">
        <v>14.0049</v>
      </c>
      <c r="DX42" s="0" t="n">
        <v>9.3853</v>
      </c>
      <c r="DY42" s="0" t="n">
        <v>6.3707</v>
      </c>
      <c r="DZ42" s="0" t="n">
        <v>4.824</v>
      </c>
      <c r="EA42" s="0" t="n">
        <v>5.405</v>
      </c>
      <c r="EB42" s="0" t="n">
        <v>3.9848</v>
      </c>
      <c r="EC42" s="0" t="n">
        <v>3.733</v>
      </c>
      <c r="ED42" s="0" t="n">
        <v>1.9358</v>
      </c>
      <c r="EE42" s="0" t="n">
        <v>4.1656</v>
      </c>
      <c r="EF42" s="0" t="n">
        <v>2.5551</v>
      </c>
      <c r="EG42" s="0" t="n">
        <v>1.7556</v>
      </c>
      <c r="EH42" s="0" t="n">
        <v>1.6388</v>
      </c>
      <c r="EI42" s="0" t="n">
        <v>1.5942</v>
      </c>
      <c r="EJ42" s="0" t="n">
        <v>1.2668</v>
      </c>
      <c r="EK42" s="0" t="n">
        <v>1.6021</v>
      </c>
      <c r="EL42" s="0" t="n">
        <v>0.995</v>
      </c>
      <c r="EM42" s="0" t="n">
        <v>0.8269</v>
      </c>
      <c r="EN42" s="0" t="n">
        <v>2.0374</v>
      </c>
      <c r="EO42" s="0" t="n">
        <v>0.625</v>
      </c>
      <c r="EP42" s="0" t="n">
        <v>0.8286</v>
      </c>
      <c r="EQ42" s="0" t="n">
        <v>0.8166</v>
      </c>
      <c r="ER42" s="0" t="n">
        <v>0.4133</v>
      </c>
      <c r="ES42" s="0" t="n">
        <v>0.8834</v>
      </c>
      <c r="ET42" s="0" t="n">
        <v>0.3743</v>
      </c>
      <c r="EU42" s="0" t="n">
        <v>0.4358</v>
      </c>
      <c r="EV42" s="0" t="n">
        <v>0.6594</v>
      </c>
      <c r="EW42" s="0" t="n">
        <v>0.2611</v>
      </c>
      <c r="EX42" s="0" t="n">
        <v>0.1214</v>
      </c>
      <c r="EY42" s="0" t="n">
        <v>0.212</v>
      </c>
      <c r="EZ42" s="0" t="n">
        <v>0.4125</v>
      </c>
      <c r="FA42" s="0" t="n">
        <v>0.2686</v>
      </c>
      <c r="FB42" s="0" t="n">
        <v>0.124</v>
      </c>
      <c r="FC42" s="0" t="n">
        <v>0.4928</v>
      </c>
      <c r="FD42" s="0" t="n">
        <v>0.1862</v>
      </c>
      <c r="FE42" s="0" t="n">
        <v>0.1417</v>
      </c>
      <c r="FF42" s="0" t="n">
        <v>0.0175</v>
      </c>
      <c r="FG42" s="0" t="n">
        <v>0.0179</v>
      </c>
      <c r="FH42" s="0" t="n">
        <v>0.1503</v>
      </c>
      <c r="FI42" s="0" t="n">
        <v>0.0285</v>
      </c>
      <c r="FJ42" s="0" t="n">
        <v>0.136</v>
      </c>
      <c r="FK42" s="0" t="n">
        <v>0.0378</v>
      </c>
      <c r="FL42" s="0" t="n">
        <v>0.0487</v>
      </c>
      <c r="FM42" s="0" t="n">
        <v>0.154</v>
      </c>
      <c r="FN42" s="0" t="n">
        <v>0.1198</v>
      </c>
      <c r="FO42" s="0" t="n">
        <v>0.0085</v>
      </c>
      <c r="FP42" s="0" t="n">
        <v>0.2385</v>
      </c>
    </row>
    <row r="43" customFormat="false" ht="13.8" hidden="false" customHeight="false" outlineLevel="0" collapsed="false">
      <c r="A43" s="2" t="s">
        <v>257</v>
      </c>
      <c r="B43" s="0" t="s">
        <v>173</v>
      </c>
      <c r="C43" s="0" t="n">
        <v>30</v>
      </c>
      <c r="D43" s="0" t="s">
        <v>258</v>
      </c>
      <c r="G43" s="0" t="n">
        <v>1154.1952</v>
      </c>
      <c r="H43" s="0" t="n">
        <v>64.1335</v>
      </c>
      <c r="I43" s="0" t="n">
        <v>201.4814</v>
      </c>
      <c r="J43" s="0" t="n">
        <v>0.5557</v>
      </c>
      <c r="K43" s="0" t="n">
        <v>0</v>
      </c>
      <c r="L43" s="0" t="n">
        <v>133.4349</v>
      </c>
      <c r="M43" s="0" t="n">
        <v>101.8955</v>
      </c>
      <c r="N43" s="0" t="n">
        <v>128.3987</v>
      </c>
      <c r="O43" s="0" t="n">
        <v>107.3395</v>
      </c>
      <c r="P43" s="0" t="n">
        <v>83.4629</v>
      </c>
      <c r="Q43" s="0" t="n">
        <v>56.7144</v>
      </c>
      <c r="R43" s="0" t="n">
        <v>67.14</v>
      </c>
      <c r="S43" s="0" t="n">
        <v>49.7015</v>
      </c>
      <c r="T43" s="0" t="n">
        <v>40.1731</v>
      </c>
      <c r="U43" s="0" t="n">
        <v>26.6636</v>
      </c>
      <c r="V43" s="0" t="n">
        <v>27.3563</v>
      </c>
      <c r="W43" s="0" t="n">
        <v>28.4486</v>
      </c>
      <c r="X43" s="0" t="n">
        <v>21.0787</v>
      </c>
      <c r="Y43" s="0" t="n">
        <v>12.1455</v>
      </c>
      <c r="Z43" s="0" t="n">
        <v>9.3363</v>
      </c>
      <c r="AA43" s="0" t="n">
        <v>13.2959</v>
      </c>
      <c r="AB43" s="0" t="n">
        <v>11.899</v>
      </c>
      <c r="AC43" s="0" t="n">
        <v>10.4663</v>
      </c>
      <c r="AD43" s="0" t="n">
        <v>14.4141</v>
      </c>
      <c r="AE43" s="0" t="n">
        <v>14.5223</v>
      </c>
      <c r="AF43" s="0" t="n">
        <v>15.6562</v>
      </c>
      <c r="AG43" s="0" t="n">
        <v>14.3935</v>
      </c>
      <c r="AH43" s="0" t="n">
        <v>14.9758</v>
      </c>
      <c r="AI43" s="0" t="n">
        <v>12.3228</v>
      </c>
      <c r="AJ43" s="0" t="n">
        <v>12.0459</v>
      </c>
      <c r="AK43" s="0" t="n">
        <v>10.946</v>
      </c>
      <c r="AL43" s="0" t="n">
        <v>12.6189</v>
      </c>
      <c r="AM43" s="0" t="n">
        <v>10.4086</v>
      </c>
      <c r="AN43" s="0" t="n">
        <v>10.6253</v>
      </c>
      <c r="AO43" s="0" t="n">
        <v>11.3275</v>
      </c>
      <c r="AP43" s="0" t="n">
        <v>9.2031</v>
      </c>
      <c r="AQ43" s="0" t="n">
        <v>6.8213</v>
      </c>
      <c r="AR43" s="0" t="n">
        <v>6.0771</v>
      </c>
      <c r="AS43" s="0" t="n">
        <v>5.4861</v>
      </c>
      <c r="AT43" s="0" t="n">
        <v>6.409</v>
      </c>
      <c r="AU43" s="0" t="n">
        <v>5.8188</v>
      </c>
      <c r="AV43" s="0" t="n">
        <v>4.585</v>
      </c>
      <c r="AW43" s="0" t="n">
        <v>1.7161</v>
      </c>
      <c r="AX43" s="0" t="n">
        <v>1.7801</v>
      </c>
      <c r="AY43" s="0" t="n">
        <v>3.0816</v>
      </c>
      <c r="AZ43" s="0" t="n">
        <v>3.4973</v>
      </c>
      <c r="BA43" s="0" t="n">
        <v>3.5956</v>
      </c>
      <c r="BB43" s="0" t="n">
        <v>2.0232</v>
      </c>
      <c r="BC43" s="0" t="n">
        <v>2.5135</v>
      </c>
      <c r="BD43" s="0" t="n">
        <v>2.1313</v>
      </c>
      <c r="BE43" s="0" t="n">
        <v>1.4088</v>
      </c>
      <c r="BF43" s="0" t="n">
        <v>1.0639</v>
      </c>
      <c r="BG43" s="0" t="n">
        <v>1.3605</v>
      </c>
      <c r="BH43" s="0" t="n">
        <v>0.3739</v>
      </c>
      <c r="BI43" s="0" t="n">
        <v>0.3658</v>
      </c>
      <c r="BJ43" s="0" t="n">
        <v>0.0772</v>
      </c>
      <c r="BK43" s="0" t="n">
        <v>0.3379</v>
      </c>
      <c r="BL43" s="0" t="n">
        <v>0</v>
      </c>
      <c r="BM43" s="0" t="n">
        <v>0.0613</v>
      </c>
      <c r="BN43" s="0" t="n">
        <v>0.2475</v>
      </c>
      <c r="BO43" s="0" t="n">
        <v>0.0555</v>
      </c>
      <c r="BP43" s="0" t="n">
        <v>0</v>
      </c>
      <c r="BQ43" s="0" t="n">
        <v>0</v>
      </c>
      <c r="BR43" s="0" t="n">
        <v>0.0978</v>
      </c>
      <c r="BS43" s="0" t="n">
        <v>0</v>
      </c>
      <c r="BT43" s="0" t="n">
        <v>0</v>
      </c>
      <c r="BU43" s="0" t="n">
        <v>0</v>
      </c>
      <c r="BV43" s="0" t="n">
        <v>0.0275</v>
      </c>
      <c r="BW43" s="0" t="n">
        <v>0.2029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0.0941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0.0338</v>
      </c>
      <c r="CM43" s="0" t="n">
        <v>0</v>
      </c>
      <c r="CN43" s="0" t="n">
        <v>0</v>
      </c>
      <c r="CO43" s="0" t="n">
        <v>3.4576</v>
      </c>
      <c r="CP43" s="0" t="n">
        <v>3.9493</v>
      </c>
      <c r="CQ43" s="0" t="n">
        <v>7.0379</v>
      </c>
      <c r="CR43" s="0" t="n">
        <v>7.5115</v>
      </c>
      <c r="CS43" s="0" t="n">
        <v>7.158</v>
      </c>
      <c r="CT43" s="0" t="n">
        <v>5.7834</v>
      </c>
      <c r="CU43" s="0" t="n">
        <v>7.9185</v>
      </c>
      <c r="CV43" s="0" t="n">
        <v>6.6476</v>
      </c>
      <c r="CW43" s="0" t="n">
        <v>5.9597</v>
      </c>
      <c r="CX43" s="0" t="n">
        <v>4.3842</v>
      </c>
      <c r="CY43" s="0" t="n">
        <v>4.9724</v>
      </c>
      <c r="CZ43" s="0" t="n">
        <v>5.5837</v>
      </c>
      <c r="DA43" s="0" t="n">
        <v>4.443</v>
      </c>
      <c r="DB43" s="0" t="n">
        <v>2.7606</v>
      </c>
      <c r="DC43" s="0" t="n">
        <v>2.278</v>
      </c>
      <c r="DD43" s="0" t="n">
        <v>3.4401</v>
      </c>
      <c r="DE43" s="0" t="n">
        <v>3.2717</v>
      </c>
      <c r="DF43" s="0" t="n">
        <v>3.0436</v>
      </c>
      <c r="DG43" s="0" t="n">
        <v>4.4269</v>
      </c>
      <c r="DH43" s="0" t="n">
        <v>4.6737</v>
      </c>
      <c r="DI43" s="0" t="n">
        <v>5.2975</v>
      </c>
      <c r="DJ43" s="0" t="n">
        <v>5.0765</v>
      </c>
      <c r="DK43" s="0" t="n">
        <v>5.5257</v>
      </c>
      <c r="DL43" s="0" t="n">
        <v>4.7405</v>
      </c>
      <c r="DM43" s="0" t="n">
        <v>4.8218</v>
      </c>
      <c r="DN43" s="0" t="n">
        <v>4.5482</v>
      </c>
      <c r="DO43" s="0" t="n">
        <v>5.4649</v>
      </c>
      <c r="DP43" s="0" t="n">
        <v>4.6517</v>
      </c>
      <c r="DQ43" s="0" t="n">
        <v>4.9215</v>
      </c>
      <c r="DR43" s="0" t="n">
        <v>5.4342</v>
      </c>
      <c r="DS43" s="0" t="n">
        <v>4.5571</v>
      </c>
      <c r="DT43" s="0" t="n">
        <v>3.4789</v>
      </c>
      <c r="DU43" s="0" t="n">
        <v>3.1988</v>
      </c>
      <c r="DV43" s="0" t="n">
        <v>2.9707</v>
      </c>
      <c r="DW43" s="0" t="n">
        <v>3.5717</v>
      </c>
      <c r="DX43" s="0" t="n">
        <v>3.345</v>
      </c>
      <c r="DY43" s="0" t="n">
        <v>2.6946</v>
      </c>
      <c r="DZ43" s="0" t="n">
        <v>1.0377</v>
      </c>
      <c r="EA43" s="0" t="n">
        <v>1.104</v>
      </c>
      <c r="EB43" s="0" t="n">
        <v>1.9631</v>
      </c>
      <c r="EC43" s="0" t="n">
        <v>2.2798</v>
      </c>
      <c r="ED43" s="0" t="n">
        <v>2.4027</v>
      </c>
      <c r="EE43" s="0" t="n">
        <v>1.3816</v>
      </c>
      <c r="EF43" s="0" t="n">
        <v>1.7581</v>
      </c>
      <c r="EG43" s="0" t="n">
        <v>1.5249</v>
      </c>
      <c r="EH43" s="0" t="n">
        <v>1.029</v>
      </c>
      <c r="EI43" s="0" t="n">
        <v>0.7937</v>
      </c>
      <c r="EJ43" s="0" t="n">
        <v>1.0312</v>
      </c>
      <c r="EK43" s="0" t="n">
        <v>0.2906</v>
      </c>
      <c r="EL43" s="0" t="n">
        <v>0.2901</v>
      </c>
      <c r="EM43" s="0" t="n">
        <v>0.0625</v>
      </c>
      <c r="EN43" s="0" t="n">
        <v>0.2784</v>
      </c>
      <c r="EO43" s="0" t="n">
        <v>0</v>
      </c>
      <c r="EP43" s="0" t="n">
        <v>0.0591</v>
      </c>
      <c r="EQ43" s="0" t="n">
        <v>0.216</v>
      </c>
      <c r="ER43" s="0" t="n">
        <v>0.0493</v>
      </c>
      <c r="ES43" s="0" t="n">
        <v>0</v>
      </c>
      <c r="ET43" s="0" t="n">
        <v>0</v>
      </c>
      <c r="EU43" s="0" t="n">
        <v>0.0922</v>
      </c>
      <c r="EV43" s="0" t="n">
        <v>0</v>
      </c>
      <c r="EW43" s="0" t="n">
        <v>0</v>
      </c>
      <c r="EX43" s="0" t="n">
        <v>0</v>
      </c>
      <c r="EY43" s="0" t="n">
        <v>0.0273</v>
      </c>
      <c r="EZ43" s="0" t="n">
        <v>0.2046</v>
      </c>
      <c r="FA43" s="0" t="n">
        <v>0</v>
      </c>
      <c r="FB43" s="0" t="n">
        <v>0</v>
      </c>
      <c r="FC43" s="0" t="n">
        <v>0</v>
      </c>
      <c r="FD43" s="0" t="n">
        <v>0</v>
      </c>
      <c r="FE43" s="0" t="n">
        <v>0</v>
      </c>
      <c r="FF43" s="0" t="n">
        <v>0.1036</v>
      </c>
      <c r="FG43" s="0" t="n">
        <v>0</v>
      </c>
      <c r="FH43" s="0" t="n">
        <v>0</v>
      </c>
      <c r="FI43" s="0" t="n">
        <v>0</v>
      </c>
      <c r="FJ43" s="0" t="n">
        <v>0</v>
      </c>
      <c r="FK43" s="0" t="n">
        <v>0</v>
      </c>
      <c r="FL43" s="0" t="n">
        <v>0</v>
      </c>
      <c r="FM43" s="0" t="n">
        <v>0</v>
      </c>
      <c r="FN43" s="0" t="n">
        <v>0</v>
      </c>
      <c r="FO43" s="0" t="n">
        <v>0.0425</v>
      </c>
      <c r="FP43" s="0" t="n">
        <v>0</v>
      </c>
    </row>
    <row r="44" customFormat="false" ht="13.8" hidden="false" customHeight="false" outlineLevel="0" collapsed="false">
      <c r="A44" s="2" t="s">
        <v>259</v>
      </c>
      <c r="B44" s="0" t="s">
        <v>173</v>
      </c>
      <c r="C44" s="0" t="n">
        <v>35</v>
      </c>
      <c r="D44" s="0" t="s">
        <v>260</v>
      </c>
      <c r="E44" s="0" t="e">
        <f aca="false">VLOOKUP(A44,[1]RHIZOMES!$A$1:$B$1048576,2,0)</f>
        <v>#N/A</v>
      </c>
      <c r="F44" s="0" t="n">
        <v>2.8093</v>
      </c>
      <c r="G44" s="0" t="n">
        <v>1526.1128</v>
      </c>
      <c r="H44" s="0" t="n">
        <v>169.1887</v>
      </c>
      <c r="I44" s="0" t="n">
        <v>531.5219</v>
      </c>
      <c r="J44" s="0" t="n">
        <v>1.08725</v>
      </c>
      <c r="K44" s="0" t="n">
        <v>0</v>
      </c>
      <c r="L44" s="0" t="n">
        <v>4.2742</v>
      </c>
      <c r="M44" s="0" t="n">
        <v>7.6294</v>
      </c>
      <c r="N44" s="0" t="n">
        <v>47.2538</v>
      </c>
      <c r="O44" s="0" t="n">
        <v>97.4013</v>
      </c>
      <c r="P44" s="0" t="n">
        <v>92.6341</v>
      </c>
      <c r="Q44" s="0" t="n">
        <v>141.6582</v>
      </c>
      <c r="R44" s="0" t="n">
        <v>88.0751</v>
      </c>
      <c r="S44" s="0" t="n">
        <v>77.7701</v>
      </c>
      <c r="T44" s="0" t="n">
        <v>61.6303</v>
      </c>
      <c r="U44" s="0" t="n">
        <v>77.8765</v>
      </c>
      <c r="V44" s="0" t="n">
        <v>38.0539</v>
      </c>
      <c r="W44" s="0" t="n">
        <v>65.8428</v>
      </c>
      <c r="X44" s="0" t="n">
        <v>37.1523</v>
      </c>
      <c r="Y44" s="0" t="n">
        <v>21.9276</v>
      </c>
      <c r="Z44" s="0" t="n">
        <v>29.3236</v>
      </c>
      <c r="AA44" s="0" t="n">
        <v>31.7407</v>
      </c>
      <c r="AB44" s="0" t="n">
        <v>28.8743</v>
      </c>
      <c r="AC44" s="0" t="n">
        <v>19.2606</v>
      </c>
      <c r="AD44" s="0" t="n">
        <v>24.1651</v>
      </c>
      <c r="AE44" s="0" t="n">
        <v>17.4698</v>
      </c>
      <c r="AF44" s="0" t="n">
        <v>21.2159</v>
      </c>
      <c r="AG44" s="0" t="n">
        <v>7.8482</v>
      </c>
      <c r="AH44" s="0" t="n">
        <v>16.7121</v>
      </c>
      <c r="AI44" s="0" t="n">
        <v>23.7347</v>
      </c>
      <c r="AJ44" s="0" t="n">
        <v>12.9894</v>
      </c>
      <c r="AK44" s="0" t="n">
        <v>23.4818</v>
      </c>
      <c r="AL44" s="0" t="n">
        <v>13.319</v>
      </c>
      <c r="AM44" s="0" t="n">
        <v>19.2539</v>
      </c>
      <c r="AN44" s="0" t="n">
        <v>20.7346</v>
      </c>
      <c r="AO44" s="0" t="n">
        <v>19.4526</v>
      </c>
      <c r="AP44" s="0" t="n">
        <v>17.6973</v>
      </c>
      <c r="AQ44" s="0" t="n">
        <v>19.1622</v>
      </c>
      <c r="AR44" s="0" t="n">
        <v>19.9299</v>
      </c>
      <c r="AS44" s="0" t="n">
        <v>19.2385</v>
      </c>
      <c r="AT44" s="0" t="n">
        <v>21.0353</v>
      </c>
      <c r="AU44" s="0" t="n">
        <v>24.314</v>
      </c>
      <c r="AV44" s="0" t="n">
        <v>10.3806</v>
      </c>
      <c r="AW44" s="0" t="n">
        <v>16.2349</v>
      </c>
      <c r="AX44" s="0" t="n">
        <v>18.1795</v>
      </c>
      <c r="AY44" s="0" t="n">
        <v>13.44</v>
      </c>
      <c r="AZ44" s="0" t="n">
        <v>16.9</v>
      </c>
      <c r="BA44" s="0" t="n">
        <v>7.9849</v>
      </c>
      <c r="BB44" s="0" t="n">
        <v>13.2182</v>
      </c>
      <c r="BC44" s="0" t="n">
        <v>11.0188</v>
      </c>
      <c r="BD44" s="0" t="n">
        <v>6.638</v>
      </c>
      <c r="BE44" s="0" t="n">
        <v>7.1321</v>
      </c>
      <c r="BF44" s="0" t="n">
        <v>6.5893</v>
      </c>
      <c r="BG44" s="0" t="n">
        <v>6.3614</v>
      </c>
      <c r="BH44" s="0" t="n">
        <v>5.4879</v>
      </c>
      <c r="BI44" s="0" t="n">
        <v>3.9029</v>
      </c>
      <c r="BJ44" s="0" t="n">
        <v>3.9962</v>
      </c>
      <c r="BK44" s="0" t="n">
        <v>5.3487</v>
      </c>
      <c r="BL44" s="0" t="n">
        <v>2.8615</v>
      </c>
      <c r="BM44" s="0" t="n">
        <v>2.8996</v>
      </c>
      <c r="BN44" s="0" t="n">
        <v>4.6512</v>
      </c>
      <c r="BO44" s="0" t="n">
        <v>2.3809</v>
      </c>
      <c r="BP44" s="0" t="n">
        <v>2.4952</v>
      </c>
      <c r="BQ44" s="0" t="n">
        <v>1.8225</v>
      </c>
      <c r="BR44" s="0" t="n">
        <v>2.2538</v>
      </c>
      <c r="BS44" s="0" t="n">
        <v>2.4539</v>
      </c>
      <c r="BT44" s="0" t="n">
        <v>3.1983</v>
      </c>
      <c r="BU44" s="0" t="n">
        <v>1.149</v>
      </c>
      <c r="BV44" s="0" t="n">
        <v>2.193</v>
      </c>
      <c r="BW44" s="0" t="n">
        <v>2.567</v>
      </c>
      <c r="BX44" s="0" t="n">
        <v>1.1878</v>
      </c>
      <c r="BY44" s="0" t="n">
        <v>2.16</v>
      </c>
      <c r="BZ44" s="0" t="n">
        <v>1.6964</v>
      </c>
      <c r="CA44" s="0" t="n">
        <v>0.9413</v>
      </c>
      <c r="CB44" s="0" t="n">
        <v>1.2267</v>
      </c>
      <c r="CC44" s="0" t="n">
        <v>2.273</v>
      </c>
      <c r="CD44" s="0" t="n">
        <v>1.3791</v>
      </c>
      <c r="CE44" s="0" t="n">
        <v>1.2338</v>
      </c>
      <c r="CF44" s="0" t="n">
        <v>1.1262</v>
      </c>
      <c r="CG44" s="0" t="n">
        <v>1.0237</v>
      </c>
      <c r="CH44" s="0" t="n">
        <v>0.8053</v>
      </c>
      <c r="CI44" s="0" t="n">
        <v>1.2094</v>
      </c>
      <c r="CJ44" s="0" t="n">
        <v>0.8666</v>
      </c>
      <c r="CK44" s="0" t="n">
        <v>1.3852</v>
      </c>
      <c r="CL44" s="0" t="n">
        <v>0.3797</v>
      </c>
      <c r="CM44" s="0" t="n">
        <v>12.6765</v>
      </c>
      <c r="CN44" s="0" t="n">
        <v>0</v>
      </c>
      <c r="CO44" s="0" t="n">
        <v>0.1211</v>
      </c>
      <c r="CP44" s="0" t="n">
        <v>0.3017</v>
      </c>
      <c r="CQ44" s="0" t="n">
        <v>2.7231</v>
      </c>
      <c r="CR44" s="0" t="n">
        <v>6.9751</v>
      </c>
      <c r="CS44" s="0" t="n">
        <v>7.7474</v>
      </c>
      <c r="CT44" s="0" t="n">
        <v>14.3095</v>
      </c>
      <c r="CU44" s="0" t="n">
        <v>10.4842</v>
      </c>
      <c r="CV44" s="0" t="n">
        <v>10.3747</v>
      </c>
      <c r="CW44" s="0" t="n">
        <v>9.038</v>
      </c>
      <c r="CX44" s="0" t="n">
        <v>12.9268</v>
      </c>
      <c r="CY44" s="0" t="n">
        <v>6.9059</v>
      </c>
      <c r="CZ44" s="0" t="n">
        <v>12.895</v>
      </c>
      <c r="DA44" s="0" t="n">
        <v>8.0179</v>
      </c>
      <c r="DB44" s="0" t="n">
        <v>4.9654</v>
      </c>
      <c r="DC44" s="0" t="n">
        <v>7.1007</v>
      </c>
      <c r="DD44" s="0" t="n">
        <v>8.2061</v>
      </c>
      <c r="DE44" s="0" t="n">
        <v>7.9781</v>
      </c>
      <c r="DF44" s="0" t="n">
        <v>5.5941</v>
      </c>
      <c r="DG44" s="0" t="n">
        <v>7.3967</v>
      </c>
      <c r="DH44" s="0" t="n">
        <v>5.5961</v>
      </c>
      <c r="DI44" s="0" t="n">
        <v>7.2052</v>
      </c>
      <c r="DJ44" s="0" t="n">
        <v>2.7972</v>
      </c>
      <c r="DK44" s="0" t="n">
        <v>6.1305</v>
      </c>
      <c r="DL44" s="0" t="n">
        <v>9.1645</v>
      </c>
      <c r="DM44" s="0" t="n">
        <v>5.2025</v>
      </c>
      <c r="DN44" s="0" t="n">
        <v>9.7916</v>
      </c>
      <c r="DO44" s="0" t="n">
        <v>5.7703</v>
      </c>
      <c r="DP44" s="0" t="n">
        <v>8.5757</v>
      </c>
      <c r="DQ44" s="0" t="n">
        <v>9.5991</v>
      </c>
      <c r="DR44" s="0" t="n">
        <v>9.3477</v>
      </c>
      <c r="DS44" s="0" t="n">
        <v>8.7285</v>
      </c>
      <c r="DT44" s="0" t="n">
        <v>9.7685</v>
      </c>
      <c r="DU44" s="0" t="n">
        <v>10.476</v>
      </c>
      <c r="DV44" s="0" t="n">
        <v>10.3818</v>
      </c>
      <c r="DW44" s="0" t="n">
        <v>11.6884</v>
      </c>
      <c r="DX44" s="0" t="n">
        <v>13.9584</v>
      </c>
      <c r="DY44" s="0" t="n">
        <v>6.1316</v>
      </c>
      <c r="DZ44" s="0" t="n">
        <v>9.7847</v>
      </c>
      <c r="EA44" s="0" t="n">
        <v>11.2905</v>
      </c>
      <c r="EB44" s="0" t="n">
        <v>8.5753</v>
      </c>
      <c r="EC44" s="0" t="n">
        <v>11.0496</v>
      </c>
      <c r="ED44" s="0" t="n">
        <v>5.3112</v>
      </c>
      <c r="EE44" s="0" t="n">
        <v>9.007</v>
      </c>
      <c r="EF44" s="0" t="n">
        <v>7.7272</v>
      </c>
      <c r="EG44" s="0" t="n">
        <v>4.7525</v>
      </c>
      <c r="EH44" s="0" t="n">
        <v>5.2097</v>
      </c>
      <c r="EI44" s="0" t="n">
        <v>4.912</v>
      </c>
      <c r="EJ44" s="0" t="n">
        <v>4.8355</v>
      </c>
      <c r="EK44" s="0" t="n">
        <v>4.2652</v>
      </c>
      <c r="EL44" s="0" t="n">
        <v>3.0952</v>
      </c>
      <c r="EM44" s="0" t="n">
        <v>3.2333</v>
      </c>
      <c r="EN44" s="0" t="n">
        <v>4.4236</v>
      </c>
      <c r="EO44" s="0" t="n">
        <v>2.408</v>
      </c>
      <c r="EP44" s="0" t="n">
        <v>2.4788</v>
      </c>
      <c r="EQ44" s="0" t="n">
        <v>4.0617</v>
      </c>
      <c r="ER44" s="0" t="n">
        <v>2.1093</v>
      </c>
      <c r="ES44" s="0" t="n">
        <v>2.2552</v>
      </c>
      <c r="ET44" s="0" t="n">
        <v>1.6781</v>
      </c>
      <c r="EU44" s="0" t="n">
        <v>2.1097</v>
      </c>
      <c r="EV44" s="0" t="n">
        <v>2.3287</v>
      </c>
      <c r="EW44" s="0" t="n">
        <v>3.086</v>
      </c>
      <c r="EX44" s="0" t="n">
        <v>1.1286</v>
      </c>
      <c r="EY44" s="0" t="n">
        <v>2.179</v>
      </c>
      <c r="EZ44" s="0" t="n">
        <v>2.5983</v>
      </c>
      <c r="FA44" s="0" t="n">
        <v>1.2247</v>
      </c>
      <c r="FB44" s="0" t="n">
        <v>2.2555</v>
      </c>
      <c r="FC44" s="0" t="n">
        <v>1.7996</v>
      </c>
      <c r="FD44" s="0" t="n">
        <v>1.0127</v>
      </c>
      <c r="FE44" s="0" t="n">
        <v>1.3369</v>
      </c>
      <c r="FF44" s="0" t="n">
        <v>2.5198</v>
      </c>
      <c r="FG44" s="0" t="n">
        <v>1.5538</v>
      </c>
      <c r="FH44" s="0" t="n">
        <v>1.4014</v>
      </c>
      <c r="FI44" s="0" t="n">
        <v>1.3015</v>
      </c>
      <c r="FJ44" s="0" t="n">
        <v>1.1981</v>
      </c>
      <c r="FK44" s="0" t="n">
        <v>0.9559</v>
      </c>
      <c r="FL44" s="0" t="n">
        <v>1.4557</v>
      </c>
      <c r="FM44" s="0" t="n">
        <v>1.0536</v>
      </c>
      <c r="FN44" s="0" t="n">
        <v>1.7077</v>
      </c>
      <c r="FO44" s="0" t="n">
        <v>0.4742</v>
      </c>
      <c r="FP44" s="0" t="n">
        <v>18.7336</v>
      </c>
    </row>
    <row r="45" customFormat="false" ht="13.8" hidden="false" customHeight="false" outlineLevel="0" collapsed="false">
      <c r="A45" s="2" t="s">
        <v>261</v>
      </c>
      <c r="B45" s="0" t="s">
        <v>199</v>
      </c>
      <c r="C45" s="0" t="s">
        <v>222</v>
      </c>
      <c r="D45" s="0" t="s">
        <v>223</v>
      </c>
      <c r="G45" s="0" t="n">
        <v>2979.4937</v>
      </c>
      <c r="H45" s="0" t="n">
        <v>374.5738</v>
      </c>
      <c r="I45" s="0" t="n">
        <v>1176.7583</v>
      </c>
      <c r="J45" s="0" t="n">
        <v>1.2695</v>
      </c>
      <c r="K45" s="0" t="n">
        <v>0.0603</v>
      </c>
      <c r="L45" s="0" t="n">
        <v>21.7917</v>
      </c>
      <c r="M45" s="0" t="n">
        <v>27.4572</v>
      </c>
      <c r="N45" s="0" t="n">
        <v>100.9186</v>
      </c>
      <c r="O45" s="0" t="n">
        <v>154.1871</v>
      </c>
      <c r="P45" s="0" t="n">
        <v>183.232</v>
      </c>
      <c r="Q45" s="0" t="n">
        <v>263.7097</v>
      </c>
      <c r="R45" s="0" t="n">
        <v>156.1791</v>
      </c>
      <c r="S45" s="0" t="n">
        <v>119.0023</v>
      </c>
      <c r="T45" s="0" t="n">
        <v>98.3905</v>
      </c>
      <c r="U45" s="0" t="n">
        <v>121.8939</v>
      </c>
      <c r="V45" s="0" t="n">
        <v>49.9073</v>
      </c>
      <c r="W45" s="0" t="n">
        <v>76.2306</v>
      </c>
      <c r="X45" s="0" t="n">
        <v>50.7351</v>
      </c>
      <c r="Y45" s="0" t="n">
        <v>39.7273</v>
      </c>
      <c r="Z45" s="0" t="n">
        <v>46.2218</v>
      </c>
      <c r="AA45" s="0" t="n">
        <v>52.6219</v>
      </c>
      <c r="AB45" s="0" t="n">
        <v>51.4922</v>
      </c>
      <c r="AC45" s="0" t="n">
        <v>38.1004</v>
      </c>
      <c r="AD45" s="0" t="n">
        <v>54.3144</v>
      </c>
      <c r="AE45" s="0" t="n">
        <v>36.6872</v>
      </c>
      <c r="AF45" s="0" t="n">
        <v>50.431</v>
      </c>
      <c r="AG45" s="0" t="n">
        <v>21.6841</v>
      </c>
      <c r="AH45" s="0" t="n">
        <v>34.6345</v>
      </c>
      <c r="AI45" s="0" t="n">
        <v>41.4945</v>
      </c>
      <c r="AJ45" s="0" t="n">
        <v>17.983</v>
      </c>
      <c r="AK45" s="0" t="n">
        <v>40.6655</v>
      </c>
      <c r="AL45" s="0" t="n">
        <v>23.2166</v>
      </c>
      <c r="AM45" s="0" t="n">
        <v>27.3026</v>
      </c>
      <c r="AN45" s="0" t="n">
        <v>34.207</v>
      </c>
      <c r="AO45" s="0" t="n">
        <v>33.9479</v>
      </c>
      <c r="AP45" s="0" t="n">
        <v>30.9638</v>
      </c>
      <c r="AQ45" s="0" t="n">
        <v>36.4275</v>
      </c>
      <c r="AR45" s="0" t="n">
        <v>45.6545</v>
      </c>
      <c r="AS45" s="0" t="n">
        <v>32.4261</v>
      </c>
      <c r="AT45" s="0" t="n">
        <v>52.4162</v>
      </c>
      <c r="AU45" s="0" t="n">
        <v>47.5193</v>
      </c>
      <c r="AV45" s="0" t="n">
        <v>23.1343</v>
      </c>
      <c r="AW45" s="0" t="n">
        <v>36.0738</v>
      </c>
      <c r="AX45" s="0" t="n">
        <v>41.6379</v>
      </c>
      <c r="AY45" s="0" t="n">
        <v>27.2834</v>
      </c>
      <c r="AZ45" s="0" t="n">
        <v>41.0571</v>
      </c>
      <c r="BA45" s="0" t="n">
        <v>19.657</v>
      </c>
      <c r="BB45" s="0" t="n">
        <v>42.2446</v>
      </c>
      <c r="BC45" s="0" t="n">
        <v>30.3891</v>
      </c>
      <c r="BD45" s="0" t="n">
        <v>27.8148</v>
      </c>
      <c r="BE45" s="0" t="n">
        <v>24.9784</v>
      </c>
      <c r="BF45" s="0" t="n">
        <v>25.7173</v>
      </c>
      <c r="BG45" s="0" t="n">
        <v>32.3263</v>
      </c>
      <c r="BH45" s="0" t="n">
        <v>34.1348</v>
      </c>
      <c r="BI45" s="0" t="n">
        <v>23.4211</v>
      </c>
      <c r="BJ45" s="0" t="n">
        <v>21.0873</v>
      </c>
      <c r="BK45" s="0" t="n">
        <v>24.5333</v>
      </c>
      <c r="BL45" s="0" t="n">
        <v>16.8187</v>
      </c>
      <c r="BM45" s="0" t="n">
        <v>22.3345</v>
      </c>
      <c r="BN45" s="0" t="n">
        <v>20.0528</v>
      </c>
      <c r="BO45" s="0" t="n">
        <v>14.7205</v>
      </c>
      <c r="BP45" s="0" t="n">
        <v>14.684</v>
      </c>
      <c r="BQ45" s="0" t="n">
        <v>11.5638</v>
      </c>
      <c r="BR45" s="0" t="n">
        <v>11.8021</v>
      </c>
      <c r="BS45" s="0" t="n">
        <v>9.9144</v>
      </c>
      <c r="BT45" s="0" t="n">
        <v>10.2045</v>
      </c>
      <c r="BU45" s="0" t="n">
        <v>4.0214</v>
      </c>
      <c r="BV45" s="0" t="n">
        <v>6.5541</v>
      </c>
      <c r="BW45" s="0" t="n">
        <v>5.1187</v>
      </c>
      <c r="BX45" s="0" t="n">
        <v>2.6481</v>
      </c>
      <c r="BY45" s="0" t="n">
        <v>2.4419</v>
      </c>
      <c r="BZ45" s="0" t="n">
        <v>4.2555</v>
      </c>
      <c r="CA45" s="0" t="n">
        <v>3.6093</v>
      </c>
      <c r="CB45" s="0" t="n">
        <v>2.5711</v>
      </c>
      <c r="CC45" s="0" t="n">
        <v>1.9643</v>
      </c>
      <c r="CD45" s="0" t="n">
        <v>3.4347</v>
      </c>
      <c r="CE45" s="0" t="n">
        <v>2.3274</v>
      </c>
      <c r="CF45" s="0" t="n">
        <v>0.9206</v>
      </c>
      <c r="CG45" s="0" t="n">
        <v>2.2599</v>
      </c>
      <c r="CH45" s="0" t="n">
        <v>0.4541</v>
      </c>
      <c r="CI45" s="0" t="n">
        <v>0.9298</v>
      </c>
      <c r="CJ45" s="0" t="n">
        <v>1.4751</v>
      </c>
      <c r="CK45" s="0" t="n">
        <v>1.0983</v>
      </c>
      <c r="CL45" s="0" t="n">
        <v>0.6034</v>
      </c>
      <c r="CM45" s="0" t="n">
        <v>11.057</v>
      </c>
      <c r="CN45" s="0" t="n">
        <v>0.0007</v>
      </c>
      <c r="CO45" s="0" t="n">
        <v>0.5699</v>
      </c>
      <c r="CP45" s="0" t="n">
        <v>1.0777</v>
      </c>
      <c r="CQ45" s="0" t="n">
        <v>5.7215</v>
      </c>
      <c r="CR45" s="0" t="n">
        <v>11.2441</v>
      </c>
      <c r="CS45" s="0" t="n">
        <v>15.8562</v>
      </c>
      <c r="CT45" s="0" t="n">
        <v>26.6314</v>
      </c>
      <c r="CU45" s="0" t="n">
        <v>18.5266</v>
      </c>
      <c r="CV45" s="0" t="n">
        <v>15.8541</v>
      </c>
      <c r="CW45" s="0" t="n">
        <v>14.4299</v>
      </c>
      <c r="CX45" s="0" t="n">
        <v>20.2291</v>
      </c>
      <c r="CY45" s="0" t="n">
        <v>9.0913</v>
      </c>
      <c r="CZ45" s="0" t="n">
        <v>14.9311</v>
      </c>
      <c r="DA45" s="0" t="n">
        <v>10.9417</v>
      </c>
      <c r="DB45" s="0" t="n">
        <v>9.006</v>
      </c>
      <c r="DC45" s="0" t="n">
        <v>11.1883</v>
      </c>
      <c r="DD45" s="0" t="n">
        <v>13.5647</v>
      </c>
      <c r="DE45" s="0" t="n">
        <v>14.2287</v>
      </c>
      <c r="DF45" s="0" t="n">
        <v>11.0878</v>
      </c>
      <c r="DG45" s="0" t="n">
        <v>16.6411</v>
      </c>
      <c r="DH45" s="0" t="n">
        <v>11.7464</v>
      </c>
      <c r="DI45" s="0" t="n">
        <v>17.1083</v>
      </c>
      <c r="DJ45" s="0" t="n">
        <v>7.74</v>
      </c>
      <c r="DK45" s="0" t="n">
        <v>12.707</v>
      </c>
      <c r="DL45" s="0" t="n">
        <v>16.04</v>
      </c>
      <c r="DM45" s="0" t="n">
        <v>7.1917</v>
      </c>
      <c r="DN45" s="0" t="n">
        <v>16.9419</v>
      </c>
      <c r="DO45" s="0" t="n">
        <v>10.0532</v>
      </c>
      <c r="DP45" s="0" t="n">
        <v>12.1541</v>
      </c>
      <c r="DQ45" s="0" t="n">
        <v>15.8333</v>
      </c>
      <c r="DR45" s="0" t="n">
        <v>16.3553</v>
      </c>
      <c r="DS45" s="0" t="n">
        <v>15.2726</v>
      </c>
      <c r="DT45" s="0" t="n">
        <v>18.5447</v>
      </c>
      <c r="DU45" s="0" t="n">
        <v>24.055</v>
      </c>
      <c r="DV45" s="0" t="n">
        <v>17.5353</v>
      </c>
      <c r="DW45" s="0" t="n">
        <v>29.1254</v>
      </c>
      <c r="DX45" s="0" t="n">
        <v>27.2758</v>
      </c>
      <c r="DY45" s="0" t="n">
        <v>13.6791</v>
      </c>
      <c r="DZ45" s="0" t="n">
        <v>21.7409</v>
      </c>
      <c r="EA45" s="0" t="n">
        <v>25.8492</v>
      </c>
      <c r="EB45" s="0" t="n">
        <v>17.3853</v>
      </c>
      <c r="EC45" s="0" t="n">
        <v>26.8139</v>
      </c>
      <c r="ED45" s="0" t="n">
        <v>13.056</v>
      </c>
      <c r="EE45" s="0" t="n">
        <v>28.772</v>
      </c>
      <c r="EF45" s="0" t="n">
        <v>21.3069</v>
      </c>
      <c r="EG45" s="0" t="n">
        <v>19.9494</v>
      </c>
      <c r="EH45" s="0" t="n">
        <v>18.2716</v>
      </c>
      <c r="EI45" s="0" t="n">
        <v>19.1472</v>
      </c>
      <c r="EJ45" s="0" t="n">
        <v>24.5887</v>
      </c>
      <c r="EK45" s="0" t="n">
        <v>26.579</v>
      </c>
      <c r="EL45" s="0" t="n">
        <v>18.576</v>
      </c>
      <c r="EM45" s="0" t="n">
        <v>17.0381</v>
      </c>
      <c r="EN45" s="0" t="n">
        <v>20.2482</v>
      </c>
      <c r="EO45" s="0" t="n">
        <v>14.1556</v>
      </c>
      <c r="EP45" s="0" t="n">
        <v>19.1188</v>
      </c>
      <c r="EQ45" s="0" t="n">
        <v>17.4995</v>
      </c>
      <c r="ER45" s="0" t="n">
        <v>13.0625</v>
      </c>
      <c r="ES45" s="0" t="n">
        <v>13.2398</v>
      </c>
      <c r="ET45" s="0" t="n">
        <v>10.614</v>
      </c>
      <c r="EU45" s="0" t="n">
        <v>11.0264</v>
      </c>
      <c r="EV45" s="0" t="n">
        <v>9.4338</v>
      </c>
      <c r="EW45" s="0" t="n">
        <v>9.8649</v>
      </c>
      <c r="EX45" s="0" t="n">
        <v>3.941</v>
      </c>
      <c r="EY45" s="0" t="n">
        <v>6.521</v>
      </c>
      <c r="EZ45" s="0" t="n">
        <v>5.1905</v>
      </c>
      <c r="FA45" s="0" t="n">
        <v>2.7319</v>
      </c>
      <c r="FB45" s="0" t="n">
        <v>2.5425</v>
      </c>
      <c r="FC45" s="0" t="n">
        <v>4.4973</v>
      </c>
      <c r="FD45" s="0" t="n">
        <v>3.8872</v>
      </c>
      <c r="FE45" s="0" t="n">
        <v>2.8106</v>
      </c>
      <c r="FF45" s="0" t="n">
        <v>2.1801</v>
      </c>
      <c r="FG45" s="0" t="n">
        <v>3.8563</v>
      </c>
      <c r="FH45" s="0" t="n">
        <v>2.6542</v>
      </c>
      <c r="FI45" s="0" t="n">
        <v>1.0627</v>
      </c>
      <c r="FJ45" s="0" t="n">
        <v>2.6456</v>
      </c>
      <c r="FK45" s="0" t="n">
        <v>0.5389</v>
      </c>
      <c r="FL45" s="0" t="n">
        <v>1.1158</v>
      </c>
      <c r="FM45" s="0" t="n">
        <v>1.7969</v>
      </c>
      <c r="FN45" s="0" t="n">
        <v>1.3553</v>
      </c>
      <c r="FO45" s="0" t="n">
        <v>0.7529</v>
      </c>
      <c r="FP45" s="0" t="n">
        <v>15.7391</v>
      </c>
    </row>
    <row r="46" customFormat="false" ht="13.8" hidden="false" customHeight="false" outlineLevel="0" collapsed="false">
      <c r="A46" s="2" t="s">
        <v>262</v>
      </c>
      <c r="B46" s="0" t="s">
        <v>176</v>
      </c>
      <c r="C46" s="0" t="n">
        <v>261</v>
      </c>
      <c r="D46" s="0" t="s">
        <v>263</v>
      </c>
      <c r="G46" s="0" t="n">
        <v>2304.6939</v>
      </c>
      <c r="H46" s="0" t="n">
        <v>187.8463</v>
      </c>
      <c r="I46" s="0" t="n">
        <v>590.1365</v>
      </c>
      <c r="J46" s="0" t="n">
        <v>0.833875</v>
      </c>
      <c r="K46" s="0" t="n">
        <v>0</v>
      </c>
      <c r="L46" s="0" t="n">
        <v>127.7233</v>
      </c>
      <c r="M46" s="0" t="n">
        <v>119.9002</v>
      </c>
      <c r="N46" s="0" t="n">
        <v>170.6575</v>
      </c>
      <c r="O46" s="0" t="n">
        <v>152.8844</v>
      </c>
      <c r="P46" s="0" t="n">
        <v>121.9677</v>
      </c>
      <c r="Q46" s="0" t="n">
        <v>86.4084</v>
      </c>
      <c r="R46" s="0" t="n">
        <v>87.6222</v>
      </c>
      <c r="S46" s="0" t="n">
        <v>46.0295</v>
      </c>
      <c r="T46" s="0" t="n">
        <v>53.6213</v>
      </c>
      <c r="U46" s="0" t="n">
        <v>61.6451</v>
      </c>
      <c r="V46" s="0" t="n">
        <v>47.4975</v>
      </c>
      <c r="W46" s="0" t="n">
        <v>43.0524</v>
      </c>
      <c r="X46" s="0" t="n">
        <v>42.9627</v>
      </c>
      <c r="Y46" s="0" t="n">
        <v>36.6058</v>
      </c>
      <c r="Z46" s="0" t="n">
        <v>39.3189</v>
      </c>
      <c r="AA46" s="0" t="n">
        <v>39.4096</v>
      </c>
      <c r="AB46" s="0" t="n">
        <v>38.5264</v>
      </c>
      <c r="AC46" s="0" t="n">
        <v>37.3965</v>
      </c>
      <c r="AD46" s="0" t="n">
        <v>46.6717</v>
      </c>
      <c r="AE46" s="0" t="n">
        <v>51.6016</v>
      </c>
      <c r="AF46" s="0" t="n">
        <v>63.1117</v>
      </c>
      <c r="AG46" s="0" t="n">
        <v>59.351</v>
      </c>
      <c r="AH46" s="0" t="n">
        <v>58.0863</v>
      </c>
      <c r="AI46" s="0" t="n">
        <v>60.823</v>
      </c>
      <c r="AJ46" s="0" t="n">
        <v>65.0853</v>
      </c>
      <c r="AK46" s="0" t="n">
        <v>79.8889</v>
      </c>
      <c r="AL46" s="0" t="n">
        <v>70.1846</v>
      </c>
      <c r="AM46" s="0" t="n">
        <v>56.882</v>
      </c>
      <c r="AN46" s="0" t="n">
        <v>52.3785</v>
      </c>
      <c r="AO46" s="0" t="n">
        <v>52.462</v>
      </c>
      <c r="AP46" s="0" t="n">
        <v>45.8287</v>
      </c>
      <c r="AQ46" s="0" t="n">
        <v>38.3846</v>
      </c>
      <c r="AR46" s="0" t="n">
        <v>38.1054</v>
      </c>
      <c r="AS46" s="0" t="n">
        <v>25.3599</v>
      </c>
      <c r="AT46" s="0" t="n">
        <v>28.5453</v>
      </c>
      <c r="AU46" s="0" t="n">
        <v>17.9977</v>
      </c>
      <c r="AV46" s="0" t="n">
        <v>10.2924</v>
      </c>
      <c r="AW46" s="0" t="n">
        <v>6.7278</v>
      </c>
      <c r="AX46" s="0" t="n">
        <v>5.2265</v>
      </c>
      <c r="AY46" s="0" t="n">
        <v>3.5348</v>
      </c>
      <c r="AZ46" s="0" t="n">
        <v>1.6217</v>
      </c>
      <c r="BA46" s="0" t="n">
        <v>3.3616</v>
      </c>
      <c r="BB46" s="0" t="n">
        <v>1.7529</v>
      </c>
      <c r="BC46" s="0" t="n">
        <v>1.2563</v>
      </c>
      <c r="BD46" s="0" t="n">
        <v>1.165</v>
      </c>
      <c r="BE46" s="0" t="n">
        <v>1.2812</v>
      </c>
      <c r="BF46" s="0" t="n">
        <v>0.6114</v>
      </c>
      <c r="BG46" s="0" t="n">
        <v>0.5523</v>
      </c>
      <c r="BH46" s="0" t="n">
        <v>0.385</v>
      </c>
      <c r="BI46" s="0" t="n">
        <v>0.3237</v>
      </c>
      <c r="BJ46" s="0" t="n">
        <v>0.1774</v>
      </c>
      <c r="BK46" s="0" t="n">
        <v>0.3626</v>
      </c>
      <c r="BL46" s="0" t="n">
        <v>0.2047</v>
      </c>
      <c r="BM46" s="0" t="n">
        <v>0.0517</v>
      </c>
      <c r="BN46" s="0" t="n">
        <v>0.2092</v>
      </c>
      <c r="BO46" s="0" t="n">
        <v>0.048</v>
      </c>
      <c r="BP46" s="0" t="n">
        <v>0.029</v>
      </c>
      <c r="BQ46" s="0" t="n">
        <v>0.1077</v>
      </c>
      <c r="BR46" s="0" t="n">
        <v>0.0723</v>
      </c>
      <c r="BS46" s="0" t="n">
        <v>0.0517</v>
      </c>
      <c r="BT46" s="0" t="n">
        <v>0.0454</v>
      </c>
      <c r="BU46" s="0" t="n">
        <v>0.0069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0.0902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3.3784</v>
      </c>
      <c r="CP46" s="0" t="n">
        <v>4.5981</v>
      </c>
      <c r="CQ46" s="0" t="n">
        <v>9.3991</v>
      </c>
      <c r="CR46" s="0" t="n">
        <v>10.6469</v>
      </c>
      <c r="CS46" s="0" t="n">
        <v>10.5084</v>
      </c>
      <c r="CT46" s="0" t="n">
        <v>8.8103</v>
      </c>
      <c r="CU46" s="0" t="n">
        <v>10.333</v>
      </c>
      <c r="CV46" s="0" t="n">
        <v>6.1453</v>
      </c>
      <c r="CW46" s="0" t="n">
        <v>7.992</v>
      </c>
      <c r="CX46" s="0" t="n">
        <v>10.1202</v>
      </c>
      <c r="CY46" s="0" t="n">
        <v>8.5797</v>
      </c>
      <c r="CZ46" s="0" t="n">
        <v>8.4498</v>
      </c>
      <c r="DA46" s="0" t="n">
        <v>9.094</v>
      </c>
      <c r="DB46" s="0" t="n">
        <v>8.3416</v>
      </c>
      <c r="DC46" s="0" t="n">
        <v>9.5973</v>
      </c>
      <c r="DD46" s="0" t="n">
        <v>10.2018</v>
      </c>
      <c r="DE46" s="0" t="n">
        <v>10.5753</v>
      </c>
      <c r="DF46" s="0" t="n">
        <v>10.8647</v>
      </c>
      <c r="DG46" s="0" t="n">
        <v>14.2908</v>
      </c>
      <c r="DH46" s="0" t="n">
        <v>16.6067</v>
      </c>
      <c r="DI46" s="0" t="n">
        <v>21.3516</v>
      </c>
      <c r="DJ46" s="0" t="n">
        <v>20.932</v>
      </c>
      <c r="DK46" s="0" t="n">
        <v>21.4379</v>
      </c>
      <c r="DL46" s="0" t="n">
        <v>23.4281</v>
      </c>
      <c r="DM46" s="0" t="n">
        <v>26.0214</v>
      </c>
      <c r="DN46" s="0" t="n">
        <v>33.2326</v>
      </c>
      <c r="DO46" s="0" t="n">
        <v>30.3731</v>
      </c>
      <c r="DP46" s="0" t="n">
        <v>25.4481</v>
      </c>
      <c r="DQ46" s="0" t="n">
        <v>24.265</v>
      </c>
      <c r="DR46" s="0" t="n">
        <v>25.1267</v>
      </c>
      <c r="DS46" s="0" t="n">
        <v>22.6986</v>
      </c>
      <c r="DT46" s="0" t="n">
        <v>19.5839</v>
      </c>
      <c r="DU46" s="0" t="n">
        <v>20.0501</v>
      </c>
      <c r="DV46" s="0" t="n">
        <v>13.7203</v>
      </c>
      <c r="DW46" s="0" t="n">
        <v>15.8886</v>
      </c>
      <c r="DX46" s="0" t="n">
        <v>10.327</v>
      </c>
      <c r="DY46" s="0" t="n">
        <v>6.0565</v>
      </c>
      <c r="DZ46" s="0" t="n">
        <v>4.0688</v>
      </c>
      <c r="EA46" s="0" t="n">
        <v>3.2367</v>
      </c>
      <c r="EB46" s="0" t="n">
        <v>2.2529</v>
      </c>
      <c r="EC46" s="0" t="n">
        <v>1.0566</v>
      </c>
      <c r="ED46" s="0" t="n">
        <v>2.2425</v>
      </c>
      <c r="EE46" s="0" t="n">
        <v>1.1989</v>
      </c>
      <c r="EF46" s="0" t="n">
        <v>0.8761</v>
      </c>
      <c r="EG46" s="0" t="n">
        <v>0.8312</v>
      </c>
      <c r="EH46" s="0" t="n">
        <v>0.9329</v>
      </c>
      <c r="EI46" s="0" t="n">
        <v>0.4545</v>
      </c>
      <c r="EJ46" s="0" t="n">
        <v>0.4221</v>
      </c>
      <c r="EK46" s="0" t="n">
        <v>0.3002</v>
      </c>
      <c r="EL46" s="0" t="n">
        <v>0.2569</v>
      </c>
      <c r="EM46" s="0" t="n">
        <v>0.1438</v>
      </c>
      <c r="EN46" s="0" t="n">
        <v>0.2983</v>
      </c>
      <c r="EO46" s="0" t="n">
        <v>0.1721</v>
      </c>
      <c r="EP46" s="0" t="n">
        <v>0.0442</v>
      </c>
      <c r="EQ46" s="0" t="n">
        <v>0.1818</v>
      </c>
      <c r="ER46" s="0" t="n">
        <v>0.0426</v>
      </c>
      <c r="ES46" s="0" t="n">
        <v>0.0263</v>
      </c>
      <c r="ET46" s="0" t="n">
        <v>0.0989</v>
      </c>
      <c r="EU46" s="0" t="n">
        <v>0.0677</v>
      </c>
      <c r="EV46" s="0" t="n">
        <v>0.0489</v>
      </c>
      <c r="EW46" s="0" t="n">
        <v>0.0439</v>
      </c>
      <c r="EX46" s="0" t="n">
        <v>0.0068</v>
      </c>
      <c r="EY46" s="0" t="n">
        <v>0</v>
      </c>
      <c r="EZ46" s="0" t="n">
        <v>0</v>
      </c>
      <c r="FA46" s="0" t="n">
        <v>0</v>
      </c>
      <c r="FB46" s="0" t="n">
        <v>0</v>
      </c>
      <c r="FC46" s="0" t="n">
        <v>0</v>
      </c>
      <c r="FD46" s="0" t="n">
        <v>0</v>
      </c>
      <c r="FE46" s="0" t="n">
        <v>0</v>
      </c>
      <c r="FF46" s="0" t="n">
        <v>0</v>
      </c>
      <c r="FG46" s="0" t="n">
        <v>0.101</v>
      </c>
      <c r="FH46" s="0" t="n">
        <v>0</v>
      </c>
      <c r="FI46" s="0" t="n">
        <v>0</v>
      </c>
      <c r="FJ46" s="0" t="n">
        <v>0</v>
      </c>
      <c r="FK46" s="0" t="n">
        <v>0</v>
      </c>
      <c r="FL46" s="0" t="n">
        <v>0</v>
      </c>
      <c r="FM46" s="0" t="n">
        <v>0</v>
      </c>
      <c r="FN46" s="0" t="n">
        <v>0</v>
      </c>
      <c r="FO46" s="0" t="n">
        <v>0</v>
      </c>
      <c r="FP46" s="0" t="n">
        <v>0</v>
      </c>
    </row>
    <row r="47" customFormat="false" ht="13.8" hidden="false" customHeight="false" outlineLevel="0" collapsed="false">
      <c r="A47" s="4" t="s">
        <v>264</v>
      </c>
      <c r="B47" s="0" t="e">
        <f aca="false">#N/A</f>
        <v>#N/A</v>
      </c>
      <c r="C47" s="0" t="e">
        <f aca="false">#N/A</f>
        <v>#N/A</v>
      </c>
      <c r="D47" s="0" t="e">
        <f aca="false">#N/A</f>
        <v>#N/A</v>
      </c>
      <c r="G47" s="0" t="n">
        <v>2689.3926</v>
      </c>
      <c r="H47" s="0" t="n">
        <v>210.0984</v>
      </c>
      <c r="I47" s="0" t="n">
        <v>660.0437</v>
      </c>
      <c r="J47" s="0" t="n">
        <v>0.7196</v>
      </c>
      <c r="K47" s="0" t="n">
        <v>0.0191</v>
      </c>
      <c r="L47" s="0" t="n">
        <v>228.9917</v>
      </c>
      <c r="M47" s="0" t="n">
        <v>213.8627</v>
      </c>
      <c r="N47" s="0" t="n">
        <v>304.945</v>
      </c>
      <c r="O47" s="0" t="n">
        <v>228.4872</v>
      </c>
      <c r="P47" s="0" t="n">
        <v>155.6218</v>
      </c>
      <c r="Q47" s="0" t="n">
        <v>104.5381</v>
      </c>
      <c r="R47" s="0" t="n">
        <v>96.5709</v>
      </c>
      <c r="S47" s="0" t="n">
        <v>59.9408</v>
      </c>
      <c r="T47" s="0" t="n">
        <v>54.6764</v>
      </c>
      <c r="U47" s="0" t="n">
        <v>61.9708</v>
      </c>
      <c r="V47" s="0" t="n">
        <v>52.9868</v>
      </c>
      <c r="W47" s="0" t="n">
        <v>38.6487</v>
      </c>
      <c r="X47" s="0" t="n">
        <v>43.2786</v>
      </c>
      <c r="Y47" s="0" t="n">
        <v>37.9599</v>
      </c>
      <c r="Z47" s="0" t="n">
        <v>37.4862</v>
      </c>
      <c r="AA47" s="0" t="n">
        <v>35.8242</v>
      </c>
      <c r="AB47" s="0" t="n">
        <v>27.1465</v>
      </c>
      <c r="AC47" s="0" t="n">
        <v>30.3279</v>
      </c>
      <c r="AD47" s="0" t="n">
        <v>41.6404</v>
      </c>
      <c r="AE47" s="0" t="n">
        <v>35.4076</v>
      </c>
      <c r="AF47" s="0" t="n">
        <v>39.1658</v>
      </c>
      <c r="AG47" s="0" t="n">
        <v>40.1508</v>
      </c>
      <c r="AH47" s="0" t="n">
        <v>37.0892</v>
      </c>
      <c r="AI47" s="0" t="n">
        <v>31.7739</v>
      </c>
      <c r="AJ47" s="0" t="n">
        <v>39.8498</v>
      </c>
      <c r="AK47" s="0" t="n">
        <v>43.0468</v>
      </c>
      <c r="AL47" s="0" t="n">
        <v>44.8298</v>
      </c>
      <c r="AM47" s="0" t="n">
        <v>39.5071</v>
      </c>
      <c r="AN47" s="0" t="n">
        <v>37.9547</v>
      </c>
      <c r="AO47" s="0" t="n">
        <v>40.6066</v>
      </c>
      <c r="AP47" s="0" t="n">
        <v>36.0788</v>
      </c>
      <c r="AQ47" s="0" t="n">
        <v>34.78</v>
      </c>
      <c r="AR47" s="0" t="n">
        <v>40.0488</v>
      </c>
      <c r="AS47" s="0" t="n">
        <v>35.3804</v>
      </c>
      <c r="AT47" s="0" t="n">
        <v>32.1015</v>
      </c>
      <c r="AU47" s="0" t="n">
        <v>25.6601</v>
      </c>
      <c r="AV47" s="0" t="n">
        <v>20.3238</v>
      </c>
      <c r="AW47" s="0" t="n">
        <v>16.5843</v>
      </c>
      <c r="AX47" s="0" t="n">
        <v>16.8163</v>
      </c>
      <c r="AY47" s="0" t="n">
        <v>14.9615</v>
      </c>
      <c r="AZ47" s="0" t="n">
        <v>13.1426</v>
      </c>
      <c r="BA47" s="0" t="n">
        <v>13.1231</v>
      </c>
      <c r="BB47" s="0" t="n">
        <v>7.8723</v>
      </c>
      <c r="BC47" s="0" t="n">
        <v>6.0025</v>
      </c>
      <c r="BD47" s="0" t="n">
        <v>8.7039</v>
      </c>
      <c r="BE47" s="0" t="n">
        <v>6.3788</v>
      </c>
      <c r="BF47" s="0" t="n">
        <v>5.7197</v>
      </c>
      <c r="BG47" s="0" t="n">
        <v>5.3519</v>
      </c>
      <c r="BH47" s="0" t="n">
        <v>3.6599</v>
      </c>
      <c r="BI47" s="0" t="n">
        <v>4.1041</v>
      </c>
      <c r="BJ47" s="0" t="n">
        <v>5.4804</v>
      </c>
      <c r="BK47" s="0" t="n">
        <v>4.4951</v>
      </c>
      <c r="BL47" s="0" t="n">
        <v>2.9947</v>
      </c>
      <c r="BM47" s="0" t="n">
        <v>2.8363</v>
      </c>
      <c r="BN47" s="0" t="n">
        <v>3.1942</v>
      </c>
      <c r="BO47" s="0" t="n">
        <v>2.9538</v>
      </c>
      <c r="BP47" s="0" t="n">
        <v>2.7013</v>
      </c>
      <c r="BQ47" s="0" t="n">
        <v>4.2391</v>
      </c>
      <c r="BR47" s="0" t="n">
        <v>2.0981</v>
      </c>
      <c r="BS47" s="0" t="n">
        <v>2.4777</v>
      </c>
      <c r="BT47" s="0" t="n">
        <v>2.5906</v>
      </c>
      <c r="BU47" s="0" t="n">
        <v>1.2546</v>
      </c>
      <c r="BV47" s="0" t="n">
        <v>1.3252</v>
      </c>
      <c r="BW47" s="0" t="n">
        <v>2.0907</v>
      </c>
      <c r="BX47" s="0" t="n">
        <v>0.8816</v>
      </c>
      <c r="BY47" s="0" t="n">
        <v>0.7794</v>
      </c>
      <c r="BZ47" s="0" t="n">
        <v>1.2426</v>
      </c>
      <c r="CA47" s="0" t="n">
        <v>0.7192</v>
      </c>
      <c r="CB47" s="0" t="n">
        <v>0.585</v>
      </c>
      <c r="CC47" s="0" t="n">
        <v>1.1208</v>
      </c>
      <c r="CD47" s="0" t="n">
        <v>0.5909</v>
      </c>
      <c r="CE47" s="0" t="n">
        <v>1.3488</v>
      </c>
      <c r="CF47" s="0" t="n">
        <v>0.5122</v>
      </c>
      <c r="CG47" s="0" t="n">
        <v>0.4701</v>
      </c>
      <c r="CH47" s="0" t="n">
        <v>0.5151</v>
      </c>
      <c r="CI47" s="0" t="n">
        <v>1.0339</v>
      </c>
      <c r="CJ47" s="0" t="n">
        <v>0.1576</v>
      </c>
      <c r="CK47" s="0" t="n">
        <v>0.6814</v>
      </c>
      <c r="CL47" s="0" t="n">
        <v>0.4331</v>
      </c>
      <c r="CM47" s="0" t="n">
        <v>5.4816</v>
      </c>
      <c r="CN47" s="0" t="n">
        <v>0.0002</v>
      </c>
      <c r="CO47" s="0" t="n">
        <v>6.0568</v>
      </c>
      <c r="CP47" s="0" t="n">
        <v>8.3021</v>
      </c>
      <c r="CQ47" s="0" t="n">
        <v>16.7442</v>
      </c>
      <c r="CR47" s="0" t="n">
        <v>15.8755</v>
      </c>
      <c r="CS47" s="0" t="n">
        <v>13.39</v>
      </c>
      <c r="CT47" s="0" t="n">
        <v>10.6608</v>
      </c>
      <c r="CU47" s="0" t="n">
        <v>11.3784</v>
      </c>
      <c r="CV47" s="0" t="n">
        <v>7.9924</v>
      </c>
      <c r="CW47" s="0" t="n">
        <v>8.1453</v>
      </c>
      <c r="CX47" s="0" t="n">
        <v>10.2081</v>
      </c>
      <c r="CY47" s="0" t="n">
        <v>9.5894</v>
      </c>
      <c r="CZ47" s="0" t="n">
        <v>7.5861</v>
      </c>
      <c r="DA47" s="0" t="n">
        <v>9.1549</v>
      </c>
      <c r="DB47" s="0" t="n">
        <v>8.6586</v>
      </c>
      <c r="DC47" s="0" t="n">
        <v>9.1344</v>
      </c>
      <c r="DD47" s="0" t="n">
        <v>9.2753</v>
      </c>
      <c r="DE47" s="0" t="n">
        <v>7.449</v>
      </c>
      <c r="DF47" s="0" t="n">
        <v>8.8298</v>
      </c>
      <c r="DG47" s="0" t="n">
        <v>12.7418</v>
      </c>
      <c r="DH47" s="0" t="n">
        <v>11.4112</v>
      </c>
      <c r="DI47" s="0" t="n">
        <v>13.2688</v>
      </c>
      <c r="DJ47" s="0" t="n">
        <v>14.1488</v>
      </c>
      <c r="DK47" s="0" t="n">
        <v>13.6918</v>
      </c>
      <c r="DL47" s="0" t="n">
        <v>12.2362</v>
      </c>
      <c r="DM47" s="0" t="n">
        <v>15.9583</v>
      </c>
      <c r="DN47" s="0" t="n">
        <v>17.9162</v>
      </c>
      <c r="DO47" s="0" t="n">
        <v>19.3786</v>
      </c>
      <c r="DP47" s="0" t="n">
        <v>17.6805</v>
      </c>
      <c r="DQ47" s="0" t="n">
        <v>17.5631</v>
      </c>
      <c r="DR47" s="0" t="n">
        <v>19.4478</v>
      </c>
      <c r="DS47" s="0" t="n">
        <v>17.8741</v>
      </c>
      <c r="DT47" s="0" t="n">
        <v>17.7383</v>
      </c>
      <c r="DU47" s="0" t="n">
        <v>21.0813</v>
      </c>
      <c r="DV47" s="0" t="n">
        <v>19.1694</v>
      </c>
      <c r="DW47" s="0" t="n">
        <v>17.882</v>
      </c>
      <c r="DX47" s="0" t="n">
        <v>14.7292</v>
      </c>
      <c r="DY47" s="0" t="n">
        <v>11.9661</v>
      </c>
      <c r="DZ47" s="0" t="n">
        <v>10.0129</v>
      </c>
      <c r="EA47" s="0" t="n">
        <v>10.4442</v>
      </c>
      <c r="EB47" s="0" t="n">
        <v>9.5192</v>
      </c>
      <c r="EC47" s="0" t="n">
        <v>8.5665</v>
      </c>
      <c r="ED47" s="0" t="n">
        <v>8.7494</v>
      </c>
      <c r="EE47" s="0" t="n">
        <v>5.3829</v>
      </c>
      <c r="EF47" s="0" t="n">
        <v>4.1955</v>
      </c>
      <c r="EG47" s="0" t="n">
        <v>6.2192</v>
      </c>
      <c r="EH47" s="0" t="n">
        <v>4.6643</v>
      </c>
      <c r="EI47" s="0" t="n">
        <v>4.2631</v>
      </c>
      <c r="EJ47" s="0" t="n">
        <v>4.0789</v>
      </c>
      <c r="EK47" s="0" t="n">
        <v>2.8438</v>
      </c>
      <c r="EL47" s="0" t="n">
        <v>3.2575</v>
      </c>
      <c r="EM47" s="0" t="n">
        <v>4.4377</v>
      </c>
      <c r="EN47" s="0" t="n">
        <v>3.7062</v>
      </c>
      <c r="EO47" s="0" t="n">
        <v>2.5139</v>
      </c>
      <c r="EP47" s="0" t="n">
        <v>2.4299</v>
      </c>
      <c r="EQ47" s="0" t="n">
        <v>2.7885</v>
      </c>
      <c r="ER47" s="0" t="n">
        <v>2.6199</v>
      </c>
      <c r="ES47" s="0" t="n">
        <v>2.4391</v>
      </c>
      <c r="ET47" s="0" t="n">
        <v>3.8878</v>
      </c>
      <c r="EU47" s="0" t="n">
        <v>1.9668</v>
      </c>
      <c r="EV47" s="0" t="n">
        <v>2.3529</v>
      </c>
      <c r="EW47" s="0" t="n">
        <v>2.5062</v>
      </c>
      <c r="EX47" s="0" t="n">
        <v>1.2309</v>
      </c>
      <c r="EY47" s="0" t="n">
        <v>1.3196</v>
      </c>
      <c r="EZ47" s="0" t="n">
        <v>2.1185</v>
      </c>
      <c r="FA47" s="0" t="n">
        <v>0.9066</v>
      </c>
      <c r="FB47" s="0" t="n">
        <v>0.8124</v>
      </c>
      <c r="FC47" s="0" t="n">
        <v>1.318</v>
      </c>
      <c r="FD47" s="0" t="n">
        <v>0.7743</v>
      </c>
      <c r="FE47" s="0" t="n">
        <v>0.6381</v>
      </c>
      <c r="FF47" s="0" t="n">
        <v>1.245</v>
      </c>
      <c r="FG47" s="0" t="n">
        <v>0.6639</v>
      </c>
      <c r="FH47" s="0" t="n">
        <v>1.5392</v>
      </c>
      <c r="FI47" s="0" t="n">
        <v>0.5924</v>
      </c>
      <c r="FJ47" s="0" t="n">
        <v>0.5518</v>
      </c>
      <c r="FK47" s="0" t="n">
        <v>0.6123</v>
      </c>
      <c r="FL47" s="0" t="n">
        <v>1.2428</v>
      </c>
      <c r="FM47" s="0" t="n">
        <v>0.1921</v>
      </c>
      <c r="FN47" s="0" t="n">
        <v>0.8425</v>
      </c>
      <c r="FO47" s="0" t="n">
        <v>0.5413</v>
      </c>
      <c r="FP47" s="0" t="n">
        <v>7.8077</v>
      </c>
    </row>
    <row r="48" customFormat="false" ht="13.8" hidden="false" customHeight="false" outlineLevel="0" collapsed="false">
      <c r="A48" s="2" t="s">
        <v>265</v>
      </c>
      <c r="B48" s="0" t="s">
        <v>176</v>
      </c>
      <c r="C48" s="0" t="n">
        <v>317</v>
      </c>
      <c r="D48" s="0" t="s">
        <v>266</v>
      </c>
      <c r="E48" s="0" t="e">
        <f aca="false">VLOOKUP(A48,[1]RHIZOMES!$A$1:$B$1048576,2,0)</f>
        <v>#N/A</v>
      </c>
      <c r="F48" s="0" t="e">
        <f aca="false">VLOOKUP(A48,[1]ROOT!$A$1:$C$1048576,3,0)</f>
        <v>#N/A</v>
      </c>
      <c r="G48" s="0" t="n">
        <v>3715.0725</v>
      </c>
      <c r="H48" s="0" t="n">
        <v>285.3637</v>
      </c>
      <c r="I48" s="0" t="n">
        <v>896.4967</v>
      </c>
      <c r="J48" s="0" t="n">
        <v>0.7804</v>
      </c>
      <c r="K48" s="0" t="n">
        <v>0</v>
      </c>
      <c r="L48" s="0" t="n">
        <v>469.9247</v>
      </c>
      <c r="M48" s="0" t="n">
        <v>546.2345</v>
      </c>
      <c r="N48" s="0" t="n">
        <v>337.0922</v>
      </c>
      <c r="O48" s="0" t="n">
        <v>1.3291</v>
      </c>
      <c r="P48" s="0" t="n">
        <v>292.496</v>
      </c>
      <c r="Q48" s="0" t="n">
        <v>104.0458</v>
      </c>
      <c r="R48" s="0" t="n">
        <v>148.4235</v>
      </c>
      <c r="S48" s="0" t="n">
        <v>100.9054</v>
      </c>
      <c r="T48" s="0" t="n">
        <v>18.6385</v>
      </c>
      <c r="U48" s="0" t="n">
        <v>100.1953</v>
      </c>
      <c r="V48" s="0" t="n">
        <v>76.9807</v>
      </c>
      <c r="W48" s="0" t="n">
        <v>37.3273</v>
      </c>
      <c r="X48" s="0" t="n">
        <v>57.2123</v>
      </c>
      <c r="Y48" s="0" t="n">
        <v>47.188</v>
      </c>
      <c r="Z48" s="0" t="n">
        <v>42.134</v>
      </c>
      <c r="AA48" s="0" t="n">
        <v>28.9777</v>
      </c>
      <c r="AB48" s="0" t="n">
        <v>64.5412</v>
      </c>
      <c r="AC48" s="0" t="n">
        <v>28.3951</v>
      </c>
      <c r="AD48" s="0" t="n">
        <v>66.1916</v>
      </c>
      <c r="AE48" s="0" t="n">
        <v>40.9433</v>
      </c>
      <c r="AF48" s="0" t="n">
        <v>75.1892</v>
      </c>
      <c r="AG48" s="0" t="n">
        <v>33.5424</v>
      </c>
      <c r="AH48" s="0" t="n">
        <v>57.0225</v>
      </c>
      <c r="AI48" s="0" t="n">
        <v>72.4187</v>
      </c>
      <c r="AJ48" s="0" t="n">
        <v>14.7053</v>
      </c>
      <c r="AK48" s="0" t="n">
        <v>80.9773</v>
      </c>
      <c r="AL48" s="0" t="n">
        <v>73.4068</v>
      </c>
      <c r="AM48" s="0" t="n">
        <v>40.8507</v>
      </c>
      <c r="AN48" s="0" t="n">
        <v>30.7488</v>
      </c>
      <c r="AO48" s="0" t="n">
        <v>79.2279</v>
      </c>
      <c r="AP48" s="0" t="n">
        <v>45.6328</v>
      </c>
      <c r="AQ48" s="0" t="n">
        <v>61.1813</v>
      </c>
      <c r="AR48" s="0" t="n">
        <v>41.0879</v>
      </c>
      <c r="AS48" s="0" t="n">
        <v>47.3899</v>
      </c>
      <c r="AT48" s="0" t="n">
        <v>69.8101</v>
      </c>
      <c r="AU48" s="0" t="n">
        <v>58.9692</v>
      </c>
      <c r="AV48" s="0" t="n">
        <v>3.5995</v>
      </c>
      <c r="AW48" s="0" t="n">
        <v>38.6131</v>
      </c>
      <c r="AX48" s="0" t="n">
        <v>35.3057</v>
      </c>
      <c r="AY48" s="0" t="n">
        <v>18.5103</v>
      </c>
      <c r="AZ48" s="0" t="n">
        <v>13.4642</v>
      </c>
      <c r="BA48" s="0" t="n">
        <v>15.7714</v>
      </c>
      <c r="BB48" s="0" t="n">
        <v>18.9099</v>
      </c>
      <c r="BC48" s="0" t="n">
        <v>9.7479</v>
      </c>
      <c r="BD48" s="0" t="n">
        <v>6.0294</v>
      </c>
      <c r="BE48" s="0" t="n">
        <v>7.1134</v>
      </c>
      <c r="BF48" s="0" t="n">
        <v>2.3282</v>
      </c>
      <c r="BG48" s="0" t="n">
        <v>7.5164</v>
      </c>
      <c r="BH48" s="0" t="n">
        <v>4.8487</v>
      </c>
      <c r="BI48" s="0" t="n">
        <v>1.3778</v>
      </c>
      <c r="BJ48" s="0" t="n">
        <v>2.8516</v>
      </c>
      <c r="BK48" s="0" t="n">
        <v>3.2847</v>
      </c>
      <c r="BL48" s="0" t="n">
        <v>2.3576</v>
      </c>
      <c r="BM48" s="0" t="n">
        <v>1.8792</v>
      </c>
      <c r="BN48" s="0" t="n">
        <v>2.9887</v>
      </c>
      <c r="BO48" s="0" t="n">
        <v>0.7388</v>
      </c>
      <c r="BP48" s="0" t="n">
        <v>2.8335</v>
      </c>
      <c r="BQ48" s="0" t="n">
        <v>1.4642</v>
      </c>
      <c r="BR48" s="0" t="n">
        <v>1.6642</v>
      </c>
      <c r="BS48" s="0" t="n">
        <v>1.6215</v>
      </c>
      <c r="BT48" s="0" t="n">
        <v>2.2658</v>
      </c>
      <c r="BU48" s="0" t="n">
        <v>0.6741</v>
      </c>
      <c r="BV48" s="0" t="n">
        <v>0.8857</v>
      </c>
      <c r="BW48" s="0" t="n">
        <v>1.1736</v>
      </c>
      <c r="BX48" s="0" t="n">
        <v>0.9206</v>
      </c>
      <c r="BY48" s="0" t="n">
        <v>0.5051</v>
      </c>
      <c r="BZ48" s="0" t="n">
        <v>0.6409</v>
      </c>
      <c r="CA48" s="0" t="n">
        <v>0.9222</v>
      </c>
      <c r="CB48" s="0" t="n">
        <v>1.3378</v>
      </c>
      <c r="CC48" s="0" t="n">
        <v>0.0613</v>
      </c>
      <c r="CD48" s="0" t="n">
        <v>1.1486</v>
      </c>
      <c r="CE48" s="0" t="n">
        <v>0.5987</v>
      </c>
      <c r="CF48" s="0" t="n">
        <v>0.5452</v>
      </c>
      <c r="CG48" s="0" t="n">
        <v>0.1152</v>
      </c>
      <c r="CH48" s="0" t="n">
        <v>0.0274</v>
      </c>
      <c r="CI48" s="0" t="n">
        <v>0.7153</v>
      </c>
      <c r="CJ48" s="0" t="n">
        <v>0.2585</v>
      </c>
      <c r="CK48" s="0" t="n">
        <v>0.4072</v>
      </c>
      <c r="CL48" s="0" t="n">
        <v>0.1464</v>
      </c>
      <c r="CM48" s="0" t="n">
        <v>4.459</v>
      </c>
      <c r="CN48" s="0" t="n">
        <v>0</v>
      </c>
      <c r="CO48" s="0" t="n">
        <v>10.0974</v>
      </c>
      <c r="CP48" s="0" t="n">
        <v>23.2486</v>
      </c>
      <c r="CQ48" s="0" t="n">
        <v>20.571</v>
      </c>
      <c r="CR48" s="0" t="n">
        <v>0.0918</v>
      </c>
      <c r="CS48" s="0" t="n">
        <v>24.3602</v>
      </c>
      <c r="CT48" s="0" t="n">
        <v>10.5686</v>
      </c>
      <c r="CU48" s="0" t="n">
        <v>17.3347</v>
      </c>
      <c r="CV48" s="0" t="n">
        <v>14.0036</v>
      </c>
      <c r="CW48" s="0" t="n">
        <v>2.6948</v>
      </c>
      <c r="CX48" s="0" t="n">
        <v>16.269</v>
      </c>
      <c r="CY48" s="0" t="n">
        <v>14.0731</v>
      </c>
      <c r="CZ48" s="0" t="n">
        <v>7.4047</v>
      </c>
      <c r="DA48" s="0" t="n">
        <v>11.9918</v>
      </c>
      <c r="DB48" s="0" t="n">
        <v>10.7287</v>
      </c>
      <c r="DC48" s="0" t="n">
        <v>10.3411</v>
      </c>
      <c r="DD48" s="0" t="n">
        <v>7.407</v>
      </c>
      <c r="DE48" s="0" t="n">
        <v>17.6993</v>
      </c>
      <c r="DF48" s="0" t="n">
        <v>8.211</v>
      </c>
      <c r="DG48" s="0" t="n">
        <v>20.1366</v>
      </c>
      <c r="DH48" s="0" t="n">
        <v>13.1571</v>
      </c>
      <c r="DI48" s="0" t="n">
        <v>25.5498</v>
      </c>
      <c r="DJ48" s="0" t="n">
        <v>11.9046</v>
      </c>
      <c r="DK48" s="0" t="n">
        <v>21.0704</v>
      </c>
      <c r="DL48" s="0" t="n">
        <v>28.205</v>
      </c>
      <c r="DM48" s="0" t="n">
        <v>5.8518</v>
      </c>
      <c r="DN48" s="0" t="n">
        <v>33.6311</v>
      </c>
      <c r="DO48" s="0" t="n">
        <v>31.9878</v>
      </c>
      <c r="DP48" s="0" t="n">
        <v>18.5461</v>
      </c>
      <c r="DQ48" s="0" t="n">
        <v>14.1399</v>
      </c>
      <c r="DR48" s="0" t="n">
        <v>37.904</v>
      </c>
      <c r="DS48" s="0" t="n">
        <v>22.6631</v>
      </c>
      <c r="DT48" s="0" t="n">
        <v>31.3167</v>
      </c>
      <c r="DU48" s="0" t="n">
        <v>21.6302</v>
      </c>
      <c r="DV48" s="0" t="n">
        <v>25.4618</v>
      </c>
      <c r="DW48" s="0" t="n">
        <v>38.8294</v>
      </c>
      <c r="DX48" s="0" t="n">
        <v>34.0348</v>
      </c>
      <c r="DY48" s="0" t="n">
        <v>2.1328</v>
      </c>
      <c r="DZ48" s="0" t="n">
        <v>23.1227</v>
      </c>
      <c r="EA48" s="0" t="n">
        <v>21.8787</v>
      </c>
      <c r="EB48" s="0" t="n">
        <v>11.8339</v>
      </c>
      <c r="EC48" s="0" t="n">
        <v>8.7616</v>
      </c>
      <c r="ED48" s="0" t="n">
        <v>10.4733</v>
      </c>
      <c r="EE48" s="0" t="n">
        <v>12.8906</v>
      </c>
      <c r="EF48" s="0" t="n">
        <v>6.8402</v>
      </c>
      <c r="EG48" s="0" t="n">
        <v>4.3186</v>
      </c>
      <c r="EH48" s="0" t="n">
        <v>5.2134</v>
      </c>
      <c r="EI48" s="0" t="n">
        <v>1.7313</v>
      </c>
      <c r="EJ48" s="0" t="n">
        <v>5.7216</v>
      </c>
      <c r="EK48" s="0" t="n">
        <v>3.7977</v>
      </c>
      <c r="EL48" s="0" t="n">
        <v>1.094</v>
      </c>
      <c r="EM48" s="0" t="n">
        <v>2.2978</v>
      </c>
      <c r="EN48" s="0" t="n">
        <v>2.7018</v>
      </c>
      <c r="EO48" s="0" t="n">
        <v>1.9921</v>
      </c>
      <c r="EP48" s="0" t="n">
        <v>1.6079</v>
      </c>
      <c r="EQ48" s="0" t="n">
        <v>2.6122</v>
      </c>
      <c r="ER48" s="0" t="n">
        <v>0.6563</v>
      </c>
      <c r="ES48" s="0" t="n">
        <v>2.5812</v>
      </c>
      <c r="ET48" s="0" t="n">
        <v>1.348</v>
      </c>
      <c r="EU48" s="0" t="n">
        <v>1.5539</v>
      </c>
      <c r="EV48" s="0" t="n">
        <v>1.5365</v>
      </c>
      <c r="EW48" s="0" t="n">
        <v>2.1905</v>
      </c>
      <c r="EX48" s="0" t="n">
        <v>0.6642</v>
      </c>
      <c r="EY48" s="0" t="n">
        <v>0.8779</v>
      </c>
      <c r="EZ48" s="0" t="n">
        <v>1.1904</v>
      </c>
      <c r="FA48" s="0" t="n">
        <v>0.9522</v>
      </c>
      <c r="FB48" s="0" t="n">
        <v>0.5252</v>
      </c>
      <c r="FC48" s="0" t="n">
        <v>0.6777</v>
      </c>
      <c r="FD48" s="0" t="n">
        <v>1.0638</v>
      </c>
      <c r="FE48" s="0" t="n">
        <v>1.4654</v>
      </c>
      <c r="FF48" s="0" t="n">
        <v>0.0676</v>
      </c>
      <c r="FG48" s="0" t="n">
        <v>1.2855</v>
      </c>
      <c r="FH48" s="0" t="n">
        <v>0.6805</v>
      </c>
      <c r="FI48" s="0" t="n">
        <v>0.6305</v>
      </c>
      <c r="FJ48" s="0" t="n">
        <v>0.1357</v>
      </c>
      <c r="FK48" s="0" t="n">
        <v>0.0326</v>
      </c>
      <c r="FL48" s="0" t="n">
        <v>0.8568</v>
      </c>
      <c r="FM48" s="0" t="n">
        <v>0.3149</v>
      </c>
      <c r="FN48" s="0" t="n">
        <v>0.5044</v>
      </c>
      <c r="FO48" s="0" t="n">
        <v>0.1823</v>
      </c>
      <c r="FP48" s="0" t="n">
        <v>6.0342</v>
      </c>
    </row>
    <row r="49" customFormat="false" ht="13.8" hidden="false" customHeight="false" outlineLevel="0" collapsed="false">
      <c r="A49" s="2" t="s">
        <v>267</v>
      </c>
      <c r="B49" s="0" t="s">
        <v>173</v>
      </c>
      <c r="C49" s="0" t="n">
        <v>21</v>
      </c>
      <c r="D49" s="0" t="s">
        <v>268</v>
      </c>
      <c r="F49" s="0" t="e">
        <f aca="false">VLOOKUP(A49,[1]ROOT!$A$1:$C$1048576,3,0)</f>
        <v>#N/A</v>
      </c>
      <c r="G49" s="0" t="n">
        <v>1598.9174</v>
      </c>
      <c r="H49" s="0" t="n">
        <v>80.298</v>
      </c>
      <c r="I49" s="0" t="n">
        <v>252.2635</v>
      </c>
      <c r="J49" s="0" t="n">
        <v>0.50335</v>
      </c>
      <c r="K49" s="0" t="n">
        <v>0.0254</v>
      </c>
      <c r="L49" s="0" t="n">
        <v>11.0898</v>
      </c>
      <c r="M49" s="0" t="n">
        <v>25.7212</v>
      </c>
      <c r="N49" s="0" t="n">
        <v>183.1223</v>
      </c>
      <c r="O49" s="0" t="n">
        <v>195.4439</v>
      </c>
      <c r="P49" s="0" t="n">
        <v>148.8781</v>
      </c>
      <c r="Q49" s="0" t="n">
        <v>278.9358</v>
      </c>
      <c r="R49" s="0" t="n">
        <v>143.1627</v>
      </c>
      <c r="S49" s="0" t="n">
        <v>133.5797</v>
      </c>
      <c r="T49" s="0" t="n">
        <v>109.6088</v>
      </c>
      <c r="U49" s="0" t="n">
        <v>111.8873</v>
      </c>
      <c r="V49" s="0" t="n">
        <v>41.8651</v>
      </c>
      <c r="W49" s="0" t="n">
        <v>60.805</v>
      </c>
      <c r="X49" s="0" t="n">
        <v>28.5456</v>
      </c>
      <c r="Y49" s="0" t="n">
        <v>17.2043</v>
      </c>
      <c r="Z49" s="0" t="n">
        <v>19.4713</v>
      </c>
      <c r="AA49" s="0" t="n">
        <v>16.9882</v>
      </c>
      <c r="AB49" s="0" t="n">
        <v>12.8799</v>
      </c>
      <c r="AC49" s="0" t="n">
        <v>7.616</v>
      </c>
      <c r="AD49" s="0" t="n">
        <v>10.1437</v>
      </c>
      <c r="AE49" s="0" t="n">
        <v>6.1361</v>
      </c>
      <c r="AF49" s="0" t="n">
        <v>6.8196</v>
      </c>
      <c r="AG49" s="0" t="n">
        <v>2.7737</v>
      </c>
      <c r="AH49" s="0" t="n">
        <v>4.42</v>
      </c>
      <c r="AI49" s="0" t="n">
        <v>3.8954</v>
      </c>
      <c r="AJ49" s="0" t="n">
        <v>3.145</v>
      </c>
      <c r="AK49" s="0" t="n">
        <v>3.371</v>
      </c>
      <c r="AL49" s="0" t="n">
        <v>1.8343</v>
      </c>
      <c r="AM49" s="0" t="n">
        <v>2.0385</v>
      </c>
      <c r="AN49" s="0" t="n">
        <v>1.966</v>
      </c>
      <c r="AO49" s="0" t="n">
        <v>1.1213</v>
      </c>
      <c r="AP49" s="0" t="n">
        <v>0.5814</v>
      </c>
      <c r="AQ49" s="0" t="n">
        <v>0.5823</v>
      </c>
      <c r="AR49" s="0" t="n">
        <v>0.6598</v>
      </c>
      <c r="AS49" s="0" t="n">
        <v>0.1998</v>
      </c>
      <c r="AT49" s="0" t="n">
        <v>0.4862</v>
      </c>
      <c r="AU49" s="0" t="n">
        <v>0.0725</v>
      </c>
      <c r="AV49" s="0" t="n">
        <v>0.0069</v>
      </c>
      <c r="AW49" s="0" t="n">
        <v>0.1468</v>
      </c>
      <c r="AX49" s="0" t="n">
        <v>0.2946</v>
      </c>
      <c r="AY49" s="0" t="n">
        <v>0.065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0.1206</v>
      </c>
      <c r="BF49" s="0" t="n">
        <v>0</v>
      </c>
      <c r="BG49" s="0" t="n">
        <v>0</v>
      </c>
      <c r="BH49" s="0" t="n">
        <v>0.0524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0.0003</v>
      </c>
      <c r="CO49" s="0" t="n">
        <v>0.3028</v>
      </c>
      <c r="CP49" s="0" t="n">
        <v>1.005</v>
      </c>
      <c r="CQ49" s="0" t="n">
        <v>10.321</v>
      </c>
      <c r="CR49" s="0" t="n">
        <v>13.7313</v>
      </c>
      <c r="CS49" s="0" t="n">
        <v>12.3515</v>
      </c>
      <c r="CT49" s="0" t="n">
        <v>28.1704</v>
      </c>
      <c r="CU49" s="0" t="n">
        <v>17.0453</v>
      </c>
      <c r="CV49" s="0" t="n">
        <v>17.8111</v>
      </c>
      <c r="CW49" s="0" t="n">
        <v>16.0813</v>
      </c>
      <c r="CX49" s="0" t="n">
        <v>18.5329</v>
      </c>
      <c r="CY49" s="0" t="n">
        <v>7.5969</v>
      </c>
      <c r="CZ49" s="0" t="n">
        <v>11.9101</v>
      </c>
      <c r="DA49" s="0" t="n">
        <v>6.1454</v>
      </c>
      <c r="DB49" s="0" t="n">
        <v>3.8899</v>
      </c>
      <c r="DC49" s="0" t="n">
        <v>4.7161</v>
      </c>
      <c r="DD49" s="0" t="n">
        <v>4.3846</v>
      </c>
      <c r="DE49" s="0" t="n">
        <v>3.5558</v>
      </c>
      <c r="DF49" s="0" t="n">
        <v>2.2222</v>
      </c>
      <c r="DG49" s="0" t="n">
        <v>3.1037</v>
      </c>
      <c r="DH49" s="0" t="n">
        <v>1.9653</v>
      </c>
      <c r="DI49" s="0" t="n">
        <v>2.3143</v>
      </c>
      <c r="DJ49" s="0" t="n">
        <v>0.9886</v>
      </c>
      <c r="DK49" s="0" t="n">
        <v>1.6284</v>
      </c>
      <c r="DL49" s="0" t="n">
        <v>1.5032</v>
      </c>
      <c r="DM49" s="0" t="n">
        <v>1.2546</v>
      </c>
      <c r="DN49" s="0" t="n">
        <v>1.4058</v>
      </c>
      <c r="DO49" s="0" t="n">
        <v>0.7911</v>
      </c>
      <c r="DP49" s="0" t="n">
        <v>0.9083</v>
      </c>
      <c r="DQ49" s="0" t="n">
        <v>0.9092</v>
      </c>
      <c r="DR49" s="0" t="n">
        <v>0.5399</v>
      </c>
      <c r="DS49" s="0" t="n">
        <v>0.2876</v>
      </c>
      <c r="DT49" s="0" t="n">
        <v>0.2959</v>
      </c>
      <c r="DU49" s="0" t="n">
        <v>0.3454</v>
      </c>
      <c r="DV49" s="0" t="n">
        <v>0.1072</v>
      </c>
      <c r="DW49" s="0" t="n">
        <v>0.2706</v>
      </c>
      <c r="DX49" s="0" t="n">
        <v>0.0417</v>
      </c>
      <c r="DY49" s="0" t="n">
        <v>0.0041</v>
      </c>
      <c r="DZ49" s="0" t="n">
        <v>0.0995</v>
      </c>
      <c r="EA49" s="0" t="n">
        <v>0.1837</v>
      </c>
      <c r="EB49" s="0" t="n">
        <v>0.041</v>
      </c>
      <c r="EC49" s="0" t="n">
        <v>0</v>
      </c>
      <c r="ED49" s="0" t="n">
        <v>0</v>
      </c>
      <c r="EE49" s="0" t="n">
        <v>0</v>
      </c>
      <c r="EF49" s="0" t="n">
        <v>0</v>
      </c>
      <c r="EG49" s="0" t="n">
        <v>0</v>
      </c>
      <c r="EH49" s="0" t="n">
        <v>0.0882</v>
      </c>
      <c r="EI49" s="0" t="n">
        <v>0</v>
      </c>
      <c r="EJ49" s="0" t="n">
        <v>0</v>
      </c>
      <c r="EK49" s="0" t="n">
        <v>0.0409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0</v>
      </c>
      <c r="EY49" s="0" t="n">
        <v>0</v>
      </c>
      <c r="EZ49" s="0" t="n">
        <v>0</v>
      </c>
      <c r="FA49" s="0" t="n">
        <v>0</v>
      </c>
      <c r="FB49" s="0" t="n">
        <v>0</v>
      </c>
      <c r="FC49" s="0" t="n">
        <v>0</v>
      </c>
      <c r="FD49" s="0" t="n">
        <v>0</v>
      </c>
      <c r="FE49" s="0" t="n">
        <v>0</v>
      </c>
      <c r="FF49" s="0" t="n">
        <v>0</v>
      </c>
      <c r="FG49" s="0" t="n">
        <v>0</v>
      </c>
      <c r="FH49" s="0" t="n">
        <v>0</v>
      </c>
      <c r="FI49" s="0" t="n">
        <v>0</v>
      </c>
      <c r="FJ49" s="0" t="n">
        <v>0</v>
      </c>
      <c r="FK49" s="0" t="n">
        <v>0</v>
      </c>
      <c r="FL49" s="0" t="n">
        <v>0</v>
      </c>
      <c r="FM49" s="0" t="n">
        <v>0</v>
      </c>
      <c r="FN49" s="0" t="n">
        <v>0</v>
      </c>
      <c r="FO49" s="0" t="n">
        <v>0</v>
      </c>
      <c r="FP49" s="0" t="n">
        <v>0</v>
      </c>
    </row>
    <row r="50" customFormat="false" ht="13.8" hidden="false" customHeight="false" outlineLevel="0" collapsed="false">
      <c r="A50" s="2" t="s">
        <v>269</v>
      </c>
      <c r="B50" s="0" t="s">
        <v>173</v>
      </c>
      <c r="C50" s="0" t="n">
        <v>76</v>
      </c>
      <c r="D50" s="0" t="s">
        <v>270</v>
      </c>
      <c r="G50" s="0" t="n">
        <v>1426.2946</v>
      </c>
      <c r="H50" s="0" t="n">
        <v>52.4636</v>
      </c>
      <c r="I50" s="0" t="n">
        <v>164.8194</v>
      </c>
      <c r="J50" s="0" t="n">
        <v>0.3638</v>
      </c>
      <c r="K50" s="0" t="n">
        <v>0</v>
      </c>
      <c r="L50" s="0" t="n">
        <v>124.312</v>
      </c>
      <c r="M50" s="0" t="n">
        <v>143.9154</v>
      </c>
      <c r="N50" s="0" t="n">
        <v>266.2709</v>
      </c>
      <c r="O50" s="0" t="n">
        <v>217.0382</v>
      </c>
      <c r="P50" s="0" t="n">
        <v>156.678</v>
      </c>
      <c r="Q50" s="0" t="n">
        <v>88.6676</v>
      </c>
      <c r="R50" s="0" t="n">
        <v>76.4357</v>
      </c>
      <c r="S50" s="0" t="n">
        <v>38.2603</v>
      </c>
      <c r="T50" s="0" t="n">
        <v>40.2059</v>
      </c>
      <c r="U50" s="0" t="n">
        <v>35.3816</v>
      </c>
      <c r="V50" s="0" t="n">
        <v>30.1759</v>
      </c>
      <c r="W50" s="0" t="n">
        <v>23.1705</v>
      </c>
      <c r="X50" s="0" t="n">
        <v>20.273</v>
      </c>
      <c r="Y50" s="0" t="n">
        <v>18.8487</v>
      </c>
      <c r="Z50" s="0" t="n">
        <v>18.3353</v>
      </c>
      <c r="AA50" s="0" t="n">
        <v>13.6042</v>
      </c>
      <c r="AB50" s="0" t="n">
        <v>10.6168</v>
      </c>
      <c r="AC50" s="0" t="n">
        <v>15.6339</v>
      </c>
      <c r="AD50" s="0" t="n">
        <v>16.0388</v>
      </c>
      <c r="AE50" s="0" t="n">
        <v>16.5031</v>
      </c>
      <c r="AF50" s="0" t="n">
        <v>14.7472</v>
      </c>
      <c r="AG50" s="0" t="n">
        <v>9.7154</v>
      </c>
      <c r="AH50" s="0" t="n">
        <v>5.9931</v>
      </c>
      <c r="AI50" s="0" t="n">
        <v>5.3334</v>
      </c>
      <c r="AJ50" s="0" t="n">
        <v>4.2943</v>
      </c>
      <c r="AK50" s="0" t="n">
        <v>4.3738</v>
      </c>
      <c r="AL50" s="0" t="n">
        <v>3.3118</v>
      </c>
      <c r="AM50" s="0" t="n">
        <v>1.7559</v>
      </c>
      <c r="AN50" s="0" t="n">
        <v>1.0656</v>
      </c>
      <c r="AO50" s="0" t="n">
        <v>1.5354</v>
      </c>
      <c r="AP50" s="0" t="n">
        <v>0.7843</v>
      </c>
      <c r="AQ50" s="0" t="n">
        <v>0.4497</v>
      </c>
      <c r="AR50" s="0" t="n">
        <v>0.3933</v>
      </c>
      <c r="AS50" s="0" t="n">
        <v>0.4396</v>
      </c>
      <c r="AT50" s="0" t="n">
        <v>0.0898</v>
      </c>
      <c r="AU50" s="0" t="n">
        <v>0.2173</v>
      </c>
      <c r="AV50" s="0" t="n">
        <v>0.0693</v>
      </c>
      <c r="AW50" s="0" t="n">
        <v>0.3597</v>
      </c>
      <c r="AX50" s="0" t="n">
        <v>0.3819</v>
      </c>
      <c r="AY50" s="0" t="n">
        <v>0.027</v>
      </c>
      <c r="AZ50" s="0" t="n">
        <v>0.2035</v>
      </c>
      <c r="BA50" s="0" t="n">
        <v>0.0069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3.2664</v>
      </c>
      <c r="CP50" s="0" t="n">
        <v>5.7127</v>
      </c>
      <c r="CQ50" s="0" t="n">
        <v>14.7192</v>
      </c>
      <c r="CR50" s="0" t="n">
        <v>15.1291</v>
      </c>
      <c r="CS50" s="0" t="n">
        <v>13.3983</v>
      </c>
      <c r="CT50" s="0" t="n">
        <v>9.0034</v>
      </c>
      <c r="CU50" s="0" t="n">
        <v>8.9825</v>
      </c>
      <c r="CV50" s="0" t="n">
        <v>5.1157</v>
      </c>
      <c r="CW50" s="0" t="n">
        <v>5.9854</v>
      </c>
      <c r="CX50" s="0" t="n">
        <v>5.806</v>
      </c>
      <c r="CY50" s="0" t="n">
        <v>5.4552</v>
      </c>
      <c r="CZ50" s="0" t="n">
        <v>4.552</v>
      </c>
      <c r="DA50" s="0" t="n">
        <v>4.2916</v>
      </c>
      <c r="DB50" s="0" t="n">
        <v>4.2964</v>
      </c>
      <c r="DC50" s="0" t="n">
        <v>4.4604</v>
      </c>
      <c r="DD50" s="0" t="n">
        <v>3.5285</v>
      </c>
      <c r="DE50" s="0" t="n">
        <v>2.9239</v>
      </c>
      <c r="DF50" s="0" t="n">
        <v>4.5536</v>
      </c>
      <c r="DG50" s="0" t="n">
        <v>4.9092</v>
      </c>
      <c r="DH50" s="0" t="n">
        <v>5.3119</v>
      </c>
      <c r="DI50" s="0" t="n">
        <v>4.9869</v>
      </c>
      <c r="DJ50" s="0" t="n">
        <v>3.4223</v>
      </c>
      <c r="DK50" s="0" t="n">
        <v>2.2123</v>
      </c>
      <c r="DL50" s="0" t="n">
        <v>2.0544</v>
      </c>
      <c r="DM50" s="0" t="n">
        <v>1.72</v>
      </c>
      <c r="DN50" s="0" t="n">
        <v>1.8141</v>
      </c>
      <c r="DO50" s="0" t="n">
        <v>1.4263</v>
      </c>
      <c r="DP50" s="0" t="n">
        <v>0.7849</v>
      </c>
      <c r="DQ50" s="0" t="n">
        <v>0.4933</v>
      </c>
      <c r="DR50" s="0" t="n">
        <v>0.7339</v>
      </c>
      <c r="DS50" s="0" t="n">
        <v>0.3899</v>
      </c>
      <c r="DT50" s="0" t="n">
        <v>0.2301</v>
      </c>
      <c r="DU50" s="0" t="n">
        <v>0.2055</v>
      </c>
      <c r="DV50" s="0" t="n">
        <v>0.2359</v>
      </c>
      <c r="DW50" s="0" t="n">
        <v>0.0503</v>
      </c>
      <c r="DX50" s="0" t="n">
        <v>0.1241</v>
      </c>
      <c r="DY50" s="0" t="n">
        <v>0.0405</v>
      </c>
      <c r="DZ50" s="0" t="n">
        <v>0.2166</v>
      </c>
      <c r="EA50" s="0" t="n">
        <v>0.2385</v>
      </c>
      <c r="EB50" s="0" t="n">
        <v>0.0171</v>
      </c>
      <c r="EC50" s="0" t="n">
        <v>0.1319</v>
      </c>
      <c r="ED50" s="0" t="n">
        <v>0.0045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0</v>
      </c>
      <c r="EY50" s="0" t="n">
        <v>0</v>
      </c>
      <c r="EZ50" s="0" t="n">
        <v>0</v>
      </c>
      <c r="FA50" s="0" t="n">
        <v>0</v>
      </c>
      <c r="FB50" s="0" t="n">
        <v>0</v>
      </c>
      <c r="FC50" s="0" t="n">
        <v>0</v>
      </c>
      <c r="FD50" s="0" t="n">
        <v>0</v>
      </c>
      <c r="FE50" s="0" t="n">
        <v>0</v>
      </c>
      <c r="FF50" s="0" t="n">
        <v>0</v>
      </c>
      <c r="FG50" s="0" t="n">
        <v>0</v>
      </c>
      <c r="FH50" s="0" t="n">
        <v>0</v>
      </c>
      <c r="FI50" s="0" t="n">
        <v>0</v>
      </c>
      <c r="FJ50" s="0" t="n">
        <v>0</v>
      </c>
      <c r="FK50" s="0" t="n">
        <v>0</v>
      </c>
      <c r="FL50" s="0" t="n">
        <v>0</v>
      </c>
      <c r="FM50" s="0" t="n">
        <v>0</v>
      </c>
      <c r="FN50" s="0" t="n">
        <v>0</v>
      </c>
      <c r="FO50" s="0" t="n">
        <v>0</v>
      </c>
      <c r="FP50" s="0" t="n">
        <v>0</v>
      </c>
    </row>
    <row r="51" customFormat="false" ht="13.8" hidden="false" customHeight="false" outlineLevel="0" collapsed="false">
      <c r="A51" s="2" t="s">
        <v>271</v>
      </c>
      <c r="B51" s="0" t="s">
        <v>173</v>
      </c>
      <c r="C51" s="0" t="n">
        <v>52</v>
      </c>
      <c r="D51" s="0" t="s">
        <v>272</v>
      </c>
      <c r="E51" s="0" t="e">
        <f aca="false">VLOOKUP(A51,[1]RHIZOMES!$A$1:$B$1048576,2,0)</f>
        <v>#N/A</v>
      </c>
      <c r="F51" s="0" t="e">
        <f aca="false">VLOOKUP(A51,[1]ROOT!$A$1:$C$1048576,3,0)</f>
        <v>#N/A</v>
      </c>
      <c r="G51" s="0" t="n">
        <v>1886.0294</v>
      </c>
      <c r="H51" s="0" t="n">
        <v>129.6049</v>
      </c>
      <c r="I51" s="0" t="n">
        <v>407.1661</v>
      </c>
      <c r="J51" s="0" t="n">
        <v>0.6647</v>
      </c>
      <c r="K51" s="0" t="n">
        <v>0</v>
      </c>
      <c r="L51" s="0" t="n">
        <v>198.0259</v>
      </c>
      <c r="M51" s="0" t="n">
        <v>250.418</v>
      </c>
      <c r="N51" s="0" t="n">
        <v>180.9237</v>
      </c>
      <c r="O51" s="0" t="n">
        <v>0.2546</v>
      </c>
      <c r="P51" s="0" t="n">
        <v>186.3762</v>
      </c>
      <c r="Q51" s="0" t="n">
        <v>68.0247</v>
      </c>
      <c r="R51" s="0" t="n">
        <v>101.3327</v>
      </c>
      <c r="S51" s="0" t="n">
        <v>47.5467</v>
      </c>
      <c r="T51" s="0" t="n">
        <v>6.7475</v>
      </c>
      <c r="U51" s="0" t="n">
        <v>39.3268</v>
      </c>
      <c r="V51" s="0" t="n">
        <v>31.2012</v>
      </c>
      <c r="W51" s="0" t="n">
        <v>18.5244</v>
      </c>
      <c r="X51" s="0" t="n">
        <v>25.5916</v>
      </c>
      <c r="Y51" s="0" t="n">
        <v>22.399</v>
      </c>
      <c r="Z51" s="0" t="n">
        <v>28.5619</v>
      </c>
      <c r="AA51" s="0" t="n">
        <v>16.5354</v>
      </c>
      <c r="AB51" s="0" t="n">
        <v>36.4936</v>
      </c>
      <c r="AC51" s="0" t="n">
        <v>17.3058</v>
      </c>
      <c r="AD51" s="0" t="n">
        <v>42.1168</v>
      </c>
      <c r="AE51" s="0" t="n">
        <v>23.5195</v>
      </c>
      <c r="AF51" s="0" t="n">
        <v>54.5759</v>
      </c>
      <c r="AG51" s="0" t="n">
        <v>19.0539</v>
      </c>
      <c r="AH51" s="0" t="n">
        <v>36.6929</v>
      </c>
      <c r="AI51" s="0" t="n">
        <v>52.5103</v>
      </c>
      <c r="AJ51" s="0" t="n">
        <v>10.3927</v>
      </c>
      <c r="AK51" s="0" t="n">
        <v>65.8682</v>
      </c>
      <c r="AL51" s="0" t="n">
        <v>59.0692</v>
      </c>
      <c r="AM51" s="0" t="n">
        <v>28.1085</v>
      </c>
      <c r="AN51" s="0" t="n">
        <v>16.1626</v>
      </c>
      <c r="AO51" s="0" t="n">
        <v>40.6405</v>
      </c>
      <c r="AP51" s="0" t="n">
        <v>23.0197</v>
      </c>
      <c r="AQ51" s="0" t="n">
        <v>21.5989</v>
      </c>
      <c r="AR51" s="0" t="n">
        <v>19.6631</v>
      </c>
      <c r="AS51" s="0" t="n">
        <v>17.4795</v>
      </c>
      <c r="AT51" s="0" t="n">
        <v>20.6521</v>
      </c>
      <c r="AU51" s="0" t="n">
        <v>14.1371</v>
      </c>
      <c r="AV51" s="0" t="n">
        <v>0.6973</v>
      </c>
      <c r="AW51" s="0" t="n">
        <v>10.6347</v>
      </c>
      <c r="AX51" s="0" t="n">
        <v>9.4557</v>
      </c>
      <c r="AY51" s="0" t="n">
        <v>5.7526</v>
      </c>
      <c r="AZ51" s="0" t="n">
        <v>3.8647</v>
      </c>
      <c r="BA51" s="0" t="n">
        <v>3.3405</v>
      </c>
      <c r="BB51" s="0" t="n">
        <v>3.4466</v>
      </c>
      <c r="BC51" s="0" t="n">
        <v>1.7617</v>
      </c>
      <c r="BD51" s="0" t="n">
        <v>0.6795</v>
      </c>
      <c r="BE51" s="0" t="n">
        <v>0.729</v>
      </c>
      <c r="BF51" s="0" t="n">
        <v>0.6339</v>
      </c>
      <c r="BG51" s="0" t="n">
        <v>0.7894</v>
      </c>
      <c r="BH51" s="0" t="n">
        <v>0.616</v>
      </c>
      <c r="BI51" s="0" t="n">
        <v>0.0132</v>
      </c>
      <c r="BJ51" s="0" t="n">
        <v>0.1397</v>
      </c>
      <c r="BK51" s="0" t="n">
        <v>0.4573</v>
      </c>
      <c r="BL51" s="0" t="n">
        <v>0.1142</v>
      </c>
      <c r="BM51" s="0" t="n">
        <v>0.0492</v>
      </c>
      <c r="BN51" s="0" t="n">
        <v>0.6075</v>
      </c>
      <c r="BO51" s="0" t="n">
        <v>0.0206</v>
      </c>
      <c r="BP51" s="0" t="n">
        <v>0.1618</v>
      </c>
      <c r="BQ51" s="0" t="n">
        <v>0.1602</v>
      </c>
      <c r="BR51" s="0" t="n">
        <v>0.009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0.0317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4.2601</v>
      </c>
      <c r="CP51" s="0" t="n">
        <v>10.6332</v>
      </c>
      <c r="CQ51" s="0" t="n">
        <v>11.0481</v>
      </c>
      <c r="CR51" s="0" t="n">
        <v>0.0176</v>
      </c>
      <c r="CS51" s="0" t="n">
        <v>15.5481</v>
      </c>
      <c r="CT51" s="0" t="n">
        <v>6.9108</v>
      </c>
      <c r="CU51" s="0" t="n">
        <v>11.8338</v>
      </c>
      <c r="CV51" s="0" t="n">
        <v>6.6035</v>
      </c>
      <c r="CW51" s="0" t="n">
        <v>0.9756</v>
      </c>
      <c r="CX51" s="0" t="n">
        <v>6.3995</v>
      </c>
      <c r="CY51" s="0" t="n">
        <v>5.7083</v>
      </c>
      <c r="CZ51" s="0" t="n">
        <v>3.676</v>
      </c>
      <c r="DA51" s="0" t="n">
        <v>5.3813</v>
      </c>
      <c r="DB51" s="0" t="n">
        <v>5.0901</v>
      </c>
      <c r="DC51" s="0" t="n">
        <v>7.0066</v>
      </c>
      <c r="DD51" s="0" t="n">
        <v>4.2472</v>
      </c>
      <c r="DE51" s="0" t="n">
        <v>9.9827</v>
      </c>
      <c r="DF51" s="0" t="n">
        <v>5.0043</v>
      </c>
      <c r="DG51" s="0" t="n">
        <v>12.8148</v>
      </c>
      <c r="DH51" s="0" t="n">
        <v>7.5578</v>
      </c>
      <c r="DI51" s="0" t="n">
        <v>18.5716</v>
      </c>
      <c r="DJ51" s="0" t="n">
        <v>6.7593</v>
      </c>
      <c r="DK51" s="0" t="n">
        <v>13.5548</v>
      </c>
      <c r="DL51" s="0" t="n">
        <v>20.5064</v>
      </c>
      <c r="DM51" s="0" t="n">
        <v>4.1379</v>
      </c>
      <c r="DN51" s="0" t="n">
        <v>27.3582</v>
      </c>
      <c r="DO51" s="0" t="n">
        <v>25.7384</v>
      </c>
      <c r="DP51" s="0" t="n">
        <v>12.7685</v>
      </c>
      <c r="DQ51" s="0" t="n">
        <v>7.4352</v>
      </c>
      <c r="DR51" s="0" t="n">
        <v>19.4363</v>
      </c>
      <c r="DS51" s="0" t="n">
        <v>11.4272</v>
      </c>
      <c r="DT51" s="0" t="n">
        <v>11.0581</v>
      </c>
      <c r="DU51" s="0" t="n">
        <v>10.3551</v>
      </c>
      <c r="DV51" s="0" t="n">
        <v>9.3904</v>
      </c>
      <c r="DW51" s="0" t="n">
        <v>11.4897</v>
      </c>
      <c r="DX51" s="0" t="n">
        <v>8.1674</v>
      </c>
      <c r="DY51" s="0" t="n">
        <v>0.4132</v>
      </c>
      <c r="DZ51" s="0" t="n">
        <v>6.3676</v>
      </c>
      <c r="EA51" s="0" t="n">
        <v>5.8567</v>
      </c>
      <c r="EB51" s="0" t="n">
        <v>3.6766</v>
      </c>
      <c r="EC51" s="0" t="n">
        <v>2.534</v>
      </c>
      <c r="ED51" s="0" t="n">
        <v>2.216</v>
      </c>
      <c r="EE51" s="0" t="n">
        <v>2.3485</v>
      </c>
      <c r="EF51" s="0" t="n">
        <v>1.2327</v>
      </c>
      <c r="EG51" s="0" t="n">
        <v>0.4878</v>
      </c>
      <c r="EH51" s="0" t="n">
        <v>0.5329</v>
      </c>
      <c r="EI51" s="0" t="n">
        <v>0.4712</v>
      </c>
      <c r="EJ51" s="0" t="n">
        <v>0.5999</v>
      </c>
      <c r="EK51" s="0" t="n">
        <v>0.4832</v>
      </c>
      <c r="EL51" s="0" t="n">
        <v>0.0106</v>
      </c>
      <c r="EM51" s="0" t="n">
        <v>0.1125</v>
      </c>
      <c r="EN51" s="0" t="n">
        <v>0.3747</v>
      </c>
      <c r="EO51" s="0" t="n">
        <v>0.0966</v>
      </c>
      <c r="EP51" s="0" t="n">
        <v>0.042</v>
      </c>
      <c r="EQ51" s="0" t="n">
        <v>0.5291</v>
      </c>
      <c r="ER51" s="0" t="n">
        <v>0.0183</v>
      </c>
      <c r="ES51" s="0" t="n">
        <v>0.1469</v>
      </c>
      <c r="ET51" s="0" t="n">
        <v>0.147</v>
      </c>
      <c r="EU51" s="0" t="n">
        <v>0.0084</v>
      </c>
      <c r="EV51" s="0" t="n">
        <v>0</v>
      </c>
      <c r="EW51" s="0" t="n">
        <v>0</v>
      </c>
      <c r="EX51" s="0" t="n">
        <v>0</v>
      </c>
      <c r="EY51" s="0" t="n">
        <v>0</v>
      </c>
      <c r="EZ51" s="0" t="n">
        <v>0</v>
      </c>
      <c r="FA51" s="0" t="n">
        <v>0</v>
      </c>
      <c r="FB51" s="0" t="n">
        <v>0</v>
      </c>
      <c r="FC51" s="0" t="n">
        <v>0</v>
      </c>
      <c r="FD51" s="0" t="n">
        <v>0</v>
      </c>
      <c r="FE51" s="0" t="n">
        <v>0</v>
      </c>
      <c r="FF51" s="0" t="n">
        <v>0</v>
      </c>
      <c r="FG51" s="0" t="n">
        <v>0</v>
      </c>
      <c r="FH51" s="0" t="n">
        <v>0</v>
      </c>
      <c r="FI51" s="0" t="n">
        <v>0</v>
      </c>
      <c r="FJ51" s="0" t="n">
        <v>0.0373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</row>
    <row r="52" customFormat="false" ht="13.8" hidden="false" customHeight="false" outlineLevel="0" collapsed="false">
      <c r="A52" s="2" t="s">
        <v>273</v>
      </c>
      <c r="B52" s="0" t="s">
        <v>173</v>
      </c>
      <c r="C52" s="0" t="n">
        <v>43</v>
      </c>
      <c r="D52" s="0" t="s">
        <v>274</v>
      </c>
      <c r="G52" s="0" t="n">
        <v>3237.577</v>
      </c>
      <c r="H52" s="0" t="n">
        <v>218.3164</v>
      </c>
      <c r="I52" s="0" t="n">
        <v>685.8613</v>
      </c>
      <c r="J52" s="0" t="n">
        <v>0.589066666666667</v>
      </c>
      <c r="K52" s="0" t="n">
        <v>0.0063</v>
      </c>
      <c r="L52" s="0" t="n">
        <v>20.2705</v>
      </c>
      <c r="M52" s="0" t="n">
        <v>50.5956</v>
      </c>
      <c r="N52" s="0" t="n">
        <v>366.4045</v>
      </c>
      <c r="O52" s="0" t="n">
        <v>483.7246</v>
      </c>
      <c r="P52" s="0" t="n">
        <v>366.4147</v>
      </c>
      <c r="Q52" s="0" t="n">
        <v>416.7364</v>
      </c>
      <c r="R52" s="0" t="n">
        <v>184.5843</v>
      </c>
      <c r="S52" s="0" t="n">
        <v>137.3725</v>
      </c>
      <c r="T52" s="0" t="n">
        <v>113.0627</v>
      </c>
      <c r="U52" s="0" t="n">
        <v>146.1744</v>
      </c>
      <c r="V52" s="0" t="n">
        <v>64.488</v>
      </c>
      <c r="W52" s="0" t="n">
        <v>93.1929</v>
      </c>
      <c r="X52" s="0" t="n">
        <v>54.6537</v>
      </c>
      <c r="Y52" s="0" t="n">
        <v>40.91</v>
      </c>
      <c r="Z52" s="0" t="n">
        <v>49.218</v>
      </c>
      <c r="AA52" s="0" t="n">
        <v>46.936</v>
      </c>
      <c r="AB52" s="0" t="n">
        <v>41.6481</v>
      </c>
      <c r="AC52" s="0" t="n">
        <v>27.4298</v>
      </c>
      <c r="AD52" s="0" t="n">
        <v>34.1053</v>
      </c>
      <c r="AE52" s="0" t="n">
        <v>28.0508</v>
      </c>
      <c r="AF52" s="0" t="n">
        <v>32.7558</v>
      </c>
      <c r="AG52" s="0" t="n">
        <v>17.6288</v>
      </c>
      <c r="AH52" s="0" t="n">
        <v>27.612</v>
      </c>
      <c r="AI52" s="0" t="n">
        <v>31.0837</v>
      </c>
      <c r="AJ52" s="0" t="n">
        <v>18.9439</v>
      </c>
      <c r="AK52" s="0" t="n">
        <v>25.2348</v>
      </c>
      <c r="AL52" s="0" t="n">
        <v>14.2869</v>
      </c>
      <c r="AM52" s="0" t="n">
        <v>20.5135</v>
      </c>
      <c r="AN52" s="0" t="n">
        <v>21.6719</v>
      </c>
      <c r="AO52" s="0" t="n">
        <v>23.8368</v>
      </c>
      <c r="AP52" s="0" t="n">
        <v>21.5997</v>
      </c>
      <c r="AQ52" s="0" t="n">
        <v>24.2852</v>
      </c>
      <c r="AR52" s="0" t="n">
        <v>22.1553</v>
      </c>
      <c r="AS52" s="0" t="n">
        <v>27.0843</v>
      </c>
      <c r="AT52" s="0" t="n">
        <v>27.2981</v>
      </c>
      <c r="AU52" s="0" t="n">
        <v>19.3489</v>
      </c>
      <c r="AV52" s="0" t="n">
        <v>10.7427</v>
      </c>
      <c r="AW52" s="0" t="n">
        <v>11.2599</v>
      </c>
      <c r="AX52" s="0" t="n">
        <v>15.7605</v>
      </c>
      <c r="AY52" s="0" t="n">
        <v>8.7123</v>
      </c>
      <c r="AZ52" s="0" t="n">
        <v>7.9792</v>
      </c>
      <c r="BA52" s="0" t="n">
        <v>4.6795</v>
      </c>
      <c r="BB52" s="0" t="n">
        <v>5.1003</v>
      </c>
      <c r="BC52" s="0" t="n">
        <v>3.0775</v>
      </c>
      <c r="BD52" s="0" t="n">
        <v>2.1929</v>
      </c>
      <c r="BE52" s="0" t="n">
        <v>1.7551</v>
      </c>
      <c r="BF52" s="0" t="n">
        <v>2.5559</v>
      </c>
      <c r="BG52" s="0" t="n">
        <v>1.9526</v>
      </c>
      <c r="BH52" s="0" t="n">
        <v>0.5257</v>
      </c>
      <c r="BI52" s="0" t="n">
        <v>1.6545</v>
      </c>
      <c r="BJ52" s="0" t="n">
        <v>1.9319</v>
      </c>
      <c r="BK52" s="0" t="n">
        <v>1.7841</v>
      </c>
      <c r="BL52" s="0" t="n">
        <v>0.8437</v>
      </c>
      <c r="BM52" s="0" t="n">
        <v>1.1912</v>
      </c>
      <c r="BN52" s="0" t="n">
        <v>1.3183</v>
      </c>
      <c r="BO52" s="0" t="n">
        <v>0.7186</v>
      </c>
      <c r="BP52" s="0" t="n">
        <v>0.7734</v>
      </c>
      <c r="BQ52" s="0" t="n">
        <v>1.0476</v>
      </c>
      <c r="BR52" s="0" t="n">
        <v>0.9687</v>
      </c>
      <c r="BS52" s="0" t="n">
        <v>0.4019</v>
      </c>
      <c r="BT52" s="0" t="n">
        <v>0.5387</v>
      </c>
      <c r="BU52" s="0" t="n">
        <v>0.3118</v>
      </c>
      <c r="BV52" s="0" t="n">
        <v>0.5661</v>
      </c>
      <c r="BW52" s="0" t="n">
        <v>0.3664</v>
      </c>
      <c r="BX52" s="0" t="n">
        <v>0.3248</v>
      </c>
      <c r="BY52" s="0" t="n">
        <v>0.4605</v>
      </c>
      <c r="BZ52" s="0" t="n">
        <v>0.1433</v>
      </c>
      <c r="CA52" s="0" t="n">
        <v>0.493</v>
      </c>
      <c r="CB52" s="0" t="n">
        <v>0.0783</v>
      </c>
      <c r="CC52" s="0" t="n">
        <v>0.3315</v>
      </c>
      <c r="CD52" s="0" t="n">
        <v>0.137</v>
      </c>
      <c r="CE52" s="0" t="n">
        <v>0.137</v>
      </c>
      <c r="CF52" s="0" t="n">
        <v>0.2422</v>
      </c>
      <c r="CG52" s="0" t="n">
        <v>0.1201</v>
      </c>
      <c r="CH52" s="0" t="n">
        <v>0.9596</v>
      </c>
      <c r="CI52" s="0" t="n">
        <v>0.0534</v>
      </c>
      <c r="CJ52" s="0" t="n">
        <v>0.1094</v>
      </c>
      <c r="CK52" s="0" t="n">
        <v>0.0724</v>
      </c>
      <c r="CL52" s="0" t="n">
        <v>0.347</v>
      </c>
      <c r="CM52" s="0" t="n">
        <v>0.6644</v>
      </c>
      <c r="CN52" s="0" t="n">
        <v>0.0001</v>
      </c>
      <c r="CO52" s="0" t="n">
        <v>0.5533</v>
      </c>
      <c r="CP52" s="0" t="n">
        <v>2.042</v>
      </c>
      <c r="CQ52" s="0" t="n">
        <v>20.7667</v>
      </c>
      <c r="CR52" s="0" t="n">
        <v>34.2202</v>
      </c>
      <c r="CS52" s="0" t="n">
        <v>30.5108</v>
      </c>
      <c r="CT52" s="0" t="n">
        <v>41.9067</v>
      </c>
      <c r="CU52" s="0" t="n">
        <v>21.9367</v>
      </c>
      <c r="CV52" s="0" t="n">
        <v>18.329</v>
      </c>
      <c r="CW52" s="0" t="n">
        <v>16.6071</v>
      </c>
      <c r="CX52" s="0" t="n">
        <v>24.2485</v>
      </c>
      <c r="CY52" s="0" t="n">
        <v>11.6936</v>
      </c>
      <c r="CZ52" s="0" t="n">
        <v>18.2692</v>
      </c>
      <c r="DA52" s="0" t="n">
        <v>11.7908</v>
      </c>
      <c r="DB52" s="0" t="n">
        <v>9.273</v>
      </c>
      <c r="DC52" s="0" t="n">
        <v>11.9158</v>
      </c>
      <c r="DD52" s="0" t="n">
        <v>12.1356</v>
      </c>
      <c r="DE52" s="0" t="n">
        <v>11.4716</v>
      </c>
      <c r="DF52" s="0" t="n">
        <v>7.9848</v>
      </c>
      <c r="DG52" s="0" t="n">
        <v>10.4608</v>
      </c>
      <c r="DH52" s="0" t="n">
        <v>8.9873</v>
      </c>
      <c r="DI52" s="0" t="n">
        <v>11.1154</v>
      </c>
      <c r="DJ52" s="0" t="n">
        <v>6.2868</v>
      </c>
      <c r="DK52" s="0" t="n">
        <v>10.1293</v>
      </c>
      <c r="DL52" s="0" t="n">
        <v>11.9994</v>
      </c>
      <c r="DM52" s="0" t="n">
        <v>7.5917</v>
      </c>
      <c r="DN52" s="0" t="n">
        <v>10.5243</v>
      </c>
      <c r="DO52" s="0" t="n">
        <v>6.1886</v>
      </c>
      <c r="DP52" s="0" t="n">
        <v>9.1351</v>
      </c>
      <c r="DQ52" s="0" t="n">
        <v>10.0294</v>
      </c>
      <c r="DR52" s="0" t="n">
        <v>11.4684</v>
      </c>
      <c r="DS52" s="0" t="n">
        <v>10.695</v>
      </c>
      <c r="DT52" s="0" t="n">
        <v>12.3976</v>
      </c>
      <c r="DU52" s="0" t="n">
        <v>11.6559</v>
      </c>
      <c r="DV52" s="0" t="n">
        <v>14.6249</v>
      </c>
      <c r="DW52" s="0" t="n">
        <v>15.1642</v>
      </c>
      <c r="DX52" s="0" t="n">
        <v>11.1018</v>
      </c>
      <c r="DY52" s="0" t="n">
        <v>6.3449</v>
      </c>
      <c r="DZ52" s="0" t="n">
        <v>6.7768</v>
      </c>
      <c r="EA52" s="0" t="n">
        <v>9.7889</v>
      </c>
      <c r="EB52" s="0" t="n">
        <v>5.5629</v>
      </c>
      <c r="EC52" s="0" t="n">
        <v>5.209</v>
      </c>
      <c r="ED52" s="0" t="n">
        <v>3.1113</v>
      </c>
      <c r="EE52" s="0" t="n">
        <v>3.4737</v>
      </c>
      <c r="EF52" s="0" t="n">
        <v>2.1604</v>
      </c>
      <c r="EG52" s="0" t="n">
        <v>1.5692</v>
      </c>
      <c r="EH52" s="0" t="n">
        <v>1.2811</v>
      </c>
      <c r="EI52" s="0" t="n">
        <v>1.905</v>
      </c>
      <c r="EJ52" s="0" t="n">
        <v>1.4835</v>
      </c>
      <c r="EK52" s="0" t="n">
        <v>0.4097</v>
      </c>
      <c r="EL52" s="0" t="n">
        <v>1.3107</v>
      </c>
      <c r="EM52" s="0" t="n">
        <v>1.5625</v>
      </c>
      <c r="EN52" s="0" t="n">
        <v>1.4707</v>
      </c>
      <c r="EO52" s="0" t="n">
        <v>0.7093</v>
      </c>
      <c r="EP52" s="0" t="n">
        <v>1.0178</v>
      </c>
      <c r="EQ52" s="0" t="n">
        <v>1.1487</v>
      </c>
      <c r="ER52" s="0" t="n">
        <v>0.637</v>
      </c>
      <c r="ES52" s="0" t="n">
        <v>0.6981</v>
      </c>
      <c r="ET52" s="0" t="n">
        <v>0.9638</v>
      </c>
      <c r="EU52" s="0" t="n">
        <v>0.9047</v>
      </c>
      <c r="EV52" s="0" t="n">
        <v>0.3825</v>
      </c>
      <c r="EW52" s="0" t="n">
        <v>0.5202</v>
      </c>
      <c r="EX52" s="0" t="n">
        <v>0.3053</v>
      </c>
      <c r="EY52" s="0" t="n">
        <v>0.5658</v>
      </c>
      <c r="EZ52" s="0" t="n">
        <v>0.3718</v>
      </c>
      <c r="FA52" s="0" t="n">
        <v>0.3331</v>
      </c>
      <c r="FB52" s="0" t="n">
        <v>0.4817</v>
      </c>
      <c r="FC52" s="0" t="n">
        <v>0.1522</v>
      </c>
      <c r="FD52" s="0" t="n">
        <v>0.5325</v>
      </c>
      <c r="FE52" s="0" t="n">
        <v>0.0856</v>
      </c>
      <c r="FF52" s="0" t="n">
        <v>0.3662</v>
      </c>
      <c r="FG52" s="0" t="n">
        <v>0.154</v>
      </c>
      <c r="FH52" s="0" t="n">
        <v>0.1561</v>
      </c>
      <c r="FI52" s="0" t="n">
        <v>0.2802</v>
      </c>
      <c r="FJ52" s="0" t="n">
        <v>0.1402</v>
      </c>
      <c r="FK52" s="0" t="n">
        <v>1.144</v>
      </c>
      <c r="FL52" s="0" t="n">
        <v>0.0642</v>
      </c>
      <c r="FM52" s="0" t="n">
        <v>0.1326</v>
      </c>
      <c r="FN52" s="0" t="n">
        <v>0.0894</v>
      </c>
      <c r="FO52" s="0" t="n">
        <v>0.4328</v>
      </c>
      <c r="FP52" s="0" t="n">
        <v>0.8761</v>
      </c>
    </row>
    <row r="53" customFormat="false" ht="13.8" hidden="false" customHeight="false" outlineLevel="0" collapsed="false">
      <c r="A53" s="2" t="s">
        <v>275</v>
      </c>
      <c r="B53" s="0" t="s">
        <v>199</v>
      </c>
      <c r="C53" s="0" t="s">
        <v>222</v>
      </c>
      <c r="D53" s="0" t="s">
        <v>223</v>
      </c>
      <c r="G53" s="0" t="n">
        <v>3389.1573</v>
      </c>
      <c r="H53" s="0" t="n">
        <v>427.4095</v>
      </c>
      <c r="I53" s="0" t="n">
        <v>1342.7467</v>
      </c>
      <c r="J53" s="0" t="n">
        <v>1.2636</v>
      </c>
      <c r="K53" s="0" t="n">
        <v>0.0571</v>
      </c>
      <c r="L53" s="0" t="n">
        <v>19.5539</v>
      </c>
      <c r="M53" s="0" t="n">
        <v>26.719</v>
      </c>
      <c r="N53" s="0" t="n">
        <v>125.7996</v>
      </c>
      <c r="O53" s="0" t="n">
        <v>186.0476</v>
      </c>
      <c r="P53" s="0" t="n">
        <v>191.8012</v>
      </c>
      <c r="Q53" s="0" t="n">
        <v>297.8729</v>
      </c>
      <c r="R53" s="0" t="n">
        <v>165.7228</v>
      </c>
      <c r="S53" s="0" t="n">
        <v>127.9329</v>
      </c>
      <c r="T53" s="0" t="n">
        <v>111.0346</v>
      </c>
      <c r="U53" s="0" t="n">
        <v>148.3558</v>
      </c>
      <c r="V53" s="0" t="n">
        <v>66.2845</v>
      </c>
      <c r="W53" s="0" t="n">
        <v>110.8705</v>
      </c>
      <c r="X53" s="0" t="n">
        <v>68.4374</v>
      </c>
      <c r="Y53" s="0" t="n">
        <v>47.7317</v>
      </c>
      <c r="Z53" s="0" t="n">
        <v>57.6409</v>
      </c>
      <c r="AA53" s="0" t="n">
        <v>75.3942</v>
      </c>
      <c r="AB53" s="0" t="n">
        <v>67.6709</v>
      </c>
      <c r="AC53" s="0" t="n">
        <v>45.5089</v>
      </c>
      <c r="AD53" s="0" t="n">
        <v>59.1115</v>
      </c>
      <c r="AE53" s="0" t="n">
        <v>38.9579</v>
      </c>
      <c r="AF53" s="0" t="n">
        <v>59.7483</v>
      </c>
      <c r="AG53" s="0" t="n">
        <v>24.6442</v>
      </c>
      <c r="AH53" s="0" t="n">
        <v>48.4545</v>
      </c>
      <c r="AI53" s="0" t="n">
        <v>55.7139</v>
      </c>
      <c r="AJ53" s="0" t="n">
        <v>32.0666</v>
      </c>
      <c r="AK53" s="0" t="n">
        <v>51.2481</v>
      </c>
      <c r="AL53" s="0" t="n">
        <v>29.4431</v>
      </c>
      <c r="AM53" s="0" t="n">
        <v>37.0389</v>
      </c>
      <c r="AN53" s="0" t="n">
        <v>37.8196</v>
      </c>
      <c r="AO53" s="0" t="n">
        <v>42.165</v>
      </c>
      <c r="AP53" s="0" t="n">
        <v>32.7208</v>
      </c>
      <c r="AQ53" s="0" t="n">
        <v>36.6533</v>
      </c>
      <c r="AR53" s="0" t="n">
        <v>40.1106</v>
      </c>
      <c r="AS53" s="0" t="n">
        <v>31.3524</v>
      </c>
      <c r="AT53" s="0" t="n">
        <v>49.663</v>
      </c>
      <c r="AU53" s="0" t="n">
        <v>34.7103</v>
      </c>
      <c r="AV53" s="0" t="n">
        <v>23.7457</v>
      </c>
      <c r="AW53" s="0" t="n">
        <v>33.5987</v>
      </c>
      <c r="AX53" s="0" t="n">
        <v>47.0211</v>
      </c>
      <c r="AY53" s="0" t="n">
        <v>25.7758</v>
      </c>
      <c r="AZ53" s="0" t="n">
        <v>39.3434</v>
      </c>
      <c r="BA53" s="0" t="n">
        <v>16.4092</v>
      </c>
      <c r="BB53" s="0" t="n">
        <v>42.3296</v>
      </c>
      <c r="BC53" s="0" t="n">
        <v>36.9096</v>
      </c>
      <c r="BD53" s="0" t="n">
        <v>23.6562</v>
      </c>
      <c r="BE53" s="0" t="n">
        <v>35.607</v>
      </c>
      <c r="BF53" s="0" t="n">
        <v>21.7497</v>
      </c>
      <c r="BG53" s="0" t="n">
        <v>29.0004</v>
      </c>
      <c r="BH53" s="0" t="n">
        <v>33.9894</v>
      </c>
      <c r="BI53" s="0" t="n">
        <v>25.158</v>
      </c>
      <c r="BJ53" s="0" t="n">
        <v>22.8828</v>
      </c>
      <c r="BK53" s="0" t="n">
        <v>26.3655</v>
      </c>
      <c r="BL53" s="0" t="n">
        <v>17.3628</v>
      </c>
      <c r="BM53" s="0" t="n">
        <v>15.2786</v>
      </c>
      <c r="BN53" s="0" t="n">
        <v>14.0966</v>
      </c>
      <c r="BO53" s="0" t="n">
        <v>14.4568</v>
      </c>
      <c r="BP53" s="0" t="n">
        <v>12.5445</v>
      </c>
      <c r="BQ53" s="0" t="n">
        <v>14.0259</v>
      </c>
      <c r="BR53" s="0" t="n">
        <v>15.0585</v>
      </c>
      <c r="BS53" s="0" t="n">
        <v>10.881</v>
      </c>
      <c r="BT53" s="0" t="n">
        <v>8.4254</v>
      </c>
      <c r="BU53" s="0" t="n">
        <v>8.7067</v>
      </c>
      <c r="BV53" s="0" t="n">
        <v>7.483</v>
      </c>
      <c r="BW53" s="0" t="n">
        <v>6.6432</v>
      </c>
      <c r="BX53" s="0" t="n">
        <v>6.2038</v>
      </c>
      <c r="BY53" s="0" t="n">
        <v>5.1229</v>
      </c>
      <c r="BZ53" s="0" t="n">
        <v>4.9097</v>
      </c>
      <c r="CA53" s="0" t="n">
        <v>4.7252</v>
      </c>
      <c r="CB53" s="0" t="n">
        <v>4.0611</v>
      </c>
      <c r="CC53" s="0" t="n">
        <v>4.9687</v>
      </c>
      <c r="CD53" s="0" t="n">
        <v>3.6409</v>
      </c>
      <c r="CE53" s="0" t="n">
        <v>4.97</v>
      </c>
      <c r="CF53" s="0" t="n">
        <v>3.061</v>
      </c>
      <c r="CG53" s="0" t="n">
        <v>3.0433</v>
      </c>
      <c r="CH53" s="0" t="n">
        <v>2.0327</v>
      </c>
      <c r="CI53" s="0" t="n">
        <v>2.1904</v>
      </c>
      <c r="CJ53" s="0" t="n">
        <v>3.517</v>
      </c>
      <c r="CK53" s="0" t="n">
        <v>3.0179</v>
      </c>
      <c r="CL53" s="0" t="n">
        <v>2.6843</v>
      </c>
      <c r="CM53" s="0" t="n">
        <v>19.7482</v>
      </c>
      <c r="CN53" s="0" t="n">
        <v>0.0007</v>
      </c>
      <c r="CO53" s="0" t="n">
        <v>0.5306</v>
      </c>
      <c r="CP53" s="0" t="n">
        <v>1.0517</v>
      </c>
      <c r="CQ53" s="0" t="n">
        <v>7.1238</v>
      </c>
      <c r="CR53" s="0" t="n">
        <v>13.4355</v>
      </c>
      <c r="CS53" s="0" t="n">
        <v>16.4796</v>
      </c>
      <c r="CT53" s="0" t="n">
        <v>30.0726</v>
      </c>
      <c r="CU53" s="0" t="n">
        <v>19.6636</v>
      </c>
      <c r="CV53" s="0" t="n">
        <v>17.0137</v>
      </c>
      <c r="CW53" s="0" t="n">
        <v>16.2854</v>
      </c>
      <c r="CX53" s="0" t="n">
        <v>24.6619</v>
      </c>
      <c r="CY53" s="0" t="n">
        <v>12.0526</v>
      </c>
      <c r="CZ53" s="0" t="n">
        <v>21.7287</v>
      </c>
      <c r="DA53" s="0" t="n">
        <v>14.7799</v>
      </c>
      <c r="DB53" s="0" t="n">
        <v>10.8374</v>
      </c>
      <c r="DC53" s="0" t="n">
        <v>13.9745</v>
      </c>
      <c r="DD53" s="0" t="n">
        <v>19.4662</v>
      </c>
      <c r="DE53" s="0" t="n">
        <v>18.6944</v>
      </c>
      <c r="DF53" s="0" t="n">
        <v>13.213</v>
      </c>
      <c r="DG53" s="0" t="n">
        <v>18.148</v>
      </c>
      <c r="DH53" s="0" t="n">
        <v>12.4875</v>
      </c>
      <c r="DI53" s="0" t="n">
        <v>20.27</v>
      </c>
      <c r="DJ53" s="0" t="n">
        <v>8.7902</v>
      </c>
      <c r="DK53" s="0" t="n">
        <v>17.7774</v>
      </c>
      <c r="DL53" s="0" t="n">
        <v>21.5362</v>
      </c>
      <c r="DM53" s="0" t="n">
        <v>12.8247</v>
      </c>
      <c r="DN53" s="0" t="n">
        <v>21.3616</v>
      </c>
      <c r="DO53" s="0" t="n">
        <v>12.7543</v>
      </c>
      <c r="DP53" s="0" t="n">
        <v>16.5132</v>
      </c>
      <c r="DQ53" s="0" t="n">
        <v>17.5187</v>
      </c>
      <c r="DR53" s="0" t="n">
        <v>20.2985</v>
      </c>
      <c r="DS53" s="0" t="n">
        <v>16.1257</v>
      </c>
      <c r="DT53" s="0" t="n">
        <v>18.6548</v>
      </c>
      <c r="DU53" s="0" t="n">
        <v>21.114</v>
      </c>
      <c r="DV53" s="0" t="n">
        <v>16.9791</v>
      </c>
      <c r="DW53" s="0" t="n">
        <v>27.5741</v>
      </c>
      <c r="DX53" s="0" t="n">
        <v>19.9443</v>
      </c>
      <c r="DY53" s="0" t="n">
        <v>14.0413</v>
      </c>
      <c r="DZ53" s="0" t="n">
        <v>20.2686</v>
      </c>
      <c r="EA53" s="0" t="n">
        <v>29.212</v>
      </c>
      <c r="EB53" s="0" t="n">
        <v>16.4358</v>
      </c>
      <c r="EC53" s="0" t="n">
        <v>25.7098</v>
      </c>
      <c r="ED53" s="0" t="n">
        <v>10.9096</v>
      </c>
      <c r="EE53" s="0" t="n">
        <v>28.821</v>
      </c>
      <c r="EF53" s="0" t="n">
        <v>25.8961</v>
      </c>
      <c r="EG53" s="0" t="n">
        <v>16.9687</v>
      </c>
      <c r="EH53" s="0" t="n">
        <v>26.0165</v>
      </c>
      <c r="EI53" s="0" t="n">
        <v>16.1751</v>
      </c>
      <c r="EJ53" s="0" t="n">
        <v>22.0478</v>
      </c>
      <c r="EK53" s="0" t="n">
        <v>26.4871</v>
      </c>
      <c r="EL53" s="0" t="n">
        <v>19.9563</v>
      </c>
      <c r="EM53" s="0" t="n">
        <v>18.4735</v>
      </c>
      <c r="EN53" s="0" t="n">
        <v>21.7777</v>
      </c>
      <c r="EO53" s="0" t="n">
        <v>14.6224</v>
      </c>
      <c r="EP53" s="0" t="n">
        <v>13.0734</v>
      </c>
      <c r="EQ53" s="0" t="n">
        <v>12.2841</v>
      </c>
      <c r="ER53" s="0" t="n">
        <v>12.8231</v>
      </c>
      <c r="ES53" s="0" t="n">
        <v>11.3302</v>
      </c>
      <c r="ET53" s="0" t="n">
        <v>12.8771</v>
      </c>
      <c r="EU53" s="0" t="n">
        <v>14.0656</v>
      </c>
      <c r="EV53" s="0" t="n">
        <v>10.3539</v>
      </c>
      <c r="EW53" s="0" t="n">
        <v>8.1464</v>
      </c>
      <c r="EX53" s="0" t="n">
        <v>8.5236</v>
      </c>
      <c r="EY53" s="0" t="n">
        <v>7.453</v>
      </c>
      <c r="EZ53" s="0" t="n">
        <v>6.7417</v>
      </c>
      <c r="FA53" s="0" t="n">
        <v>6.388</v>
      </c>
      <c r="FB53" s="0" t="n">
        <v>5.3334</v>
      </c>
      <c r="FC53" s="0" t="n">
        <v>5.1937</v>
      </c>
      <c r="FD53" s="0" t="n">
        <v>5.0818</v>
      </c>
      <c r="FE53" s="0" t="n">
        <v>4.4389</v>
      </c>
      <c r="FF53" s="0" t="n">
        <v>5.4969</v>
      </c>
      <c r="FG53" s="0" t="n">
        <v>4.0861</v>
      </c>
      <c r="FH53" s="0" t="n">
        <v>5.665</v>
      </c>
      <c r="FI53" s="0" t="n">
        <v>3.5328</v>
      </c>
      <c r="FJ53" s="0" t="n">
        <v>3.5666</v>
      </c>
      <c r="FK53" s="0" t="n">
        <v>2.411</v>
      </c>
      <c r="FL53" s="0" t="n">
        <v>2.6275</v>
      </c>
      <c r="FM53" s="0" t="n">
        <v>4.2869</v>
      </c>
      <c r="FN53" s="0" t="n">
        <v>3.7196</v>
      </c>
      <c r="FO53" s="0" t="n">
        <v>3.3519</v>
      </c>
      <c r="FP53" s="0" t="n">
        <v>28.217</v>
      </c>
    </row>
    <row r="54" customFormat="false" ht="13.8" hidden="false" customHeight="false" outlineLevel="0" collapsed="false">
      <c r="A54" s="2" t="s">
        <v>276</v>
      </c>
      <c r="B54" s="0" t="s">
        <v>176</v>
      </c>
      <c r="C54" s="0" t="n">
        <v>226</v>
      </c>
      <c r="D54" s="0" t="s">
        <v>277</v>
      </c>
      <c r="G54" s="0" t="n">
        <v>1471.1208</v>
      </c>
      <c r="H54" s="0" t="n">
        <v>52.8816</v>
      </c>
      <c r="I54" s="0" t="n">
        <v>166.1323</v>
      </c>
      <c r="J54" s="0" t="n">
        <v>0.34255</v>
      </c>
      <c r="K54" s="0" t="n">
        <v>0</v>
      </c>
      <c r="L54" s="0" t="n">
        <v>343.7106</v>
      </c>
      <c r="M54" s="0" t="n">
        <v>317.4172</v>
      </c>
      <c r="N54" s="0" t="n">
        <v>186.4257</v>
      </c>
      <c r="O54" s="0" t="n">
        <v>0.4898</v>
      </c>
      <c r="P54" s="0" t="n">
        <v>175.3966</v>
      </c>
      <c r="Q54" s="0" t="n">
        <v>56.5201</v>
      </c>
      <c r="R54" s="0" t="n">
        <v>61.4387</v>
      </c>
      <c r="S54" s="0" t="n">
        <v>32.9171</v>
      </c>
      <c r="T54" s="0" t="n">
        <v>6.2466</v>
      </c>
      <c r="U54" s="0" t="n">
        <v>43.8525</v>
      </c>
      <c r="V54" s="0" t="n">
        <v>38.672</v>
      </c>
      <c r="W54" s="0" t="n">
        <v>18.1114</v>
      </c>
      <c r="X54" s="0" t="n">
        <v>23.3526</v>
      </c>
      <c r="Y54" s="0" t="n">
        <v>13.7626</v>
      </c>
      <c r="Z54" s="0" t="n">
        <v>8.386</v>
      </c>
      <c r="AA54" s="0" t="n">
        <v>4.2943</v>
      </c>
      <c r="AB54" s="0" t="n">
        <v>6.3934</v>
      </c>
      <c r="AC54" s="0" t="n">
        <v>3.7412</v>
      </c>
      <c r="AD54" s="0" t="n">
        <v>12.433</v>
      </c>
      <c r="AE54" s="0" t="n">
        <v>8.8736</v>
      </c>
      <c r="AF54" s="0" t="n">
        <v>16.4775</v>
      </c>
      <c r="AG54" s="0" t="n">
        <v>9.0342</v>
      </c>
      <c r="AH54" s="0" t="n">
        <v>11.137</v>
      </c>
      <c r="AI54" s="0" t="n">
        <v>11.4809</v>
      </c>
      <c r="AJ54" s="0" t="n">
        <v>3.0664</v>
      </c>
      <c r="AK54" s="0" t="n">
        <v>8.1254</v>
      </c>
      <c r="AL54" s="0" t="n">
        <v>7.0471</v>
      </c>
      <c r="AM54" s="0" t="n">
        <v>2.6617</v>
      </c>
      <c r="AN54" s="0" t="n">
        <v>1.5684</v>
      </c>
      <c r="AO54" s="0" t="n">
        <v>6.0099</v>
      </c>
      <c r="AP54" s="0" t="n">
        <v>5.0904</v>
      </c>
      <c r="AQ54" s="0" t="n">
        <v>4.9619</v>
      </c>
      <c r="AR54" s="0" t="n">
        <v>2.5117</v>
      </c>
      <c r="AS54" s="0" t="n">
        <v>4.511</v>
      </c>
      <c r="AT54" s="0" t="n">
        <v>4.0028</v>
      </c>
      <c r="AU54" s="0" t="n">
        <v>2.6224</v>
      </c>
      <c r="AV54" s="0" t="n">
        <v>0.1898</v>
      </c>
      <c r="AW54" s="0" t="n">
        <v>1.2762</v>
      </c>
      <c r="AX54" s="0" t="n">
        <v>0.8955</v>
      </c>
      <c r="AY54" s="0" t="n">
        <v>0.7982</v>
      </c>
      <c r="AZ54" s="0" t="n">
        <v>0.895</v>
      </c>
      <c r="BA54" s="0" t="n">
        <v>0.6805</v>
      </c>
      <c r="BB54" s="0" t="n">
        <v>0.4912</v>
      </c>
      <c r="BC54" s="0" t="n">
        <v>0.8939</v>
      </c>
      <c r="BD54" s="0" t="n">
        <v>0.0608</v>
      </c>
      <c r="BE54" s="0" t="n">
        <v>0.6003</v>
      </c>
      <c r="BF54" s="0" t="n">
        <v>0.0714</v>
      </c>
      <c r="BG54" s="0" t="n">
        <v>0.2235</v>
      </c>
      <c r="BH54" s="0" t="n">
        <v>0.0878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0.0909</v>
      </c>
      <c r="BS54" s="0" t="n">
        <v>0</v>
      </c>
      <c r="BT54" s="0" t="n">
        <v>0</v>
      </c>
      <c r="BU54" s="0" t="n">
        <v>0</v>
      </c>
      <c r="BV54" s="0" t="n">
        <v>0</v>
      </c>
      <c r="BW54" s="0" t="n">
        <v>0.0587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  <c r="CL54" s="0" t="n">
        <v>0</v>
      </c>
      <c r="CM54" s="0" t="n">
        <v>0</v>
      </c>
      <c r="CN54" s="0" t="n">
        <v>0</v>
      </c>
      <c r="CO54" s="0" t="n">
        <v>7.3331</v>
      </c>
      <c r="CP54" s="0" t="n">
        <v>13.4331</v>
      </c>
      <c r="CQ54" s="0" t="n">
        <v>11.3711</v>
      </c>
      <c r="CR54" s="0" t="n">
        <v>0.0338</v>
      </c>
      <c r="CS54" s="0" t="n">
        <v>14.6417</v>
      </c>
      <c r="CT54" s="0" t="n">
        <v>5.7337</v>
      </c>
      <c r="CU54" s="0" t="n">
        <v>7.1697</v>
      </c>
      <c r="CV54" s="0" t="n">
        <v>4.5687</v>
      </c>
      <c r="CW54" s="0" t="n">
        <v>0.9031</v>
      </c>
      <c r="CX54" s="0" t="n">
        <v>7.1395</v>
      </c>
      <c r="CY54" s="0" t="n">
        <v>7.0673</v>
      </c>
      <c r="CZ54" s="0" t="n">
        <v>3.5998</v>
      </c>
      <c r="DA54" s="0" t="n">
        <v>4.9153</v>
      </c>
      <c r="DB54" s="0" t="n">
        <v>3.1265</v>
      </c>
      <c r="DC54" s="0" t="n">
        <v>2.0565</v>
      </c>
      <c r="DD54" s="0" t="n">
        <v>1.0964</v>
      </c>
      <c r="DE54" s="0" t="n">
        <v>1.7486</v>
      </c>
      <c r="DF54" s="0" t="n">
        <v>1.0818</v>
      </c>
      <c r="DG54" s="0" t="n">
        <v>3.7807</v>
      </c>
      <c r="DH54" s="0" t="n">
        <v>2.8511</v>
      </c>
      <c r="DI54" s="0" t="n">
        <v>5.5822</v>
      </c>
      <c r="DJ54" s="0" t="n">
        <v>3.2123</v>
      </c>
      <c r="DK54" s="0" t="n">
        <v>4.1112</v>
      </c>
      <c r="DL54" s="0" t="n">
        <v>4.4698</v>
      </c>
      <c r="DM54" s="0" t="n">
        <v>1.221</v>
      </c>
      <c r="DN54" s="0" t="n">
        <v>3.379</v>
      </c>
      <c r="DO54" s="0" t="n">
        <v>3.0725</v>
      </c>
      <c r="DP54" s="0" t="n">
        <v>1.2085</v>
      </c>
      <c r="DQ54" s="0" t="n">
        <v>0.7217</v>
      </c>
      <c r="DR54" s="0" t="n">
        <v>2.8724</v>
      </c>
      <c r="DS54" s="0" t="n">
        <v>2.5272</v>
      </c>
      <c r="DT54" s="0" t="n">
        <v>2.5516</v>
      </c>
      <c r="DU54" s="0" t="n">
        <v>1.3138</v>
      </c>
      <c r="DV54" s="0" t="n">
        <v>2.4243</v>
      </c>
      <c r="DW54" s="0" t="n">
        <v>2.2244</v>
      </c>
      <c r="DX54" s="0" t="n">
        <v>1.514</v>
      </c>
      <c r="DY54" s="0" t="n">
        <v>0.1124</v>
      </c>
      <c r="DZ54" s="0" t="n">
        <v>0.7642</v>
      </c>
      <c r="EA54" s="0" t="n">
        <v>0.5548</v>
      </c>
      <c r="EB54" s="0" t="n">
        <v>0.5105</v>
      </c>
      <c r="EC54" s="0" t="n">
        <v>0.5797</v>
      </c>
      <c r="ED54" s="0" t="n">
        <v>0.4529</v>
      </c>
      <c r="EE54" s="0" t="n">
        <v>0.3351</v>
      </c>
      <c r="EF54" s="0" t="n">
        <v>0.6258</v>
      </c>
      <c r="EG54" s="0" t="n">
        <v>0.0435</v>
      </c>
      <c r="EH54" s="0" t="n">
        <v>0.4354</v>
      </c>
      <c r="EI54" s="0" t="n">
        <v>0.0531</v>
      </c>
      <c r="EJ54" s="0" t="n">
        <v>0.1702</v>
      </c>
      <c r="EK54" s="0" t="n">
        <v>0.0685</v>
      </c>
      <c r="EL54" s="0" t="n">
        <v>0</v>
      </c>
      <c r="EM54" s="0" t="n">
        <v>0</v>
      </c>
      <c r="EN54" s="0" t="n">
        <v>0</v>
      </c>
      <c r="EO54" s="0" t="n">
        <v>0</v>
      </c>
      <c r="EP54" s="0" t="n">
        <v>0</v>
      </c>
      <c r="EQ54" s="0" t="n">
        <v>0</v>
      </c>
      <c r="ER54" s="0" t="n">
        <v>0</v>
      </c>
      <c r="ES54" s="0" t="n">
        <v>0</v>
      </c>
      <c r="ET54" s="0" t="n">
        <v>0</v>
      </c>
      <c r="EU54" s="0" t="n">
        <v>0.0847</v>
      </c>
      <c r="EV54" s="0" t="n">
        <v>0</v>
      </c>
      <c r="EW54" s="0" t="n">
        <v>0</v>
      </c>
      <c r="EX54" s="0" t="n">
        <v>0</v>
      </c>
      <c r="EY54" s="0" t="n">
        <v>0</v>
      </c>
      <c r="EZ54" s="0" t="n">
        <v>0.0598</v>
      </c>
      <c r="FA54" s="0" t="n">
        <v>0</v>
      </c>
      <c r="FB54" s="0" t="n">
        <v>0</v>
      </c>
      <c r="FC54" s="0" t="n">
        <v>0</v>
      </c>
      <c r="FD54" s="0" t="n">
        <v>0</v>
      </c>
      <c r="FE54" s="0" t="n">
        <v>0</v>
      </c>
      <c r="FF54" s="0" t="n">
        <v>0</v>
      </c>
      <c r="FG54" s="0" t="n">
        <v>0</v>
      </c>
      <c r="FH54" s="0" t="n">
        <v>0</v>
      </c>
      <c r="FI54" s="0" t="n">
        <v>0</v>
      </c>
      <c r="FJ54" s="0" t="n">
        <v>0</v>
      </c>
      <c r="FK54" s="0" t="n">
        <v>0</v>
      </c>
      <c r="FL54" s="0" t="n">
        <v>0</v>
      </c>
      <c r="FM54" s="0" t="n">
        <v>0</v>
      </c>
      <c r="FN54" s="0" t="n">
        <v>0</v>
      </c>
      <c r="FO54" s="0" t="n">
        <v>0</v>
      </c>
      <c r="FP54" s="0" t="n">
        <v>0</v>
      </c>
    </row>
    <row r="55" customFormat="false" ht="13.8" hidden="false" customHeight="false" outlineLevel="0" collapsed="false">
      <c r="A55" s="2" t="s">
        <v>278</v>
      </c>
      <c r="B55" s="0" t="s">
        <v>173</v>
      </c>
      <c r="C55" s="0" t="n">
        <v>100</v>
      </c>
      <c r="D55" s="0" t="s">
        <v>279</v>
      </c>
      <c r="F55" s="0" t="e">
        <f aca="false">VLOOKUP(A55,[1]ROOT!$A$1:$C$1048576,3,0)</f>
        <v>#N/A</v>
      </c>
      <c r="G55" s="0" t="n">
        <v>2567.7434</v>
      </c>
      <c r="H55" s="0" t="n">
        <v>196.1554</v>
      </c>
      <c r="I55" s="0" t="n">
        <v>616.2406</v>
      </c>
      <c r="J55" s="0" t="n">
        <v>0.7583</v>
      </c>
      <c r="K55" s="0" t="n">
        <v>0.0127</v>
      </c>
      <c r="L55" s="0" t="n">
        <v>22.7215</v>
      </c>
      <c r="M55" s="0" t="n">
        <v>24.7795</v>
      </c>
      <c r="N55" s="0" t="n">
        <v>201.9044</v>
      </c>
      <c r="O55" s="0" t="n">
        <v>287.2366</v>
      </c>
      <c r="P55" s="0" t="n">
        <v>242.6455</v>
      </c>
      <c r="Q55" s="0" t="n">
        <v>329.265</v>
      </c>
      <c r="R55" s="0" t="n">
        <v>153.8308</v>
      </c>
      <c r="S55" s="0" t="n">
        <v>123.1365</v>
      </c>
      <c r="T55" s="0" t="n">
        <v>96.0587</v>
      </c>
      <c r="U55" s="0" t="n">
        <v>123.8955</v>
      </c>
      <c r="V55" s="0" t="n">
        <v>47.3105</v>
      </c>
      <c r="W55" s="0" t="n">
        <v>71.7885</v>
      </c>
      <c r="X55" s="0" t="n">
        <v>48.3473</v>
      </c>
      <c r="Y55" s="0" t="n">
        <v>30.3982</v>
      </c>
      <c r="Z55" s="0" t="n">
        <v>38.5853</v>
      </c>
      <c r="AA55" s="0" t="n">
        <v>40.9762</v>
      </c>
      <c r="AB55" s="0" t="n">
        <v>35.9063</v>
      </c>
      <c r="AC55" s="0" t="n">
        <v>27.547</v>
      </c>
      <c r="AD55" s="0" t="n">
        <v>37.1705</v>
      </c>
      <c r="AE55" s="0" t="n">
        <v>30.9919</v>
      </c>
      <c r="AF55" s="0" t="n">
        <v>41.1074</v>
      </c>
      <c r="AG55" s="0" t="n">
        <v>22.1887</v>
      </c>
      <c r="AH55" s="0" t="n">
        <v>29.2809</v>
      </c>
      <c r="AI55" s="0" t="n">
        <v>39.4381</v>
      </c>
      <c r="AJ55" s="0" t="n">
        <v>30.9338</v>
      </c>
      <c r="AK55" s="0" t="n">
        <v>41.3003</v>
      </c>
      <c r="AL55" s="0" t="n">
        <v>29.5852</v>
      </c>
      <c r="AM55" s="0" t="n">
        <v>31.2641</v>
      </c>
      <c r="AN55" s="0" t="n">
        <v>32.7485</v>
      </c>
      <c r="AO55" s="0" t="n">
        <v>28.8225</v>
      </c>
      <c r="AP55" s="0" t="n">
        <v>23.7538</v>
      </c>
      <c r="AQ55" s="0" t="n">
        <v>24.9781</v>
      </c>
      <c r="AR55" s="0" t="n">
        <v>24.0173</v>
      </c>
      <c r="AS55" s="0" t="n">
        <v>18.5819</v>
      </c>
      <c r="AT55" s="0" t="n">
        <v>23.8409</v>
      </c>
      <c r="AU55" s="0" t="n">
        <v>21.5009</v>
      </c>
      <c r="AV55" s="0" t="n">
        <v>12.0751</v>
      </c>
      <c r="AW55" s="0" t="n">
        <v>13.9677</v>
      </c>
      <c r="AX55" s="0" t="n">
        <v>14.2658</v>
      </c>
      <c r="AY55" s="0" t="n">
        <v>6.9773</v>
      </c>
      <c r="AZ55" s="0" t="n">
        <v>9.5994</v>
      </c>
      <c r="BA55" s="0" t="n">
        <v>4.6323</v>
      </c>
      <c r="BB55" s="0" t="n">
        <v>6.6436</v>
      </c>
      <c r="BC55" s="0" t="n">
        <v>3.7314</v>
      </c>
      <c r="BD55" s="0" t="n">
        <v>2.8753</v>
      </c>
      <c r="BE55" s="0" t="n">
        <v>2.8903</v>
      </c>
      <c r="BF55" s="0" t="n">
        <v>1.2841</v>
      </c>
      <c r="BG55" s="0" t="n">
        <v>1.8274</v>
      </c>
      <c r="BH55" s="0" t="n">
        <v>1.704</v>
      </c>
      <c r="BI55" s="0" t="n">
        <v>0.6026</v>
      </c>
      <c r="BJ55" s="0" t="n">
        <v>0.7503</v>
      </c>
      <c r="BK55" s="0" t="n">
        <v>1.2451</v>
      </c>
      <c r="BL55" s="0" t="n">
        <v>0.4473</v>
      </c>
      <c r="BM55" s="0" t="n">
        <v>0.6412</v>
      </c>
      <c r="BN55" s="0" t="n">
        <v>0.3326</v>
      </c>
      <c r="BO55" s="0" t="n">
        <v>0.4288</v>
      </c>
      <c r="BP55" s="0" t="n">
        <v>0.3341</v>
      </c>
      <c r="BQ55" s="0" t="n">
        <v>0.2072</v>
      </c>
      <c r="BR55" s="0" t="n">
        <v>0.3441</v>
      </c>
      <c r="BS55" s="0" t="n">
        <v>0.0581</v>
      </c>
      <c r="BT55" s="0" t="n">
        <v>0.1861</v>
      </c>
      <c r="BU55" s="0" t="n">
        <v>0.0333</v>
      </c>
      <c r="BV55" s="0" t="n">
        <v>0.1243</v>
      </c>
      <c r="BW55" s="0" t="n">
        <v>0.0999</v>
      </c>
      <c r="BX55" s="0" t="n">
        <v>0.082</v>
      </c>
      <c r="BY55" s="0" t="n">
        <v>0.056</v>
      </c>
      <c r="BZ55" s="0" t="n">
        <v>0.0429</v>
      </c>
      <c r="CA55" s="0" t="n">
        <v>0.0973</v>
      </c>
      <c r="CB55" s="0" t="n">
        <v>0.137</v>
      </c>
      <c r="CC55" s="0" t="n">
        <v>0.2751</v>
      </c>
      <c r="CD55" s="0" t="n">
        <v>0.1385</v>
      </c>
      <c r="CE55" s="0" t="n">
        <v>0.1401</v>
      </c>
      <c r="CF55" s="0" t="n">
        <v>0.0428</v>
      </c>
      <c r="CG55" s="0" t="n">
        <v>0.1422</v>
      </c>
      <c r="CH55" s="0" t="n">
        <v>0.0624</v>
      </c>
      <c r="CI55" s="0" t="n">
        <v>0</v>
      </c>
      <c r="CJ55" s="0" t="n">
        <v>0.009</v>
      </c>
      <c r="CK55" s="0" t="n">
        <v>0</v>
      </c>
      <c r="CL55" s="0" t="n">
        <v>0</v>
      </c>
      <c r="CM55" s="0" t="n">
        <v>0</v>
      </c>
      <c r="CN55" s="0" t="n">
        <v>0.0002</v>
      </c>
      <c r="CO55" s="0" t="n">
        <v>0.58</v>
      </c>
      <c r="CP55" s="0" t="n">
        <v>0.9887</v>
      </c>
      <c r="CQ55" s="0" t="n">
        <v>11.4476</v>
      </c>
      <c r="CR55" s="0" t="n">
        <v>20.3098</v>
      </c>
      <c r="CS55" s="0" t="n">
        <v>20.2414</v>
      </c>
      <c r="CT55" s="0" t="n">
        <v>33.1206</v>
      </c>
      <c r="CU55" s="0" t="n">
        <v>18.2969</v>
      </c>
      <c r="CV55" s="0" t="n">
        <v>16.4269</v>
      </c>
      <c r="CW55" s="0" t="n">
        <v>14.0944</v>
      </c>
      <c r="CX55" s="0" t="n">
        <v>20.5349</v>
      </c>
      <c r="CY55" s="0" t="n">
        <v>8.5705</v>
      </c>
      <c r="CZ55" s="0" t="n">
        <v>14.0879</v>
      </c>
      <c r="DA55" s="0" t="n">
        <v>10.4354</v>
      </c>
      <c r="DB55" s="0" t="n">
        <v>6.8759</v>
      </c>
      <c r="DC55" s="0" t="n">
        <v>9.3388</v>
      </c>
      <c r="DD55" s="0" t="n">
        <v>10.5824</v>
      </c>
      <c r="DE55" s="0" t="n">
        <v>9.9233</v>
      </c>
      <c r="DF55" s="0" t="n">
        <v>8.0226</v>
      </c>
      <c r="DG55" s="0" t="n">
        <v>11.3807</v>
      </c>
      <c r="DH55" s="0" t="n">
        <v>9.9314</v>
      </c>
      <c r="DI55" s="0" t="n">
        <v>13.9605</v>
      </c>
      <c r="DJ55" s="0" t="n">
        <v>7.9216</v>
      </c>
      <c r="DK55" s="0" t="n">
        <v>10.7569</v>
      </c>
      <c r="DL55" s="0" t="n">
        <v>15.1755</v>
      </c>
      <c r="DM55" s="0" t="n">
        <v>12.3942</v>
      </c>
      <c r="DN55" s="0" t="n">
        <v>17.221</v>
      </c>
      <c r="DO55" s="0" t="n">
        <v>12.8131</v>
      </c>
      <c r="DP55" s="0" t="n">
        <v>13.9254</v>
      </c>
      <c r="DQ55" s="0" t="n">
        <v>15.158</v>
      </c>
      <c r="DR55" s="0" t="n">
        <v>13.8627</v>
      </c>
      <c r="DS55" s="0" t="n">
        <v>11.7322</v>
      </c>
      <c r="DT55" s="0" t="n">
        <v>12.7285</v>
      </c>
      <c r="DU55" s="0" t="n">
        <v>12.641</v>
      </c>
      <c r="DV55" s="0" t="n">
        <v>10.0479</v>
      </c>
      <c r="DW55" s="0" t="n">
        <v>13.2572</v>
      </c>
      <c r="DX55" s="0" t="n">
        <v>12.3646</v>
      </c>
      <c r="DY55" s="0" t="n">
        <v>7.13</v>
      </c>
      <c r="DZ55" s="0" t="n">
        <v>8.4073</v>
      </c>
      <c r="EA55" s="0" t="n">
        <v>8.8542</v>
      </c>
      <c r="EB55" s="0" t="n">
        <v>4.4468</v>
      </c>
      <c r="EC55" s="0" t="n">
        <v>6.2718</v>
      </c>
      <c r="ED55" s="0" t="n">
        <v>3.0795</v>
      </c>
      <c r="EE55" s="0" t="n">
        <v>4.5247</v>
      </c>
      <c r="EF55" s="0" t="n">
        <v>2.6162</v>
      </c>
      <c r="EG55" s="0" t="n">
        <v>2.0604</v>
      </c>
      <c r="EH55" s="0" t="n">
        <v>2.1079</v>
      </c>
      <c r="EI55" s="0" t="n">
        <v>0.9543</v>
      </c>
      <c r="EJ55" s="0" t="n">
        <v>1.3894</v>
      </c>
      <c r="EK55" s="0" t="n">
        <v>1.3254</v>
      </c>
      <c r="EL55" s="0" t="n">
        <v>0.4767</v>
      </c>
      <c r="EM55" s="0" t="n">
        <v>0.6045</v>
      </c>
      <c r="EN55" s="0" t="n">
        <v>1.0257</v>
      </c>
      <c r="EO55" s="0" t="n">
        <v>0.3758</v>
      </c>
      <c r="EP55" s="0" t="n">
        <v>0.5477</v>
      </c>
      <c r="EQ55" s="0" t="n">
        <v>0.29</v>
      </c>
      <c r="ER55" s="0" t="n">
        <v>0.3802</v>
      </c>
      <c r="ES55" s="0" t="n">
        <v>0.3026</v>
      </c>
      <c r="ET55" s="0" t="n">
        <v>0.1901</v>
      </c>
      <c r="EU55" s="0" t="n">
        <v>0.3221</v>
      </c>
      <c r="EV55" s="0" t="n">
        <v>0.0553</v>
      </c>
      <c r="EW55" s="0" t="n">
        <v>0.1804</v>
      </c>
      <c r="EX55" s="0" t="n">
        <v>0.0327</v>
      </c>
      <c r="EY55" s="0" t="n">
        <v>0.1239</v>
      </c>
      <c r="EZ55" s="0" t="n">
        <v>0.1015</v>
      </c>
      <c r="FA55" s="0" t="n">
        <v>0.0841</v>
      </c>
      <c r="FB55" s="0" t="n">
        <v>0.0585</v>
      </c>
      <c r="FC55" s="0" t="n">
        <v>0.0454</v>
      </c>
      <c r="FD55" s="0" t="n">
        <v>0.1045</v>
      </c>
      <c r="FE55" s="0" t="n">
        <v>0.1496</v>
      </c>
      <c r="FF55" s="0" t="n">
        <v>0.3032</v>
      </c>
      <c r="FG55" s="0" t="n">
        <v>0.1556</v>
      </c>
      <c r="FH55" s="0" t="n">
        <v>0.1595</v>
      </c>
      <c r="FI55" s="0" t="n">
        <v>0.0493</v>
      </c>
      <c r="FJ55" s="0" t="n">
        <v>0.1664</v>
      </c>
      <c r="FK55" s="0" t="n">
        <v>0.074</v>
      </c>
      <c r="FL55" s="0" t="n">
        <v>0</v>
      </c>
      <c r="FM55" s="0" t="n">
        <v>0.0109</v>
      </c>
      <c r="FN55" s="0" t="n">
        <v>0</v>
      </c>
      <c r="FO55" s="0" t="n">
        <v>0</v>
      </c>
      <c r="FP55" s="0" t="n">
        <v>0</v>
      </c>
    </row>
    <row r="56" customFormat="false" ht="13.8" hidden="false" customHeight="false" outlineLevel="0" collapsed="false">
      <c r="A56" s="2" t="s">
        <v>280</v>
      </c>
      <c r="B56" s="0" t="s">
        <v>176</v>
      </c>
      <c r="C56" s="0" t="n">
        <v>250</v>
      </c>
      <c r="D56" s="0" t="s">
        <v>281</v>
      </c>
      <c r="F56" s="0" t="e">
        <f aca="false">VLOOKUP(A56,[1]ROOT!$A$1:$C$1048576,3,0)</f>
        <v>#N/A</v>
      </c>
      <c r="G56" s="0" t="n">
        <v>3312.2979</v>
      </c>
      <c r="H56" s="0" t="n">
        <v>153.0357</v>
      </c>
      <c r="I56" s="0" t="n">
        <v>480.7762</v>
      </c>
      <c r="J56" s="0" t="n">
        <v>0.45664</v>
      </c>
      <c r="K56" s="0" t="n">
        <v>0</v>
      </c>
      <c r="L56" s="0" t="n">
        <v>589.2558</v>
      </c>
      <c r="M56" s="0" t="n">
        <v>651.6434</v>
      </c>
      <c r="N56" s="0" t="n">
        <v>433.8685</v>
      </c>
      <c r="O56" s="0" t="n">
        <v>0.7969</v>
      </c>
      <c r="P56" s="0" t="n">
        <v>360.0443</v>
      </c>
      <c r="Q56" s="0" t="n">
        <v>112.2129</v>
      </c>
      <c r="R56" s="0" t="n">
        <v>162.5894</v>
      </c>
      <c r="S56" s="0" t="n">
        <v>96.1096</v>
      </c>
      <c r="T56" s="0" t="n">
        <v>17.2603</v>
      </c>
      <c r="U56" s="0" t="n">
        <v>94.532</v>
      </c>
      <c r="V56" s="0" t="n">
        <v>66.9204</v>
      </c>
      <c r="W56" s="0" t="n">
        <v>44.7524</v>
      </c>
      <c r="X56" s="0" t="n">
        <v>67.2574</v>
      </c>
      <c r="Y56" s="0" t="n">
        <v>52.7189</v>
      </c>
      <c r="Z56" s="0" t="n">
        <v>39.4794</v>
      </c>
      <c r="AA56" s="0" t="n">
        <v>29.336</v>
      </c>
      <c r="AB56" s="0" t="n">
        <v>51.2629</v>
      </c>
      <c r="AC56" s="0" t="n">
        <v>16.9107</v>
      </c>
      <c r="AD56" s="0" t="n">
        <v>42.4362</v>
      </c>
      <c r="AE56" s="0" t="n">
        <v>18.2402</v>
      </c>
      <c r="AF56" s="0" t="n">
        <v>37.7321</v>
      </c>
      <c r="AG56" s="0" t="n">
        <v>8.5115</v>
      </c>
      <c r="AH56" s="0" t="n">
        <v>31.0021</v>
      </c>
      <c r="AI56" s="0" t="n">
        <v>31.5088</v>
      </c>
      <c r="AJ56" s="0" t="n">
        <v>4.9112</v>
      </c>
      <c r="AK56" s="0" t="n">
        <v>32.0848</v>
      </c>
      <c r="AL56" s="0" t="n">
        <v>27.3511</v>
      </c>
      <c r="AM56" s="0" t="n">
        <v>12.0404</v>
      </c>
      <c r="AN56" s="0" t="n">
        <v>9.4036</v>
      </c>
      <c r="AO56" s="0" t="n">
        <v>21.3921</v>
      </c>
      <c r="AP56" s="0" t="n">
        <v>10.6341</v>
      </c>
      <c r="AQ56" s="0" t="n">
        <v>24.1872</v>
      </c>
      <c r="AR56" s="0" t="n">
        <v>15.6981</v>
      </c>
      <c r="AS56" s="0" t="n">
        <v>10.9756</v>
      </c>
      <c r="AT56" s="0" t="n">
        <v>19.0858</v>
      </c>
      <c r="AU56" s="0" t="n">
        <v>15.2904</v>
      </c>
      <c r="AV56" s="0" t="n">
        <v>2.8487</v>
      </c>
      <c r="AW56" s="0" t="n">
        <v>9.4242</v>
      </c>
      <c r="AX56" s="0" t="n">
        <v>10.5579</v>
      </c>
      <c r="AY56" s="0" t="n">
        <v>3.8414</v>
      </c>
      <c r="AZ56" s="0" t="n">
        <v>5.2424</v>
      </c>
      <c r="BA56" s="0" t="n">
        <v>2.5395</v>
      </c>
      <c r="BB56" s="0" t="n">
        <v>4.7708</v>
      </c>
      <c r="BC56" s="0" t="n">
        <v>2.2219</v>
      </c>
      <c r="BD56" s="0" t="n">
        <v>0.6139</v>
      </c>
      <c r="BE56" s="0" t="n">
        <v>2.8026</v>
      </c>
      <c r="BF56" s="0" t="n">
        <v>0.3878</v>
      </c>
      <c r="BG56" s="0" t="n">
        <v>1.3617</v>
      </c>
      <c r="BH56" s="0" t="n">
        <v>0.8133</v>
      </c>
      <c r="BI56" s="0" t="n">
        <v>0.0529</v>
      </c>
      <c r="BJ56" s="0" t="n">
        <v>0.138</v>
      </c>
      <c r="BK56" s="0" t="n">
        <v>0.8869</v>
      </c>
      <c r="BL56" s="0" t="n">
        <v>0.2592</v>
      </c>
      <c r="BM56" s="0" t="n">
        <v>0.1205</v>
      </c>
      <c r="BN56" s="0" t="n">
        <v>0.7244</v>
      </c>
      <c r="BO56" s="0" t="n">
        <v>0.1079</v>
      </c>
      <c r="BP56" s="0" t="n">
        <v>0.3928</v>
      </c>
      <c r="BQ56" s="0" t="n">
        <v>0.1512</v>
      </c>
      <c r="BR56" s="0" t="n">
        <v>0.1386</v>
      </c>
      <c r="BS56" s="0" t="n">
        <v>0.0539</v>
      </c>
      <c r="BT56" s="0" t="n">
        <v>0.0334</v>
      </c>
      <c r="BU56" s="0" t="n">
        <v>0.0228</v>
      </c>
      <c r="BV56" s="0" t="n">
        <v>0.0878</v>
      </c>
      <c r="BW56" s="0" t="n">
        <v>0.0787</v>
      </c>
      <c r="BX56" s="0" t="n">
        <v>0.047</v>
      </c>
      <c r="BY56" s="0" t="n">
        <v>0.009</v>
      </c>
      <c r="BZ56" s="0" t="n">
        <v>0.2231</v>
      </c>
      <c r="CA56" s="0" t="n">
        <v>0.0814</v>
      </c>
      <c r="CB56" s="0" t="n">
        <v>0.3089</v>
      </c>
      <c r="CC56" s="0" t="n">
        <v>0.0682</v>
      </c>
      <c r="CD56" s="0" t="n">
        <v>0.0613</v>
      </c>
      <c r="CE56" s="0" t="n">
        <v>0.0069</v>
      </c>
      <c r="CF56" s="0" t="n">
        <v>0.1121</v>
      </c>
      <c r="CG56" s="0" t="n">
        <v>0</v>
      </c>
      <c r="CH56" s="0" t="n">
        <v>0</v>
      </c>
      <c r="CI56" s="0" t="n">
        <v>0</v>
      </c>
      <c r="CJ56" s="0" t="n">
        <v>0.0946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12.6486</v>
      </c>
      <c r="CP56" s="0" t="n">
        <v>27.7204</v>
      </c>
      <c r="CQ56" s="0" t="n">
        <v>26.4974</v>
      </c>
      <c r="CR56" s="0" t="n">
        <v>0.0551</v>
      </c>
      <c r="CS56" s="0" t="n">
        <v>30.0504</v>
      </c>
      <c r="CT56" s="0" t="n">
        <v>11.3917</v>
      </c>
      <c r="CU56" s="0" t="n">
        <v>18.9946</v>
      </c>
      <c r="CV56" s="0" t="n">
        <v>13.3338</v>
      </c>
      <c r="CW56" s="0" t="n">
        <v>2.4956</v>
      </c>
      <c r="CX56" s="0" t="n">
        <v>15.3761</v>
      </c>
      <c r="CY56" s="0" t="n">
        <v>12.2519</v>
      </c>
      <c r="CZ56" s="0" t="n">
        <v>8.8742</v>
      </c>
      <c r="DA56" s="0" t="n">
        <v>14.0766</v>
      </c>
      <c r="DB56" s="0" t="n">
        <v>11.9787</v>
      </c>
      <c r="DC56" s="0" t="n">
        <v>9.7204</v>
      </c>
      <c r="DD56" s="0" t="n">
        <v>7.4837</v>
      </c>
      <c r="DE56" s="0" t="n">
        <v>14.0461</v>
      </c>
      <c r="DF56" s="0" t="n">
        <v>4.8901</v>
      </c>
      <c r="DG56" s="0" t="n">
        <v>12.8649</v>
      </c>
      <c r="DH56" s="0" t="n">
        <v>5.8719</v>
      </c>
      <c r="DI56" s="0" t="n">
        <v>12.8747</v>
      </c>
      <c r="DJ56" s="0" t="n">
        <v>3.0146</v>
      </c>
      <c r="DK56" s="0" t="n">
        <v>11.4306</v>
      </c>
      <c r="DL56" s="0" t="n">
        <v>12.3199</v>
      </c>
      <c r="DM56" s="0" t="n">
        <v>1.9517</v>
      </c>
      <c r="DN56" s="0" t="n">
        <v>13.3367</v>
      </c>
      <c r="DO56" s="0" t="n">
        <v>11.9252</v>
      </c>
      <c r="DP56" s="0" t="n">
        <v>5.4609</v>
      </c>
      <c r="DQ56" s="0" t="n">
        <v>4.3296</v>
      </c>
      <c r="DR56" s="0" t="n">
        <v>10.2571</v>
      </c>
      <c r="DS56" s="0" t="n">
        <v>5.2783</v>
      </c>
      <c r="DT56" s="0" t="n">
        <v>12.3315</v>
      </c>
      <c r="DU56" s="0" t="n">
        <v>8.2963</v>
      </c>
      <c r="DV56" s="0" t="n">
        <v>5.8949</v>
      </c>
      <c r="DW56" s="0" t="n">
        <v>10.626</v>
      </c>
      <c r="DX56" s="0" t="n">
        <v>8.8191</v>
      </c>
      <c r="DY56" s="0" t="n">
        <v>1.6881</v>
      </c>
      <c r="DZ56" s="0" t="n">
        <v>5.644</v>
      </c>
      <c r="EA56" s="0" t="n">
        <v>6.5468</v>
      </c>
      <c r="EB56" s="0" t="n">
        <v>2.4556</v>
      </c>
      <c r="EC56" s="0" t="n">
        <v>3.417</v>
      </c>
      <c r="ED56" s="0" t="n">
        <v>1.6873</v>
      </c>
      <c r="EE56" s="0" t="n">
        <v>3.248</v>
      </c>
      <c r="EF56" s="0" t="n">
        <v>1.5571</v>
      </c>
      <c r="EG56" s="0" t="n">
        <v>0.4397</v>
      </c>
      <c r="EH56" s="0" t="n">
        <v>2.0453</v>
      </c>
      <c r="EI56" s="0" t="n">
        <v>0.2882</v>
      </c>
      <c r="EJ56" s="0" t="n">
        <v>1.0358</v>
      </c>
      <c r="EK56" s="0" t="n">
        <v>0.6372</v>
      </c>
      <c r="EL56" s="0" t="n">
        <v>0.042</v>
      </c>
      <c r="EM56" s="0" t="n">
        <v>0.1113</v>
      </c>
      <c r="EN56" s="0" t="n">
        <v>0.7324</v>
      </c>
      <c r="EO56" s="0" t="n">
        <v>0.2186</v>
      </c>
      <c r="EP56" s="0" t="n">
        <v>0.1027</v>
      </c>
      <c r="EQ56" s="0" t="n">
        <v>0.6338</v>
      </c>
      <c r="ER56" s="0" t="n">
        <v>0.0958</v>
      </c>
      <c r="ES56" s="0" t="n">
        <v>0.3541</v>
      </c>
      <c r="ET56" s="0" t="n">
        <v>0.1392</v>
      </c>
      <c r="EU56" s="0" t="n">
        <v>0.1297</v>
      </c>
      <c r="EV56" s="0" t="n">
        <v>0.0511</v>
      </c>
      <c r="EW56" s="0" t="n">
        <v>0.032</v>
      </c>
      <c r="EX56" s="0" t="n">
        <v>0.0225</v>
      </c>
      <c r="EY56" s="0" t="n">
        <v>0.0869</v>
      </c>
      <c r="EZ56" s="0" t="n">
        <v>0.0799</v>
      </c>
      <c r="FA56" s="0" t="n">
        <v>0.0488</v>
      </c>
      <c r="FB56" s="0" t="n">
        <v>0.0094</v>
      </c>
      <c r="FC56" s="0" t="n">
        <v>0.2364</v>
      </c>
      <c r="FD56" s="0" t="n">
        <v>0.088</v>
      </c>
      <c r="FE56" s="0" t="n">
        <v>0.3382</v>
      </c>
      <c r="FF56" s="0" t="n">
        <v>0.0754</v>
      </c>
      <c r="FG56" s="0" t="n">
        <v>0.069</v>
      </c>
      <c r="FH56" s="0" t="n">
        <v>0.0078</v>
      </c>
      <c r="FI56" s="0" t="n">
        <v>0.1292</v>
      </c>
      <c r="FJ56" s="0" t="n">
        <v>0</v>
      </c>
      <c r="FK56" s="0" t="n">
        <v>0</v>
      </c>
      <c r="FL56" s="0" t="n">
        <v>0</v>
      </c>
      <c r="FM56" s="0" t="n">
        <v>0.1151</v>
      </c>
      <c r="FN56" s="0" t="n">
        <v>0</v>
      </c>
      <c r="FO56" s="0" t="n">
        <v>0</v>
      </c>
      <c r="FP56" s="0" t="n">
        <v>0</v>
      </c>
    </row>
    <row r="57" customFormat="false" ht="13.8" hidden="false" customHeight="false" outlineLevel="0" collapsed="false">
      <c r="A57" s="2" t="s">
        <v>282</v>
      </c>
      <c r="B57" s="0" t="s">
        <v>176</v>
      </c>
      <c r="C57" s="0" t="n">
        <v>255</v>
      </c>
      <c r="D57" s="0" t="s">
        <v>283</v>
      </c>
      <c r="F57" s="0" t="e">
        <f aca="false">VLOOKUP(A57,[1]ROOT!$A$1:$C$1048576,3,0)</f>
        <v>#N/A</v>
      </c>
      <c r="G57" s="0" t="n">
        <v>825.7121</v>
      </c>
      <c r="H57" s="0" t="n">
        <v>41.2723</v>
      </c>
      <c r="I57" s="0" t="n">
        <v>129.6608</v>
      </c>
      <c r="J57" s="0" t="n">
        <v>0.4998</v>
      </c>
      <c r="K57" s="0" t="n">
        <v>0</v>
      </c>
      <c r="L57" s="0" t="n">
        <v>116.2852</v>
      </c>
      <c r="M57" s="0" t="n">
        <v>136.3943</v>
      </c>
      <c r="N57" s="0" t="n">
        <v>101.9525</v>
      </c>
      <c r="O57" s="0" t="n">
        <v>0.1532</v>
      </c>
      <c r="P57" s="0" t="n">
        <v>100.1894</v>
      </c>
      <c r="Q57" s="0" t="n">
        <v>29.7949</v>
      </c>
      <c r="R57" s="0" t="n">
        <v>41.2676</v>
      </c>
      <c r="S57" s="0" t="n">
        <v>32.4047</v>
      </c>
      <c r="T57" s="0" t="n">
        <v>5.5498</v>
      </c>
      <c r="U57" s="0" t="n">
        <v>22.705</v>
      </c>
      <c r="V57" s="0" t="n">
        <v>24.8458</v>
      </c>
      <c r="W57" s="0" t="n">
        <v>13.9322</v>
      </c>
      <c r="X57" s="0" t="n">
        <v>21.7478</v>
      </c>
      <c r="Y57" s="0" t="n">
        <v>14.0597</v>
      </c>
      <c r="Z57" s="0" t="n">
        <v>8.8923</v>
      </c>
      <c r="AA57" s="0" t="n">
        <v>6.1114</v>
      </c>
      <c r="AB57" s="0" t="n">
        <v>9.9452</v>
      </c>
      <c r="AC57" s="0" t="n">
        <v>2.5555</v>
      </c>
      <c r="AD57" s="0" t="n">
        <v>7.8365</v>
      </c>
      <c r="AE57" s="0" t="n">
        <v>5.47</v>
      </c>
      <c r="AF57" s="0" t="n">
        <v>13.9279</v>
      </c>
      <c r="AG57" s="0" t="n">
        <v>7.4714</v>
      </c>
      <c r="AH57" s="0" t="n">
        <v>11.3505</v>
      </c>
      <c r="AI57" s="0" t="n">
        <v>13.7904</v>
      </c>
      <c r="AJ57" s="0" t="n">
        <v>2.8455</v>
      </c>
      <c r="AK57" s="0" t="n">
        <v>16.086</v>
      </c>
      <c r="AL57" s="0" t="n">
        <v>12.5089</v>
      </c>
      <c r="AM57" s="0" t="n">
        <v>5.4217</v>
      </c>
      <c r="AN57" s="0" t="n">
        <v>5.2427</v>
      </c>
      <c r="AO57" s="0" t="n">
        <v>8.8625</v>
      </c>
      <c r="AP57" s="0" t="n">
        <v>4.515</v>
      </c>
      <c r="AQ57" s="0" t="n">
        <v>4.23</v>
      </c>
      <c r="AR57" s="0" t="n">
        <v>3.3518</v>
      </c>
      <c r="AS57" s="0" t="n">
        <v>2.6919</v>
      </c>
      <c r="AT57" s="0" t="n">
        <v>2.1688</v>
      </c>
      <c r="AU57" s="0" t="n">
        <v>0.8448</v>
      </c>
      <c r="AV57" s="0" t="n">
        <v>0</v>
      </c>
      <c r="AW57" s="0" t="n">
        <v>1.0526</v>
      </c>
      <c r="AX57" s="0" t="n">
        <v>0.8563</v>
      </c>
      <c r="AY57" s="0" t="n">
        <v>0.4548</v>
      </c>
      <c r="AZ57" s="0" t="n">
        <v>0.3924</v>
      </c>
      <c r="BA57" s="0" t="n">
        <v>1.0789</v>
      </c>
      <c r="BB57" s="0" t="n">
        <v>2.358</v>
      </c>
      <c r="BC57" s="0" t="n">
        <v>0.6293</v>
      </c>
      <c r="BD57" s="0" t="n">
        <v>0.3394</v>
      </c>
      <c r="BE57" s="0" t="n">
        <v>0.4897</v>
      </c>
      <c r="BF57" s="0" t="n">
        <v>0.0264</v>
      </c>
      <c r="BG57" s="0" t="n">
        <v>0.0201</v>
      </c>
      <c r="BH57" s="0" t="n">
        <v>0.1068</v>
      </c>
      <c r="BI57" s="0" t="n">
        <v>0</v>
      </c>
      <c r="BJ57" s="0" t="n">
        <v>0.0069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2.5037</v>
      </c>
      <c r="CP57" s="0" t="n">
        <v>5.8046</v>
      </c>
      <c r="CQ57" s="0" t="n">
        <v>6.2255</v>
      </c>
      <c r="CR57" s="0" t="n">
        <v>0.0106</v>
      </c>
      <c r="CS57" s="0" t="n">
        <v>8.3091</v>
      </c>
      <c r="CT57" s="0" t="n">
        <v>3.0172</v>
      </c>
      <c r="CU57" s="0" t="n">
        <v>4.8472</v>
      </c>
      <c r="CV57" s="0" t="n">
        <v>4.4971</v>
      </c>
      <c r="CW57" s="0" t="n">
        <v>0.8024</v>
      </c>
      <c r="CX57" s="0" t="n">
        <v>3.6859</v>
      </c>
      <c r="CY57" s="0" t="n">
        <v>4.5435</v>
      </c>
      <c r="CZ57" s="0" t="n">
        <v>2.7675</v>
      </c>
      <c r="DA57" s="0" t="n">
        <v>4.5675</v>
      </c>
      <c r="DB57" s="0" t="n">
        <v>3.1977</v>
      </c>
      <c r="DC57" s="0" t="n">
        <v>2.1777</v>
      </c>
      <c r="DD57" s="0" t="n">
        <v>1.571</v>
      </c>
      <c r="DE57" s="0" t="n">
        <v>2.7197</v>
      </c>
      <c r="DF57" s="0" t="n">
        <v>0.739</v>
      </c>
      <c r="DG57" s="0" t="n">
        <v>2.3833</v>
      </c>
      <c r="DH57" s="0" t="n">
        <v>1.7554</v>
      </c>
      <c r="DI57" s="0" t="n">
        <v>4.7171</v>
      </c>
      <c r="DJ57" s="0" t="n">
        <v>2.6597</v>
      </c>
      <c r="DK57" s="0" t="n">
        <v>4.2</v>
      </c>
      <c r="DL57" s="0" t="n">
        <v>5.3545</v>
      </c>
      <c r="DM57" s="0" t="n">
        <v>1.1343</v>
      </c>
      <c r="DN57" s="0" t="n">
        <v>6.6829</v>
      </c>
      <c r="DO57" s="0" t="n">
        <v>5.4547</v>
      </c>
      <c r="DP57" s="0" t="n">
        <v>2.4625</v>
      </c>
      <c r="DQ57" s="0" t="n">
        <v>2.4116</v>
      </c>
      <c r="DR57" s="0" t="n">
        <v>4.2349</v>
      </c>
      <c r="DS57" s="0" t="n">
        <v>2.2423</v>
      </c>
      <c r="DT57" s="0" t="n">
        <v>2.169</v>
      </c>
      <c r="DU57" s="0" t="n">
        <v>1.7667</v>
      </c>
      <c r="DV57" s="0" t="n">
        <v>1.4474</v>
      </c>
      <c r="DW57" s="0" t="n">
        <v>1.2087</v>
      </c>
      <c r="DX57" s="0" t="n">
        <v>0.4881</v>
      </c>
      <c r="DY57" s="0" t="n">
        <v>0</v>
      </c>
      <c r="DZ57" s="0" t="n">
        <v>0.6305</v>
      </c>
      <c r="EA57" s="0" t="n">
        <v>0.5307</v>
      </c>
      <c r="EB57" s="0" t="n">
        <v>0.2905</v>
      </c>
      <c r="EC57" s="0" t="n">
        <v>0.2532</v>
      </c>
      <c r="ED57" s="0" t="n">
        <v>0.7193</v>
      </c>
      <c r="EE57" s="0" t="n">
        <v>1.6132</v>
      </c>
      <c r="EF57" s="0" t="n">
        <v>0.4423</v>
      </c>
      <c r="EG57" s="0" t="n">
        <v>0.2424</v>
      </c>
      <c r="EH57" s="0" t="n">
        <v>0.3556</v>
      </c>
      <c r="EI57" s="0" t="n">
        <v>0.0197</v>
      </c>
      <c r="EJ57" s="0" t="n">
        <v>0.0153</v>
      </c>
      <c r="EK57" s="0" t="n">
        <v>0.0834</v>
      </c>
      <c r="EL57" s="0" t="n">
        <v>0</v>
      </c>
      <c r="EM57" s="0" t="n">
        <v>0.0055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0</v>
      </c>
      <c r="EW57" s="0" t="n">
        <v>0</v>
      </c>
      <c r="EX57" s="0" t="n">
        <v>0</v>
      </c>
      <c r="EY57" s="0" t="n">
        <v>0</v>
      </c>
      <c r="EZ57" s="0" t="n">
        <v>0</v>
      </c>
      <c r="FA57" s="0" t="n">
        <v>0</v>
      </c>
      <c r="FB57" s="0" t="n">
        <v>0</v>
      </c>
      <c r="FC57" s="0" t="n">
        <v>0</v>
      </c>
      <c r="FD57" s="0" t="n">
        <v>0</v>
      </c>
      <c r="FE57" s="0" t="n">
        <v>0</v>
      </c>
      <c r="FF57" s="0" t="n">
        <v>0</v>
      </c>
      <c r="FG57" s="0" t="n">
        <v>0</v>
      </c>
      <c r="FH57" s="0" t="n">
        <v>0</v>
      </c>
      <c r="FI57" s="0" t="n">
        <v>0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0" t="n">
        <v>0</v>
      </c>
      <c r="FP57" s="0" t="n">
        <v>0</v>
      </c>
    </row>
    <row r="58" customFormat="false" ht="13.8" hidden="false" customHeight="false" outlineLevel="0" collapsed="false">
      <c r="A58" s="4" t="s">
        <v>284</v>
      </c>
      <c r="B58" s="0" t="e">
        <f aca="false">#N/A</f>
        <v>#N/A</v>
      </c>
      <c r="C58" s="0" t="e">
        <f aca="false">#N/A</f>
        <v>#N/A</v>
      </c>
      <c r="D58" s="0" t="e">
        <f aca="false">#N/A</f>
        <v>#N/A</v>
      </c>
      <c r="G58" s="0" t="n">
        <v>1041.9837</v>
      </c>
      <c r="H58" s="0" t="n">
        <v>57.455</v>
      </c>
      <c r="I58" s="0" t="n">
        <v>180.5003</v>
      </c>
      <c r="J58" s="0" t="n">
        <v>0.5514</v>
      </c>
      <c r="K58" s="0" t="n">
        <v>0.0396</v>
      </c>
      <c r="L58" s="0" t="n">
        <v>100.7119</v>
      </c>
      <c r="M58" s="0" t="n">
        <v>100.2562</v>
      </c>
      <c r="N58" s="0" t="n">
        <v>154.4701</v>
      </c>
      <c r="O58" s="0" t="n">
        <v>122.1558</v>
      </c>
      <c r="P58" s="0" t="n">
        <v>74.4188</v>
      </c>
      <c r="Q58" s="0" t="n">
        <v>51.3868</v>
      </c>
      <c r="R58" s="0" t="n">
        <v>49.5584</v>
      </c>
      <c r="S58" s="0" t="n">
        <v>29.4832</v>
      </c>
      <c r="T58" s="0" t="n">
        <v>29.5829</v>
      </c>
      <c r="U58" s="0" t="n">
        <v>32.5828</v>
      </c>
      <c r="V58" s="0" t="n">
        <v>30.3813</v>
      </c>
      <c r="W58" s="0" t="n">
        <v>19.322</v>
      </c>
      <c r="X58" s="0" t="n">
        <v>14.0696</v>
      </c>
      <c r="Y58" s="0" t="n">
        <v>14.4224</v>
      </c>
      <c r="Z58" s="0" t="n">
        <v>12.2476</v>
      </c>
      <c r="AA58" s="0" t="n">
        <v>10.9622</v>
      </c>
      <c r="AB58" s="0" t="n">
        <v>7.4957</v>
      </c>
      <c r="AC58" s="0" t="n">
        <v>8.6015</v>
      </c>
      <c r="AD58" s="0" t="n">
        <v>7.8092</v>
      </c>
      <c r="AE58" s="0" t="n">
        <v>8.5725</v>
      </c>
      <c r="AF58" s="0" t="n">
        <v>5.0586</v>
      </c>
      <c r="AG58" s="0" t="n">
        <v>6.6262</v>
      </c>
      <c r="AH58" s="0" t="n">
        <v>5.601</v>
      </c>
      <c r="AI58" s="0" t="n">
        <v>4.712</v>
      </c>
      <c r="AJ58" s="0" t="n">
        <v>5.437</v>
      </c>
      <c r="AK58" s="0" t="n">
        <v>8.0344</v>
      </c>
      <c r="AL58" s="0" t="n">
        <v>6.7337</v>
      </c>
      <c r="AM58" s="0" t="n">
        <v>7.5751</v>
      </c>
      <c r="AN58" s="0" t="n">
        <v>9.6196</v>
      </c>
      <c r="AO58" s="0" t="n">
        <v>8.4305</v>
      </c>
      <c r="AP58" s="0" t="n">
        <v>6.2048</v>
      </c>
      <c r="AQ58" s="0" t="n">
        <v>6.5933</v>
      </c>
      <c r="AR58" s="0" t="n">
        <v>8.8942</v>
      </c>
      <c r="AS58" s="0" t="n">
        <v>8.6942</v>
      </c>
      <c r="AT58" s="0" t="n">
        <v>8.8703</v>
      </c>
      <c r="AU58" s="0" t="n">
        <v>7.9832</v>
      </c>
      <c r="AV58" s="0" t="n">
        <v>4.5338</v>
      </c>
      <c r="AW58" s="0" t="n">
        <v>3.9413</v>
      </c>
      <c r="AX58" s="0" t="n">
        <v>3.8007</v>
      </c>
      <c r="AY58" s="0" t="n">
        <v>4.6537</v>
      </c>
      <c r="AZ58" s="0" t="n">
        <v>5.2115</v>
      </c>
      <c r="BA58" s="0" t="n">
        <v>4.5058</v>
      </c>
      <c r="BB58" s="0" t="n">
        <v>3.1767</v>
      </c>
      <c r="BC58" s="0" t="n">
        <v>3.1958</v>
      </c>
      <c r="BD58" s="0" t="n">
        <v>2.7275</v>
      </c>
      <c r="BE58" s="0" t="n">
        <v>1.5946</v>
      </c>
      <c r="BF58" s="0" t="n">
        <v>2.3812</v>
      </c>
      <c r="BG58" s="0" t="n">
        <v>1.9968</v>
      </c>
      <c r="BH58" s="0" t="n">
        <v>2.0695</v>
      </c>
      <c r="BI58" s="0" t="n">
        <v>0.7378</v>
      </c>
      <c r="BJ58" s="0" t="n">
        <v>0.9683</v>
      </c>
      <c r="BK58" s="0" t="n">
        <v>0.5253</v>
      </c>
      <c r="BL58" s="0" t="n">
        <v>0.3707</v>
      </c>
      <c r="BM58" s="0" t="n">
        <v>0.3811</v>
      </c>
      <c r="BN58" s="0" t="n">
        <v>0.5823</v>
      </c>
      <c r="BO58" s="0" t="n">
        <v>0.2663</v>
      </c>
      <c r="BP58" s="0" t="n">
        <v>0.1124</v>
      </c>
      <c r="BQ58" s="0" t="n">
        <v>0.0132</v>
      </c>
      <c r="BR58" s="0" t="n">
        <v>0.0132</v>
      </c>
      <c r="BS58" s="0" t="n">
        <v>0.0311</v>
      </c>
      <c r="BT58" s="0" t="n">
        <v>0.0069</v>
      </c>
      <c r="BU58" s="0" t="n">
        <v>0.0132</v>
      </c>
      <c r="BV58" s="0" t="n">
        <v>0.0137</v>
      </c>
      <c r="BW58" s="0" t="n">
        <v>0.0201</v>
      </c>
      <c r="BX58" s="0" t="n">
        <v>0.0137</v>
      </c>
      <c r="BY58" s="0" t="n">
        <v>0.0338</v>
      </c>
      <c r="BZ58" s="0" t="n">
        <v>0.0428</v>
      </c>
      <c r="CA58" s="0" t="n">
        <v>0.0248</v>
      </c>
      <c r="CB58" s="0" t="n">
        <v>0.0069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0</v>
      </c>
      <c r="CN58" s="0" t="n">
        <v>0.0005</v>
      </c>
      <c r="CO58" s="0" t="n">
        <v>2.6288</v>
      </c>
      <c r="CP58" s="0" t="n">
        <v>3.8703</v>
      </c>
      <c r="CQ58" s="0" t="n">
        <v>8.5197</v>
      </c>
      <c r="CR58" s="0" t="n">
        <v>8.4772</v>
      </c>
      <c r="CS58" s="0" t="n">
        <v>6.3779</v>
      </c>
      <c r="CT58" s="0" t="n">
        <v>5.2409</v>
      </c>
      <c r="CU58" s="0" t="n">
        <v>5.8337</v>
      </c>
      <c r="CV58" s="0" t="n">
        <v>3.9275</v>
      </c>
      <c r="CW58" s="0" t="n">
        <v>4.3992</v>
      </c>
      <c r="CX58" s="0" t="n">
        <v>5.3764</v>
      </c>
      <c r="CY58" s="0" t="n">
        <v>5.4995</v>
      </c>
      <c r="CZ58" s="0" t="n">
        <v>3.7796</v>
      </c>
      <c r="DA58" s="0" t="n">
        <v>2.9806</v>
      </c>
      <c r="DB58" s="0" t="n">
        <v>3.2856</v>
      </c>
      <c r="DC58" s="0" t="n">
        <v>2.9899</v>
      </c>
      <c r="DD58" s="0" t="n">
        <v>2.8272</v>
      </c>
      <c r="DE58" s="0" t="n">
        <v>2.0594</v>
      </c>
      <c r="DF58" s="0" t="n">
        <v>2.5089</v>
      </c>
      <c r="DG58" s="0" t="n">
        <v>2.3855</v>
      </c>
      <c r="DH58" s="0" t="n">
        <v>2.7608</v>
      </c>
      <c r="DI58" s="0" t="n">
        <v>1.703</v>
      </c>
      <c r="DJ58" s="0" t="n">
        <v>2.3401</v>
      </c>
      <c r="DK58" s="0" t="n">
        <v>2.0699</v>
      </c>
      <c r="DL58" s="0" t="n">
        <v>1.8144</v>
      </c>
      <c r="DM58" s="0" t="n">
        <v>2.1798</v>
      </c>
      <c r="DN58" s="0" t="n">
        <v>3.3478</v>
      </c>
      <c r="DO58" s="0" t="n">
        <v>2.9151</v>
      </c>
      <c r="DP58" s="0" t="n">
        <v>3.3955</v>
      </c>
      <c r="DQ58" s="0" t="n">
        <v>4.4551</v>
      </c>
      <c r="DR58" s="0" t="n">
        <v>4.0404</v>
      </c>
      <c r="DS58" s="0" t="n">
        <v>3.0747</v>
      </c>
      <c r="DT58" s="0" t="n">
        <v>3.3621</v>
      </c>
      <c r="DU58" s="0" t="n">
        <v>4.6857</v>
      </c>
      <c r="DV58" s="0" t="n">
        <v>4.7138</v>
      </c>
      <c r="DW58" s="0" t="n">
        <v>4.9388</v>
      </c>
      <c r="DX58" s="0" t="n">
        <v>4.5828</v>
      </c>
      <c r="DY58" s="0" t="n">
        <v>2.6644</v>
      </c>
      <c r="DZ58" s="0" t="n">
        <v>2.3823</v>
      </c>
      <c r="EA58" s="0" t="n">
        <v>2.3544</v>
      </c>
      <c r="EB58" s="0" t="n">
        <v>2.9656</v>
      </c>
      <c r="EC58" s="0" t="n">
        <v>3.3959</v>
      </c>
      <c r="ED58" s="0" t="n">
        <v>3.009</v>
      </c>
      <c r="EE58" s="0" t="n">
        <v>2.1656</v>
      </c>
      <c r="EF58" s="0" t="n">
        <v>2.2313</v>
      </c>
      <c r="EG58" s="0" t="n">
        <v>1.9444</v>
      </c>
      <c r="EH58" s="0" t="n">
        <v>1.1615</v>
      </c>
      <c r="EI58" s="0" t="n">
        <v>1.7752</v>
      </c>
      <c r="EJ58" s="0" t="n">
        <v>1.519</v>
      </c>
      <c r="EK58" s="0" t="n">
        <v>1.6121</v>
      </c>
      <c r="EL58" s="0" t="n">
        <v>0.5839</v>
      </c>
      <c r="EM58" s="0" t="n">
        <v>0.784</v>
      </c>
      <c r="EN58" s="0" t="n">
        <v>0.4336</v>
      </c>
      <c r="EO58" s="0" t="n">
        <v>0.3133</v>
      </c>
      <c r="EP58" s="0" t="n">
        <v>0.3235</v>
      </c>
      <c r="EQ58" s="0" t="n">
        <v>0.5044</v>
      </c>
      <c r="ER58" s="0" t="n">
        <v>0.2374</v>
      </c>
      <c r="ES58" s="0" t="n">
        <v>0.1019</v>
      </c>
      <c r="ET58" s="0" t="n">
        <v>0.0121</v>
      </c>
      <c r="EU58" s="0" t="n">
        <v>0.0124</v>
      </c>
      <c r="EV58" s="0" t="n">
        <v>0.0296</v>
      </c>
      <c r="EW58" s="0" t="n">
        <v>0.0066</v>
      </c>
      <c r="EX58" s="0" t="n">
        <v>0.013</v>
      </c>
      <c r="EY58" s="0" t="n">
        <v>0.0137</v>
      </c>
      <c r="EZ58" s="0" t="n">
        <v>0.0203</v>
      </c>
      <c r="FA58" s="0" t="n">
        <v>0.0142</v>
      </c>
      <c r="FB58" s="0" t="n">
        <v>0.0354</v>
      </c>
      <c r="FC58" s="0" t="n">
        <v>0.0454</v>
      </c>
      <c r="FD58" s="0" t="n">
        <v>0.0267</v>
      </c>
      <c r="FE58" s="0" t="n">
        <v>0.0075</v>
      </c>
      <c r="FF58" s="0" t="n">
        <v>0</v>
      </c>
      <c r="FG58" s="0" t="n">
        <v>0</v>
      </c>
      <c r="FH58" s="0" t="n">
        <v>0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0</v>
      </c>
    </row>
    <row r="59" customFormat="false" ht="13.8" hidden="false" customHeight="false" outlineLevel="0" collapsed="false">
      <c r="A59" s="2" t="s">
        <v>285</v>
      </c>
      <c r="B59" s="0" t="s">
        <v>176</v>
      </c>
      <c r="C59" s="0" t="n">
        <v>400</v>
      </c>
      <c r="D59" s="0" t="s">
        <v>286</v>
      </c>
      <c r="G59" s="0" t="n">
        <v>2106.9543</v>
      </c>
      <c r="H59" s="0" t="n">
        <v>138.7251</v>
      </c>
      <c r="I59" s="0" t="n">
        <v>435.8176</v>
      </c>
      <c r="J59" s="0" t="n">
        <v>0.64415</v>
      </c>
      <c r="K59" s="0" t="n">
        <v>0</v>
      </c>
      <c r="L59" s="0" t="n">
        <v>193.7793</v>
      </c>
      <c r="M59" s="0" t="n">
        <v>166.965</v>
      </c>
      <c r="N59" s="0" t="n">
        <v>245.1264</v>
      </c>
      <c r="O59" s="0" t="n">
        <v>198.7995</v>
      </c>
      <c r="P59" s="0" t="n">
        <v>154.8964</v>
      </c>
      <c r="Q59" s="0" t="n">
        <v>114.4242</v>
      </c>
      <c r="R59" s="0" t="n">
        <v>99.9021</v>
      </c>
      <c r="S59" s="0" t="n">
        <v>57.663</v>
      </c>
      <c r="T59" s="0" t="n">
        <v>48.6078</v>
      </c>
      <c r="U59" s="0" t="n">
        <v>49.4384</v>
      </c>
      <c r="V59" s="0" t="n">
        <v>41.5384</v>
      </c>
      <c r="W59" s="0" t="n">
        <v>32.9221</v>
      </c>
      <c r="X59" s="0" t="n">
        <v>26.997</v>
      </c>
      <c r="Y59" s="0" t="n">
        <v>24.6562</v>
      </c>
      <c r="Z59" s="0" t="n">
        <v>21.7521</v>
      </c>
      <c r="AA59" s="0" t="n">
        <v>17.2705</v>
      </c>
      <c r="AB59" s="0" t="n">
        <v>21.0556</v>
      </c>
      <c r="AC59" s="0" t="n">
        <v>19.2342</v>
      </c>
      <c r="AD59" s="0" t="n">
        <v>24.2437</v>
      </c>
      <c r="AE59" s="0" t="n">
        <v>22.7051</v>
      </c>
      <c r="AF59" s="0" t="n">
        <v>23.417</v>
      </c>
      <c r="AG59" s="0" t="n">
        <v>18.3051</v>
      </c>
      <c r="AH59" s="0" t="n">
        <v>17.1646</v>
      </c>
      <c r="AI59" s="0" t="n">
        <v>19.3604</v>
      </c>
      <c r="AJ59" s="0" t="n">
        <v>26.2685</v>
      </c>
      <c r="AK59" s="0" t="n">
        <v>30.7851</v>
      </c>
      <c r="AL59" s="0" t="n">
        <v>35.5842</v>
      </c>
      <c r="AM59" s="0" t="n">
        <v>32.3315</v>
      </c>
      <c r="AN59" s="0" t="n">
        <v>30.0003</v>
      </c>
      <c r="AO59" s="0" t="n">
        <v>36.7118</v>
      </c>
      <c r="AP59" s="0" t="n">
        <v>39.3654</v>
      </c>
      <c r="AQ59" s="0" t="n">
        <v>32.6485</v>
      </c>
      <c r="AR59" s="0" t="n">
        <v>23.3059</v>
      </c>
      <c r="AS59" s="0" t="n">
        <v>21.5654</v>
      </c>
      <c r="AT59" s="0" t="n">
        <v>26.002</v>
      </c>
      <c r="AU59" s="0" t="n">
        <v>29.6709</v>
      </c>
      <c r="AV59" s="0" t="n">
        <v>17.9094</v>
      </c>
      <c r="AW59" s="0" t="n">
        <v>15.0882</v>
      </c>
      <c r="AX59" s="0" t="n">
        <v>12.1055</v>
      </c>
      <c r="AY59" s="0" t="n">
        <v>8.1788</v>
      </c>
      <c r="AZ59" s="0" t="n">
        <v>6.5775</v>
      </c>
      <c r="BA59" s="0" t="n">
        <v>6.521</v>
      </c>
      <c r="BB59" s="0" t="n">
        <v>4.2548</v>
      </c>
      <c r="BC59" s="0" t="n">
        <v>2.801</v>
      </c>
      <c r="BD59" s="0" t="n">
        <v>1.6251</v>
      </c>
      <c r="BE59" s="0" t="n">
        <v>1.0242</v>
      </c>
      <c r="BF59" s="0" t="n">
        <v>0.61</v>
      </c>
      <c r="BG59" s="0" t="n">
        <v>1.2688</v>
      </c>
      <c r="BH59" s="0" t="n">
        <v>0.9378</v>
      </c>
      <c r="BI59" s="0" t="n">
        <v>0.3557</v>
      </c>
      <c r="BJ59" s="0" t="n">
        <v>0.471</v>
      </c>
      <c r="BK59" s="0" t="n">
        <v>0.5073</v>
      </c>
      <c r="BL59" s="0" t="n">
        <v>0.3479</v>
      </c>
      <c r="BM59" s="0" t="n">
        <v>0.0628</v>
      </c>
      <c r="BN59" s="0" t="n">
        <v>0.208</v>
      </c>
      <c r="BO59" s="0" t="n">
        <v>0.1431</v>
      </c>
      <c r="BP59" s="0" t="n">
        <v>0.1499</v>
      </c>
      <c r="BQ59" s="0" t="n">
        <v>0.4079</v>
      </c>
      <c r="BR59" s="0" t="n">
        <v>0.0992</v>
      </c>
      <c r="BS59" s="0" t="n">
        <v>0.0464</v>
      </c>
      <c r="BT59" s="0" t="n">
        <v>0.2091</v>
      </c>
      <c r="BU59" s="0" t="n">
        <v>0</v>
      </c>
      <c r="BV59" s="0" t="n">
        <v>0.0069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0.0269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5.0705</v>
      </c>
      <c r="CP59" s="0" t="n">
        <v>6.4257</v>
      </c>
      <c r="CQ59" s="0" t="n">
        <v>13.4623</v>
      </c>
      <c r="CR59" s="0" t="n">
        <v>13.8414</v>
      </c>
      <c r="CS59" s="0" t="n">
        <v>13.3377</v>
      </c>
      <c r="CT59" s="0" t="n">
        <v>11.65</v>
      </c>
      <c r="CU59" s="0" t="n">
        <v>11.7648</v>
      </c>
      <c r="CV59" s="0" t="n">
        <v>7.6966</v>
      </c>
      <c r="CW59" s="0" t="n">
        <v>7.2241</v>
      </c>
      <c r="CX59" s="0" t="n">
        <v>8.1249</v>
      </c>
      <c r="CY59" s="0" t="n">
        <v>7.5124</v>
      </c>
      <c r="CZ59" s="0" t="n">
        <v>6.4474</v>
      </c>
      <c r="DA59" s="0" t="n">
        <v>5.7118</v>
      </c>
      <c r="DB59" s="0" t="n">
        <v>5.61</v>
      </c>
      <c r="DC59" s="0" t="n">
        <v>5.2944</v>
      </c>
      <c r="DD59" s="0" t="n">
        <v>4.4691</v>
      </c>
      <c r="DE59" s="0" t="n">
        <v>5.7841</v>
      </c>
      <c r="DF59" s="0" t="n">
        <v>5.609</v>
      </c>
      <c r="DG59" s="0" t="n">
        <v>7.4195</v>
      </c>
      <c r="DH59" s="0" t="n">
        <v>7.298</v>
      </c>
      <c r="DI59" s="0" t="n">
        <v>7.909</v>
      </c>
      <c r="DJ59" s="0" t="n">
        <v>6.4562</v>
      </c>
      <c r="DK59" s="0" t="n">
        <v>6.3404</v>
      </c>
      <c r="DL59" s="0" t="n">
        <v>7.467</v>
      </c>
      <c r="DM59" s="0" t="n">
        <v>10.5016</v>
      </c>
      <c r="DN59" s="0" t="n">
        <v>12.8175</v>
      </c>
      <c r="DO59" s="0" t="n">
        <v>15.4194</v>
      </c>
      <c r="DP59" s="0" t="n">
        <v>14.4751</v>
      </c>
      <c r="DQ59" s="0" t="n">
        <v>13.8941</v>
      </c>
      <c r="DR59" s="0" t="n">
        <v>17.5925</v>
      </c>
      <c r="DS59" s="0" t="n">
        <v>19.501</v>
      </c>
      <c r="DT59" s="0" t="n">
        <v>16.6714</v>
      </c>
      <c r="DU59" s="0" t="n">
        <v>12.2742</v>
      </c>
      <c r="DV59" s="0" t="n">
        <v>11.6718</v>
      </c>
      <c r="DW59" s="0" t="n">
        <v>14.5131</v>
      </c>
      <c r="DX59" s="0" t="n">
        <v>17.0533</v>
      </c>
      <c r="DY59" s="0" t="n">
        <v>10.5519</v>
      </c>
      <c r="DZ59" s="0" t="n">
        <v>9.1151</v>
      </c>
      <c r="EA59" s="0" t="n">
        <v>7.497</v>
      </c>
      <c r="EB59" s="0" t="n">
        <v>5.2097</v>
      </c>
      <c r="EC59" s="0" t="n">
        <v>4.2847</v>
      </c>
      <c r="ED59" s="0" t="n">
        <v>4.348</v>
      </c>
      <c r="EE59" s="0" t="n">
        <v>2.9051</v>
      </c>
      <c r="EF59" s="0" t="n">
        <v>1.9505</v>
      </c>
      <c r="EG59" s="0" t="n">
        <v>1.1649</v>
      </c>
      <c r="EH59" s="0" t="n">
        <v>0.7469</v>
      </c>
      <c r="EI59" s="0" t="n">
        <v>0.4555</v>
      </c>
      <c r="EJ59" s="0" t="n">
        <v>0.9683</v>
      </c>
      <c r="EK59" s="0" t="n">
        <v>0.7301</v>
      </c>
      <c r="EL59" s="0" t="n">
        <v>0.2814</v>
      </c>
      <c r="EM59" s="0" t="n">
        <v>0.3801</v>
      </c>
      <c r="EN59" s="0" t="n">
        <v>0.4185</v>
      </c>
      <c r="EO59" s="0" t="n">
        <v>0.2922</v>
      </c>
      <c r="EP59" s="0" t="n">
        <v>0.0539</v>
      </c>
      <c r="EQ59" s="0" t="n">
        <v>0.1814</v>
      </c>
      <c r="ER59" s="0" t="n">
        <v>0.1271</v>
      </c>
      <c r="ES59" s="0" t="n">
        <v>0.1355</v>
      </c>
      <c r="ET59" s="0" t="n">
        <v>0.3747</v>
      </c>
      <c r="EU59" s="0" t="n">
        <v>0.0931</v>
      </c>
      <c r="EV59" s="0" t="n">
        <v>0.0442</v>
      </c>
      <c r="EW59" s="0" t="n">
        <v>0.2012</v>
      </c>
      <c r="EX59" s="0" t="n">
        <v>0</v>
      </c>
      <c r="EY59" s="0" t="n">
        <v>0.0068</v>
      </c>
      <c r="EZ59" s="0" t="n">
        <v>0</v>
      </c>
      <c r="FA59" s="0" t="n">
        <v>0</v>
      </c>
      <c r="FB59" s="0" t="n">
        <v>0</v>
      </c>
      <c r="FC59" s="0" t="n">
        <v>0</v>
      </c>
      <c r="FD59" s="0" t="n">
        <v>0</v>
      </c>
      <c r="FE59" s="0" t="n">
        <v>0</v>
      </c>
      <c r="FF59" s="0" t="n">
        <v>0</v>
      </c>
      <c r="FG59" s="0" t="n">
        <v>0</v>
      </c>
      <c r="FH59" s="0" t="n">
        <v>0</v>
      </c>
      <c r="FI59" s="0" t="n">
        <v>0.031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0" t="n">
        <v>0</v>
      </c>
      <c r="FP59" s="0" t="n">
        <v>0</v>
      </c>
    </row>
    <row r="60" customFormat="false" ht="13.8" hidden="false" customHeight="false" outlineLevel="0" collapsed="false">
      <c r="A60" s="2" t="s">
        <v>287</v>
      </c>
      <c r="B60" s="0" t="s">
        <v>199</v>
      </c>
      <c r="C60" s="0" t="s">
        <v>222</v>
      </c>
      <c r="D60" s="0" t="s">
        <v>223</v>
      </c>
      <c r="G60" s="0" t="n">
        <v>2042.7747</v>
      </c>
      <c r="H60" s="0" t="n">
        <v>269.6566</v>
      </c>
      <c r="I60" s="0" t="n">
        <v>847.1513</v>
      </c>
      <c r="J60" s="0" t="n">
        <v>1.3208</v>
      </c>
      <c r="K60" s="0" t="n">
        <v>0.019</v>
      </c>
      <c r="L60" s="0" t="n">
        <v>16.2026</v>
      </c>
      <c r="M60" s="0" t="n">
        <v>19.0705</v>
      </c>
      <c r="N60" s="0" t="n">
        <v>61.1642</v>
      </c>
      <c r="O60" s="0" t="n">
        <v>89.4457</v>
      </c>
      <c r="P60" s="0" t="n">
        <v>106.2838</v>
      </c>
      <c r="Q60" s="0" t="n">
        <v>161.9363</v>
      </c>
      <c r="R60" s="0" t="n">
        <v>107.4963</v>
      </c>
      <c r="S60" s="0" t="n">
        <v>75.1741</v>
      </c>
      <c r="T60" s="0" t="n">
        <v>63.7126</v>
      </c>
      <c r="U60" s="0" t="n">
        <v>72.5105</v>
      </c>
      <c r="V60" s="0" t="n">
        <v>32.1529</v>
      </c>
      <c r="W60" s="0" t="n">
        <v>50.2284</v>
      </c>
      <c r="X60" s="0" t="n">
        <v>34.8886</v>
      </c>
      <c r="Y60" s="0" t="n">
        <v>27.4466</v>
      </c>
      <c r="Z60" s="0" t="n">
        <v>31.1613</v>
      </c>
      <c r="AA60" s="0" t="n">
        <v>44.0088</v>
      </c>
      <c r="AB60" s="0" t="n">
        <v>43.0885</v>
      </c>
      <c r="AC60" s="0" t="n">
        <v>27.0588</v>
      </c>
      <c r="AD60" s="0" t="n">
        <v>39.9483</v>
      </c>
      <c r="AE60" s="0" t="n">
        <v>27.3877</v>
      </c>
      <c r="AF60" s="0" t="n">
        <v>37.0492</v>
      </c>
      <c r="AG60" s="0" t="n">
        <v>15.9521</v>
      </c>
      <c r="AH60" s="0" t="n">
        <v>26.7404</v>
      </c>
      <c r="AI60" s="0" t="n">
        <v>26.7574</v>
      </c>
      <c r="AJ60" s="0" t="n">
        <v>17.2805</v>
      </c>
      <c r="AK60" s="0" t="n">
        <v>26.4513</v>
      </c>
      <c r="AL60" s="0" t="n">
        <v>19.5489</v>
      </c>
      <c r="AM60" s="0" t="n">
        <v>18.6015</v>
      </c>
      <c r="AN60" s="0" t="n">
        <v>22.3915</v>
      </c>
      <c r="AO60" s="0" t="n">
        <v>25.2278</v>
      </c>
      <c r="AP60" s="0" t="n">
        <v>19.0743</v>
      </c>
      <c r="AQ60" s="0" t="n">
        <v>29.1656</v>
      </c>
      <c r="AR60" s="0" t="n">
        <v>25.1117</v>
      </c>
      <c r="AS60" s="0" t="n">
        <v>19.4397</v>
      </c>
      <c r="AT60" s="0" t="n">
        <v>26.8924</v>
      </c>
      <c r="AU60" s="0" t="n">
        <v>29.5011</v>
      </c>
      <c r="AV60" s="0" t="n">
        <v>18.2994</v>
      </c>
      <c r="AW60" s="0" t="n">
        <v>32.465</v>
      </c>
      <c r="AX60" s="0" t="n">
        <v>31.0911</v>
      </c>
      <c r="AY60" s="0" t="n">
        <v>25.0562</v>
      </c>
      <c r="AZ60" s="0" t="n">
        <v>31.1366</v>
      </c>
      <c r="BA60" s="0" t="n">
        <v>15.0841</v>
      </c>
      <c r="BB60" s="0" t="n">
        <v>39.579</v>
      </c>
      <c r="BC60" s="0" t="n">
        <v>29.577</v>
      </c>
      <c r="BD60" s="0" t="n">
        <v>24.2174</v>
      </c>
      <c r="BE60" s="0" t="n">
        <v>26.2818</v>
      </c>
      <c r="BF60" s="0" t="n">
        <v>19.0045</v>
      </c>
      <c r="BG60" s="0" t="n">
        <v>22.7582</v>
      </c>
      <c r="BH60" s="0" t="n">
        <v>25.7662</v>
      </c>
      <c r="BI60" s="0" t="n">
        <v>18.5517</v>
      </c>
      <c r="BJ60" s="0" t="n">
        <v>18.2976</v>
      </c>
      <c r="BK60" s="0" t="n">
        <v>23.9978</v>
      </c>
      <c r="BL60" s="0" t="n">
        <v>9.3199</v>
      </c>
      <c r="BM60" s="0" t="n">
        <v>11.335</v>
      </c>
      <c r="BN60" s="0" t="n">
        <v>10.7316</v>
      </c>
      <c r="BO60" s="0" t="n">
        <v>11.0543</v>
      </c>
      <c r="BP60" s="0" t="n">
        <v>6.0146</v>
      </c>
      <c r="BQ60" s="0" t="n">
        <v>6.1393</v>
      </c>
      <c r="BR60" s="0" t="n">
        <v>10.6015</v>
      </c>
      <c r="BS60" s="0" t="n">
        <v>6.5125</v>
      </c>
      <c r="BT60" s="0" t="n">
        <v>6.0687</v>
      </c>
      <c r="BU60" s="0" t="n">
        <v>4.2977</v>
      </c>
      <c r="BV60" s="0" t="n">
        <v>6.4981</v>
      </c>
      <c r="BW60" s="0" t="n">
        <v>5.2615</v>
      </c>
      <c r="BX60" s="0" t="n">
        <v>2.7775</v>
      </c>
      <c r="BY60" s="0" t="n">
        <v>3.5997</v>
      </c>
      <c r="BZ60" s="0" t="n">
        <v>4.0217</v>
      </c>
      <c r="CA60" s="0" t="n">
        <v>2.9203</v>
      </c>
      <c r="CB60" s="0" t="n">
        <v>3.1049</v>
      </c>
      <c r="CC60" s="0" t="n">
        <v>1.1109</v>
      </c>
      <c r="CD60" s="0" t="n">
        <v>0.6622</v>
      </c>
      <c r="CE60" s="0" t="n">
        <v>2.7336</v>
      </c>
      <c r="CF60" s="0" t="n">
        <v>0.4018</v>
      </c>
      <c r="CG60" s="0" t="n">
        <v>0.7276</v>
      </c>
      <c r="CH60" s="0" t="n">
        <v>1.0879</v>
      </c>
      <c r="CI60" s="0" t="n">
        <v>1.8348</v>
      </c>
      <c r="CJ60" s="0" t="n">
        <v>1.043</v>
      </c>
      <c r="CK60" s="0" t="n">
        <v>0.6975</v>
      </c>
      <c r="CL60" s="0" t="n">
        <v>0.7281</v>
      </c>
      <c r="CM60" s="0" t="n">
        <v>4.5986</v>
      </c>
      <c r="CN60" s="0" t="n">
        <v>0.0003</v>
      </c>
      <c r="CO60" s="0" t="n">
        <v>0.4194</v>
      </c>
      <c r="CP60" s="0" t="n">
        <v>0.7513</v>
      </c>
      <c r="CQ60" s="0" t="n">
        <v>3.4405</v>
      </c>
      <c r="CR60" s="0" t="n">
        <v>6.5079</v>
      </c>
      <c r="CS60" s="0" t="n">
        <v>9.1971</v>
      </c>
      <c r="CT60" s="0" t="n">
        <v>16.3639</v>
      </c>
      <c r="CU60" s="0" t="n">
        <v>12.778</v>
      </c>
      <c r="CV60" s="0" t="n">
        <v>10.0131</v>
      </c>
      <c r="CW60" s="0" t="n">
        <v>9.3417</v>
      </c>
      <c r="CX60" s="0" t="n">
        <v>12.0411</v>
      </c>
      <c r="CY60" s="0" t="n">
        <v>5.8646</v>
      </c>
      <c r="CZ60" s="0" t="n">
        <v>9.8282</v>
      </c>
      <c r="DA60" s="0" t="n">
        <v>7.5165</v>
      </c>
      <c r="DB60" s="0" t="n">
        <v>6.2312</v>
      </c>
      <c r="DC60" s="0" t="n">
        <v>7.5512</v>
      </c>
      <c r="DD60" s="0" t="n">
        <v>11.3476</v>
      </c>
      <c r="DE60" s="0" t="n">
        <v>11.8938</v>
      </c>
      <c r="DF60" s="0" t="n">
        <v>7.8808</v>
      </c>
      <c r="DG60" s="0" t="n">
        <v>12.2362</v>
      </c>
      <c r="DH60" s="0" t="n">
        <v>8.7708</v>
      </c>
      <c r="DI60" s="0" t="n">
        <v>12.5632</v>
      </c>
      <c r="DJ60" s="0" t="n">
        <v>5.7076</v>
      </c>
      <c r="DK60" s="0" t="n">
        <v>9.8091</v>
      </c>
      <c r="DL60" s="0" t="n">
        <v>10.3329</v>
      </c>
      <c r="DM60" s="0" t="n">
        <v>6.9161</v>
      </c>
      <c r="DN60" s="0" t="n">
        <v>11.0225</v>
      </c>
      <c r="DO60" s="0" t="n">
        <v>8.4751</v>
      </c>
      <c r="DP60" s="0" t="n">
        <v>8.3091</v>
      </c>
      <c r="DQ60" s="0" t="n">
        <v>10.356</v>
      </c>
      <c r="DR60" s="0" t="n">
        <v>12.1402</v>
      </c>
      <c r="DS60" s="0" t="n">
        <v>9.4114</v>
      </c>
      <c r="DT60" s="0" t="n">
        <v>14.8389</v>
      </c>
      <c r="DU60" s="0" t="n">
        <v>13.231</v>
      </c>
      <c r="DV60" s="0" t="n">
        <v>10.5344</v>
      </c>
      <c r="DW60" s="0" t="n">
        <v>14.9424</v>
      </c>
      <c r="DX60" s="0" t="n">
        <v>16.947</v>
      </c>
      <c r="DY60" s="0" t="n">
        <v>10.8026</v>
      </c>
      <c r="DZ60" s="0" t="n">
        <v>19.5624</v>
      </c>
      <c r="EA60" s="0" t="n">
        <v>19.2978</v>
      </c>
      <c r="EB60" s="0" t="n">
        <v>15.9711</v>
      </c>
      <c r="EC60" s="0" t="n">
        <v>20.3408</v>
      </c>
      <c r="ED60" s="0" t="n">
        <v>10.0221</v>
      </c>
      <c r="EE60" s="0" t="n">
        <v>26.966</v>
      </c>
      <c r="EF60" s="0" t="n">
        <v>20.7429</v>
      </c>
      <c r="EG60" s="0" t="n">
        <v>17.3927</v>
      </c>
      <c r="EH60" s="0" t="n">
        <v>19.2014</v>
      </c>
      <c r="EI60" s="0" t="n">
        <v>14.142</v>
      </c>
      <c r="EJ60" s="0" t="n">
        <v>17.301</v>
      </c>
      <c r="EK60" s="0" t="n">
        <v>20.0464</v>
      </c>
      <c r="EL60" s="0" t="n">
        <v>14.7223</v>
      </c>
      <c r="EM60" s="0" t="n">
        <v>14.7737</v>
      </c>
      <c r="EN60" s="0" t="n">
        <v>19.7945</v>
      </c>
      <c r="EO60" s="0" t="n">
        <v>7.8508</v>
      </c>
      <c r="EP60" s="0" t="n">
        <v>9.691</v>
      </c>
      <c r="EQ60" s="0" t="n">
        <v>9.3741</v>
      </c>
      <c r="ER60" s="0" t="n">
        <v>9.8094</v>
      </c>
      <c r="ES60" s="0" t="n">
        <v>5.4203</v>
      </c>
      <c r="ET60" s="0" t="n">
        <v>5.6274</v>
      </c>
      <c r="EU60" s="0" t="n">
        <v>9.9026</v>
      </c>
      <c r="EV60" s="0" t="n">
        <v>6.1934</v>
      </c>
      <c r="EW60" s="0" t="n">
        <v>5.8568</v>
      </c>
      <c r="EX60" s="0" t="n">
        <v>4.2109</v>
      </c>
      <c r="EY60" s="0" t="n">
        <v>6.466</v>
      </c>
      <c r="EZ60" s="0" t="n">
        <v>5.334</v>
      </c>
      <c r="FA60" s="0" t="n">
        <v>2.863</v>
      </c>
      <c r="FB60" s="0" t="n">
        <v>3.7511</v>
      </c>
      <c r="FC60" s="0" t="n">
        <v>4.2614</v>
      </c>
      <c r="FD60" s="0" t="n">
        <v>3.1421</v>
      </c>
      <c r="FE60" s="0" t="n">
        <v>3.3967</v>
      </c>
      <c r="FF60" s="0" t="n">
        <v>1.2314</v>
      </c>
      <c r="FG60" s="0" t="n">
        <v>0.7425</v>
      </c>
      <c r="FH60" s="0" t="n">
        <v>3.1097</v>
      </c>
      <c r="FI60" s="0" t="n">
        <v>0.4629</v>
      </c>
      <c r="FJ60" s="0" t="n">
        <v>0.8528</v>
      </c>
      <c r="FK60" s="0" t="n">
        <v>1.2923</v>
      </c>
      <c r="FL60" s="0" t="n">
        <v>2.2024</v>
      </c>
      <c r="FM60" s="0" t="n">
        <v>1.2688</v>
      </c>
      <c r="FN60" s="0" t="n">
        <v>0.8621</v>
      </c>
      <c r="FO60" s="0" t="n">
        <v>0.9096</v>
      </c>
      <c r="FP60" s="0" t="n">
        <v>6.2857</v>
      </c>
    </row>
    <row r="61" customFormat="false" ht="13.8" hidden="false" customHeight="false" outlineLevel="0" collapsed="false">
      <c r="A61" s="2" t="s">
        <v>288</v>
      </c>
      <c r="B61" s="0" t="s">
        <v>176</v>
      </c>
      <c r="C61" s="0" t="n">
        <v>312</v>
      </c>
      <c r="D61" s="0" t="s">
        <v>289</v>
      </c>
      <c r="G61" s="0" t="n">
        <v>1220.0546</v>
      </c>
      <c r="H61" s="0" t="n">
        <v>112.2487</v>
      </c>
      <c r="I61" s="0" t="n">
        <v>352.6397</v>
      </c>
      <c r="J61" s="0" t="n">
        <v>0.89575</v>
      </c>
      <c r="K61" s="0" t="n">
        <v>0</v>
      </c>
      <c r="L61" s="0" t="n">
        <v>86.7321</v>
      </c>
      <c r="M61" s="0" t="n">
        <v>79.3872</v>
      </c>
      <c r="N61" s="0" t="n">
        <v>119.1032</v>
      </c>
      <c r="O61" s="0" t="n">
        <v>100.7819</v>
      </c>
      <c r="P61" s="0" t="n">
        <v>60.4648</v>
      </c>
      <c r="Q61" s="0" t="n">
        <v>38.0813</v>
      </c>
      <c r="R61" s="0" t="n">
        <v>35.5185</v>
      </c>
      <c r="S61" s="0" t="n">
        <v>27.4339</v>
      </c>
      <c r="T61" s="0" t="n">
        <v>25.9256</v>
      </c>
      <c r="U61" s="0" t="n">
        <v>21.8276</v>
      </c>
      <c r="V61" s="0" t="n">
        <v>21.673</v>
      </c>
      <c r="W61" s="0" t="n">
        <v>17.8942</v>
      </c>
      <c r="X61" s="0" t="n">
        <v>18.3142</v>
      </c>
      <c r="Y61" s="0" t="n">
        <v>16.1155</v>
      </c>
      <c r="Z61" s="0" t="n">
        <v>17.7863</v>
      </c>
      <c r="AA61" s="0" t="n">
        <v>17.8208</v>
      </c>
      <c r="AB61" s="0" t="n">
        <v>15.7398</v>
      </c>
      <c r="AC61" s="0" t="n">
        <v>12.7404</v>
      </c>
      <c r="AD61" s="0" t="n">
        <v>13.5662</v>
      </c>
      <c r="AE61" s="0" t="n">
        <v>13.2337</v>
      </c>
      <c r="AF61" s="0" t="n">
        <v>17.4525</v>
      </c>
      <c r="AG61" s="0" t="n">
        <v>12.2864</v>
      </c>
      <c r="AH61" s="0" t="n">
        <v>19.53</v>
      </c>
      <c r="AI61" s="0" t="n">
        <v>14.9973</v>
      </c>
      <c r="AJ61" s="0" t="n">
        <v>19.5241</v>
      </c>
      <c r="AK61" s="0" t="n">
        <v>20.6456</v>
      </c>
      <c r="AL61" s="0" t="n">
        <v>16.5834</v>
      </c>
      <c r="AM61" s="0" t="n">
        <v>14.049</v>
      </c>
      <c r="AN61" s="0" t="n">
        <v>18.1259</v>
      </c>
      <c r="AO61" s="0" t="n">
        <v>22.458</v>
      </c>
      <c r="AP61" s="0" t="n">
        <v>18.82</v>
      </c>
      <c r="AQ61" s="0" t="n">
        <v>18.6238</v>
      </c>
      <c r="AR61" s="0" t="n">
        <v>20.8855</v>
      </c>
      <c r="AS61" s="0" t="n">
        <v>24.2434</v>
      </c>
      <c r="AT61" s="0" t="n">
        <v>21.5594</v>
      </c>
      <c r="AU61" s="0" t="n">
        <v>21.7237</v>
      </c>
      <c r="AV61" s="0" t="n">
        <v>16.9098</v>
      </c>
      <c r="AW61" s="0" t="n">
        <v>13.4252</v>
      </c>
      <c r="AX61" s="0" t="n">
        <v>16.0019</v>
      </c>
      <c r="AY61" s="0" t="n">
        <v>11.4733</v>
      </c>
      <c r="AZ61" s="0" t="n">
        <v>12.4568</v>
      </c>
      <c r="BA61" s="0" t="n">
        <v>11.1497</v>
      </c>
      <c r="BB61" s="0" t="n">
        <v>10.3037</v>
      </c>
      <c r="BC61" s="0" t="n">
        <v>7.2105</v>
      </c>
      <c r="BD61" s="0" t="n">
        <v>8.1831</v>
      </c>
      <c r="BE61" s="0" t="n">
        <v>7.3397</v>
      </c>
      <c r="BF61" s="0" t="n">
        <v>6.1804</v>
      </c>
      <c r="BG61" s="0" t="n">
        <v>8.2577</v>
      </c>
      <c r="BH61" s="0" t="n">
        <v>4.4867</v>
      </c>
      <c r="BI61" s="0" t="n">
        <v>3.0275</v>
      </c>
      <c r="BJ61" s="0" t="n">
        <v>3.334</v>
      </c>
      <c r="BK61" s="0" t="n">
        <v>3.1657</v>
      </c>
      <c r="BL61" s="0" t="n">
        <v>2.2443</v>
      </c>
      <c r="BM61" s="0" t="n">
        <v>2.3712</v>
      </c>
      <c r="BN61" s="0" t="n">
        <v>0.7758</v>
      </c>
      <c r="BO61" s="0" t="n">
        <v>0.6119</v>
      </c>
      <c r="BP61" s="0" t="n">
        <v>0.754</v>
      </c>
      <c r="BQ61" s="0" t="n">
        <v>0.453</v>
      </c>
      <c r="BR61" s="0" t="n">
        <v>0.8686</v>
      </c>
      <c r="BS61" s="0" t="n">
        <v>0.6435</v>
      </c>
      <c r="BT61" s="0" t="n">
        <v>1.0518</v>
      </c>
      <c r="BU61" s="0" t="n">
        <v>0.2304</v>
      </c>
      <c r="BV61" s="0" t="n">
        <v>0.6642</v>
      </c>
      <c r="BW61" s="0" t="n">
        <v>0.3342</v>
      </c>
      <c r="BX61" s="0" t="n">
        <v>0.3838</v>
      </c>
      <c r="BY61" s="0" t="n">
        <v>0.5267</v>
      </c>
      <c r="BZ61" s="0" t="n">
        <v>0.0481</v>
      </c>
      <c r="CA61" s="0" t="n">
        <v>0.5892</v>
      </c>
      <c r="CB61" s="0" t="n">
        <v>0.1052</v>
      </c>
      <c r="CC61" s="0" t="n">
        <v>0.0698</v>
      </c>
      <c r="CD61" s="0" t="n">
        <v>0.4258</v>
      </c>
      <c r="CE61" s="0" t="n">
        <v>0.1905</v>
      </c>
      <c r="CF61" s="0" t="n">
        <v>0.0354</v>
      </c>
      <c r="CG61" s="0" t="n">
        <v>0.0524</v>
      </c>
      <c r="CH61" s="0" t="n">
        <v>0</v>
      </c>
      <c r="CI61" s="0" t="n">
        <v>0</v>
      </c>
      <c r="CJ61" s="0" t="n">
        <v>0</v>
      </c>
      <c r="CK61" s="0" t="n">
        <v>0.0316</v>
      </c>
      <c r="CL61" s="0" t="n">
        <v>0.0539</v>
      </c>
      <c r="CM61" s="0" t="n">
        <v>1.6566</v>
      </c>
      <c r="CN61" s="0" t="n">
        <v>0</v>
      </c>
      <c r="CO61" s="0" t="n">
        <v>2.2557</v>
      </c>
      <c r="CP61" s="0" t="n">
        <v>3.0634</v>
      </c>
      <c r="CQ61" s="0" t="n">
        <v>6.5717</v>
      </c>
      <c r="CR61" s="0" t="n">
        <v>7.0036</v>
      </c>
      <c r="CS61" s="0" t="n">
        <v>5.2059</v>
      </c>
      <c r="CT61" s="0" t="n">
        <v>3.8736</v>
      </c>
      <c r="CU61" s="0" t="n">
        <v>4.1918</v>
      </c>
      <c r="CV61" s="0" t="n">
        <v>3.6581</v>
      </c>
      <c r="CW61" s="0" t="n">
        <v>3.8629</v>
      </c>
      <c r="CX61" s="0" t="n">
        <v>3.5977</v>
      </c>
      <c r="CY61" s="0" t="n">
        <v>3.9172</v>
      </c>
      <c r="CZ61" s="0" t="n">
        <v>3.5041</v>
      </c>
      <c r="DA61" s="0" t="n">
        <v>3.8771</v>
      </c>
      <c r="DB61" s="0" t="n">
        <v>3.6727</v>
      </c>
      <c r="DC61" s="0" t="n">
        <v>4.3396</v>
      </c>
      <c r="DD61" s="0" t="n">
        <v>4.6152</v>
      </c>
      <c r="DE61" s="0" t="n">
        <v>4.3254</v>
      </c>
      <c r="DF61" s="0" t="n">
        <v>3.7007</v>
      </c>
      <c r="DG61" s="0" t="n">
        <v>4.148</v>
      </c>
      <c r="DH61" s="0" t="n">
        <v>4.2648</v>
      </c>
      <c r="DI61" s="0" t="n">
        <v>5.8974</v>
      </c>
      <c r="DJ61" s="0" t="n">
        <v>4.3354</v>
      </c>
      <c r="DK61" s="0" t="n">
        <v>7.2306</v>
      </c>
      <c r="DL61" s="0" t="n">
        <v>5.7782</v>
      </c>
      <c r="DM61" s="0" t="n">
        <v>7.8154</v>
      </c>
      <c r="DN61" s="0" t="n">
        <v>8.6072</v>
      </c>
      <c r="DO61" s="0" t="n">
        <v>7.1627</v>
      </c>
      <c r="DP61" s="0" t="n">
        <v>6.2797</v>
      </c>
      <c r="DQ61" s="0" t="n">
        <v>8.4014</v>
      </c>
      <c r="DR61" s="0" t="n">
        <v>10.7595</v>
      </c>
      <c r="DS61" s="0" t="n">
        <v>9.325</v>
      </c>
      <c r="DT61" s="0" t="n">
        <v>9.5209</v>
      </c>
      <c r="DU61" s="0" t="n">
        <v>10.9898</v>
      </c>
      <c r="DV61" s="0" t="n">
        <v>13.095</v>
      </c>
      <c r="DW61" s="0" t="n">
        <v>12.0268</v>
      </c>
      <c r="DX61" s="0" t="n">
        <v>12.4605</v>
      </c>
      <c r="DY61" s="0" t="n">
        <v>9.9353</v>
      </c>
      <c r="DZ61" s="0" t="n">
        <v>8.101</v>
      </c>
      <c r="EA61" s="0" t="n">
        <v>9.9213</v>
      </c>
      <c r="EB61" s="0" t="n">
        <v>7.3051</v>
      </c>
      <c r="EC61" s="0" t="n">
        <v>8.1139</v>
      </c>
      <c r="ED61" s="0" t="n">
        <v>7.4518</v>
      </c>
      <c r="EE61" s="0" t="n">
        <v>7.0307</v>
      </c>
      <c r="EF61" s="0" t="n">
        <v>5.0415</v>
      </c>
      <c r="EG61" s="0" t="n">
        <v>5.8398</v>
      </c>
      <c r="EH61" s="0" t="n">
        <v>5.3626</v>
      </c>
      <c r="EI61" s="0" t="n">
        <v>4.6151</v>
      </c>
      <c r="EJ61" s="0" t="n">
        <v>6.2982</v>
      </c>
      <c r="EK61" s="0" t="n">
        <v>3.4901</v>
      </c>
      <c r="EL61" s="0" t="n">
        <v>2.399</v>
      </c>
      <c r="EM61" s="0" t="n">
        <v>2.6986</v>
      </c>
      <c r="EN61" s="0" t="n">
        <v>2.6074</v>
      </c>
      <c r="EO61" s="0" t="n">
        <v>1.8857</v>
      </c>
      <c r="EP61" s="0" t="n">
        <v>2.0248</v>
      </c>
      <c r="EQ61" s="0" t="n">
        <v>0.6765</v>
      </c>
      <c r="ER61" s="0" t="n">
        <v>0.5445</v>
      </c>
      <c r="ES61" s="0" t="n">
        <v>0.6814</v>
      </c>
      <c r="ET61" s="0" t="n">
        <v>0.4162</v>
      </c>
      <c r="EU61" s="0" t="n">
        <v>0.8103</v>
      </c>
      <c r="EV61" s="0" t="n">
        <v>0.6095</v>
      </c>
      <c r="EW61" s="0" t="n">
        <v>1.0155</v>
      </c>
      <c r="EX61" s="0" t="n">
        <v>0.2259</v>
      </c>
      <c r="EY61" s="0" t="n">
        <v>0.6627</v>
      </c>
      <c r="EZ61" s="0" t="n">
        <v>0.3402</v>
      </c>
      <c r="FA61" s="0" t="n">
        <v>0.3957</v>
      </c>
      <c r="FB61" s="0" t="n">
        <v>0.5487</v>
      </c>
      <c r="FC61" s="0" t="n">
        <v>0.0509</v>
      </c>
      <c r="FD61" s="0" t="n">
        <v>0.6372</v>
      </c>
      <c r="FE61" s="0" t="n">
        <v>0.1148</v>
      </c>
      <c r="FF61" s="0" t="n">
        <v>0.077</v>
      </c>
      <c r="FG61" s="0" t="n">
        <v>0.4782</v>
      </c>
      <c r="FH61" s="0" t="n">
        <v>0.2167</v>
      </c>
      <c r="FI61" s="0" t="n">
        <v>0.0407</v>
      </c>
      <c r="FJ61" s="0" t="n">
        <v>0.0614</v>
      </c>
      <c r="FK61" s="0" t="n">
        <v>0</v>
      </c>
      <c r="FL61" s="0" t="n">
        <v>0</v>
      </c>
      <c r="FM61" s="0" t="n">
        <v>0</v>
      </c>
      <c r="FN61" s="0" t="n">
        <v>0.0417</v>
      </c>
      <c r="FO61" s="0" t="n">
        <v>0.0672</v>
      </c>
      <c r="FP61" s="0" t="n">
        <v>2.4093</v>
      </c>
    </row>
    <row r="62" customFormat="false" ht="13.8" hidden="false" customHeight="false" outlineLevel="0" collapsed="false">
      <c r="A62" s="2" t="s">
        <v>290</v>
      </c>
      <c r="B62" s="0" t="s">
        <v>173</v>
      </c>
      <c r="C62" s="0" t="n">
        <v>49</v>
      </c>
      <c r="D62" s="0" t="s">
        <v>291</v>
      </c>
      <c r="F62" s="0" t="n">
        <v>3.8338</v>
      </c>
      <c r="G62" s="0" t="n">
        <v>4575.3737</v>
      </c>
      <c r="H62" s="0" t="n">
        <v>359.513</v>
      </c>
      <c r="I62" s="0" t="n">
        <v>1129.443</v>
      </c>
      <c r="J62" s="0" t="n">
        <v>0.7511</v>
      </c>
      <c r="K62" s="0" t="n">
        <v>0.0195</v>
      </c>
      <c r="L62" s="0" t="n">
        <v>28.8057</v>
      </c>
      <c r="M62" s="0" t="n">
        <v>56.9381</v>
      </c>
      <c r="N62" s="0" t="n">
        <v>362.5183</v>
      </c>
      <c r="O62" s="0" t="n">
        <v>482.124</v>
      </c>
      <c r="P62" s="0" t="n">
        <v>386.2118</v>
      </c>
      <c r="Q62" s="0" t="n">
        <v>527.6388</v>
      </c>
      <c r="R62" s="0" t="n">
        <v>258.2921</v>
      </c>
      <c r="S62" s="0" t="n">
        <v>230.0048</v>
      </c>
      <c r="T62" s="0" t="n">
        <v>187.1978</v>
      </c>
      <c r="U62" s="0" t="n">
        <v>225.4892</v>
      </c>
      <c r="V62" s="0" t="n">
        <v>103.8275</v>
      </c>
      <c r="W62" s="0" t="n">
        <v>144.902</v>
      </c>
      <c r="X62" s="0" t="n">
        <v>84.9816</v>
      </c>
      <c r="Y62" s="0" t="n">
        <v>53.4253</v>
      </c>
      <c r="Z62" s="0" t="n">
        <v>62.7523</v>
      </c>
      <c r="AA62" s="0" t="n">
        <v>81.1842</v>
      </c>
      <c r="AB62" s="0" t="n">
        <v>78.4136</v>
      </c>
      <c r="AC62" s="0" t="n">
        <v>50.4813</v>
      </c>
      <c r="AD62" s="0" t="n">
        <v>66.5913</v>
      </c>
      <c r="AE62" s="0" t="n">
        <v>60.4608</v>
      </c>
      <c r="AF62" s="0" t="n">
        <v>83.3766</v>
      </c>
      <c r="AG62" s="0" t="n">
        <v>44.5743</v>
      </c>
      <c r="AH62" s="0" t="n">
        <v>67.4494</v>
      </c>
      <c r="AI62" s="0" t="n">
        <v>79.1373</v>
      </c>
      <c r="AJ62" s="0" t="n">
        <v>51.5601</v>
      </c>
      <c r="AK62" s="0" t="n">
        <v>75.4948</v>
      </c>
      <c r="AL62" s="0" t="n">
        <v>53.4087</v>
      </c>
      <c r="AM62" s="0" t="n">
        <v>61.0614</v>
      </c>
      <c r="AN62" s="0" t="n">
        <v>63.7109</v>
      </c>
      <c r="AO62" s="0" t="n">
        <v>59.8752</v>
      </c>
      <c r="AP62" s="0" t="n">
        <v>50.8216</v>
      </c>
      <c r="AQ62" s="0" t="n">
        <v>58.233</v>
      </c>
      <c r="AR62" s="0" t="n">
        <v>56.2096</v>
      </c>
      <c r="AS62" s="0" t="n">
        <v>37.2596</v>
      </c>
      <c r="AT62" s="0" t="n">
        <v>45.9089</v>
      </c>
      <c r="AU62" s="0" t="n">
        <v>31.6031</v>
      </c>
      <c r="AV62" s="0" t="n">
        <v>15.4685</v>
      </c>
      <c r="AW62" s="0" t="n">
        <v>15.7509</v>
      </c>
      <c r="AX62" s="0" t="n">
        <v>20.6195</v>
      </c>
      <c r="AY62" s="0" t="n">
        <v>14.1801</v>
      </c>
      <c r="AZ62" s="0" t="n">
        <v>10.5501</v>
      </c>
      <c r="BA62" s="0" t="n">
        <v>6.0613</v>
      </c>
      <c r="BB62" s="0" t="n">
        <v>7.9792</v>
      </c>
      <c r="BC62" s="0" t="n">
        <v>5.2993</v>
      </c>
      <c r="BD62" s="0" t="n">
        <v>2.6223</v>
      </c>
      <c r="BE62" s="0" t="n">
        <v>2.7047</v>
      </c>
      <c r="BF62" s="0" t="n">
        <v>3.1618</v>
      </c>
      <c r="BG62" s="0" t="n">
        <v>2.2362</v>
      </c>
      <c r="BH62" s="0" t="n">
        <v>2.2502</v>
      </c>
      <c r="BI62" s="0" t="n">
        <v>1.8358</v>
      </c>
      <c r="BJ62" s="0" t="n">
        <v>1.3328</v>
      </c>
      <c r="BK62" s="0" t="n">
        <v>1.2901</v>
      </c>
      <c r="BL62" s="0" t="n">
        <v>0.2897</v>
      </c>
      <c r="BM62" s="0" t="n">
        <v>0.2734</v>
      </c>
      <c r="BN62" s="0" t="n">
        <v>0.6285</v>
      </c>
      <c r="BO62" s="0" t="n">
        <v>0.5775</v>
      </c>
      <c r="BP62" s="0" t="n">
        <v>0.7727</v>
      </c>
      <c r="BQ62" s="0" t="n">
        <v>0.5525</v>
      </c>
      <c r="BR62" s="0" t="n">
        <v>0.3257</v>
      </c>
      <c r="BS62" s="0" t="n">
        <v>0.103</v>
      </c>
      <c r="BT62" s="0" t="n">
        <v>0.2618</v>
      </c>
      <c r="BU62" s="0" t="n">
        <v>0.588</v>
      </c>
      <c r="BV62" s="0" t="n">
        <v>0.1142</v>
      </c>
      <c r="BW62" s="0" t="n">
        <v>0.6245</v>
      </c>
      <c r="BX62" s="0" t="n">
        <v>0.0471</v>
      </c>
      <c r="BY62" s="0" t="n">
        <v>0.0603</v>
      </c>
      <c r="BZ62" s="0" t="n">
        <v>0.5298</v>
      </c>
      <c r="CA62" s="0" t="n">
        <v>0.0529</v>
      </c>
      <c r="CB62" s="0" t="n">
        <v>0.0344</v>
      </c>
      <c r="CC62" s="0" t="n">
        <v>0.1729</v>
      </c>
      <c r="CD62" s="0" t="n">
        <v>0.0423</v>
      </c>
      <c r="CE62" s="0" t="n">
        <v>0.0613</v>
      </c>
      <c r="CF62" s="0" t="n">
        <v>0.0608</v>
      </c>
      <c r="CG62" s="0" t="n">
        <v>0.0259</v>
      </c>
      <c r="CH62" s="0" t="n">
        <v>0.0201</v>
      </c>
      <c r="CI62" s="0" t="n">
        <v>0.0571</v>
      </c>
      <c r="CJ62" s="0" t="n">
        <v>0.1</v>
      </c>
      <c r="CK62" s="0" t="n">
        <v>0.2263</v>
      </c>
      <c r="CL62" s="0" t="n">
        <v>0</v>
      </c>
      <c r="CM62" s="0" t="n">
        <v>2.3201</v>
      </c>
      <c r="CN62" s="0" t="n">
        <v>0.0003</v>
      </c>
      <c r="CO62" s="0" t="n">
        <v>0.7541</v>
      </c>
      <c r="CP62" s="0" t="n">
        <v>2.2704</v>
      </c>
      <c r="CQ62" s="0" t="n">
        <v>20.6045</v>
      </c>
      <c r="CR62" s="0" t="n">
        <v>34.236</v>
      </c>
      <c r="CS62" s="0" t="n">
        <v>32.4595</v>
      </c>
      <c r="CT62" s="0" t="n">
        <v>53.0959</v>
      </c>
      <c r="CU62" s="0" t="n">
        <v>30.7028</v>
      </c>
      <c r="CV62" s="0" t="n">
        <v>30.6599</v>
      </c>
      <c r="CW62" s="0" t="n">
        <v>27.4605</v>
      </c>
      <c r="CX62" s="0" t="n">
        <v>37.4074</v>
      </c>
      <c r="CY62" s="0" t="n">
        <v>18.867</v>
      </c>
      <c r="CZ62" s="0" t="n">
        <v>28.3844</v>
      </c>
      <c r="DA62" s="0" t="n">
        <v>18.3302</v>
      </c>
      <c r="DB62" s="0" t="n">
        <v>12.1243</v>
      </c>
      <c r="DC62" s="0" t="n">
        <v>15.2006</v>
      </c>
      <c r="DD62" s="0" t="n">
        <v>20.9703</v>
      </c>
      <c r="DE62" s="0" t="n">
        <v>21.6703</v>
      </c>
      <c r="DF62" s="0" t="n">
        <v>14.6828</v>
      </c>
      <c r="DG62" s="0" t="n">
        <v>20.3809</v>
      </c>
      <c r="DH62" s="0" t="n">
        <v>19.3797</v>
      </c>
      <c r="DI62" s="0" t="n">
        <v>28.2995</v>
      </c>
      <c r="DJ62" s="0" t="n">
        <v>15.931</v>
      </c>
      <c r="DK62" s="0" t="n">
        <v>24.7673</v>
      </c>
      <c r="DL62" s="0" t="n">
        <v>30.5438</v>
      </c>
      <c r="DM62" s="0" t="n">
        <v>20.642</v>
      </c>
      <c r="DN62" s="0" t="n">
        <v>31.4544</v>
      </c>
      <c r="DO62" s="0" t="n">
        <v>23.1279</v>
      </c>
      <c r="DP62" s="0" t="n">
        <v>27.2286</v>
      </c>
      <c r="DQ62" s="0" t="n">
        <v>29.5053</v>
      </c>
      <c r="DR62" s="0" t="n">
        <v>28.8245</v>
      </c>
      <c r="DS62" s="0" t="n">
        <v>25.065</v>
      </c>
      <c r="DT62" s="0" t="n">
        <v>29.6654</v>
      </c>
      <c r="DU62" s="0" t="n">
        <v>29.589</v>
      </c>
      <c r="DV62" s="0" t="n">
        <v>20.1366</v>
      </c>
      <c r="DW62" s="0" t="n">
        <v>25.4852</v>
      </c>
      <c r="DX62" s="0" t="n">
        <v>18.1476</v>
      </c>
      <c r="DY62" s="0" t="n">
        <v>9.1411</v>
      </c>
      <c r="DZ62" s="0" t="n">
        <v>9.4961</v>
      </c>
      <c r="EA62" s="0" t="n">
        <v>12.7952</v>
      </c>
      <c r="EB62" s="0" t="n">
        <v>9.0424</v>
      </c>
      <c r="EC62" s="0" t="n">
        <v>6.8909</v>
      </c>
      <c r="ED62" s="0" t="n">
        <v>4.0334</v>
      </c>
      <c r="EE62" s="0" t="n">
        <v>5.4415</v>
      </c>
      <c r="EF62" s="0" t="n">
        <v>3.7152</v>
      </c>
      <c r="EG62" s="0" t="n">
        <v>1.886</v>
      </c>
      <c r="EH62" s="0" t="n">
        <v>1.9764</v>
      </c>
      <c r="EI62" s="0" t="n">
        <v>2.3576</v>
      </c>
      <c r="EJ62" s="0" t="n">
        <v>1.6962</v>
      </c>
      <c r="EK62" s="0" t="n">
        <v>1.752</v>
      </c>
      <c r="EL62" s="0" t="n">
        <v>1.4555</v>
      </c>
      <c r="EM62" s="0" t="n">
        <v>1.0773</v>
      </c>
      <c r="EN62" s="0" t="n">
        <v>1.065</v>
      </c>
      <c r="EO62" s="0" t="n">
        <v>0.2432</v>
      </c>
      <c r="EP62" s="0" t="n">
        <v>0.2333</v>
      </c>
      <c r="EQ62" s="0" t="n">
        <v>0.5488</v>
      </c>
      <c r="ER62" s="0" t="n">
        <v>0.5126</v>
      </c>
      <c r="ES62" s="0" t="n">
        <v>0.6983</v>
      </c>
      <c r="ET62" s="0" t="n">
        <v>0.5078</v>
      </c>
      <c r="EU62" s="0" t="n">
        <v>0.3048</v>
      </c>
      <c r="EV62" s="0" t="n">
        <v>0.0978</v>
      </c>
      <c r="EW62" s="0" t="n">
        <v>0.2537</v>
      </c>
      <c r="EX62" s="0" t="n">
        <v>0.5764</v>
      </c>
      <c r="EY62" s="0" t="n">
        <v>0.1138</v>
      </c>
      <c r="EZ62" s="0" t="n">
        <v>0.6328</v>
      </c>
      <c r="FA62" s="0" t="n">
        <v>0.0483</v>
      </c>
      <c r="FB62" s="0" t="n">
        <v>0.0628</v>
      </c>
      <c r="FC62" s="0" t="n">
        <v>0.5624</v>
      </c>
      <c r="FD62" s="0" t="n">
        <v>0.0568</v>
      </c>
      <c r="FE62" s="0" t="n">
        <v>0.0376</v>
      </c>
      <c r="FF62" s="0" t="n">
        <v>0.192</v>
      </c>
      <c r="FG62" s="0" t="n">
        <v>0.0476</v>
      </c>
      <c r="FH62" s="0" t="n">
        <v>0.0699</v>
      </c>
      <c r="FI62" s="0" t="n">
        <v>0.0703</v>
      </c>
      <c r="FJ62" s="0" t="n">
        <v>0.0304</v>
      </c>
      <c r="FK62" s="0" t="n">
        <v>0.0238</v>
      </c>
      <c r="FL62" s="0" t="n">
        <v>0.0687</v>
      </c>
      <c r="FM62" s="0" t="n">
        <v>0.1218</v>
      </c>
      <c r="FN62" s="0" t="n">
        <v>0.2786</v>
      </c>
      <c r="FO62" s="0" t="n">
        <v>0</v>
      </c>
      <c r="FP62" s="0" t="n">
        <v>3.2328</v>
      </c>
    </row>
    <row r="63" customFormat="false" ht="13.8" hidden="false" customHeight="false" outlineLevel="0" collapsed="false">
      <c r="A63" s="2" t="s">
        <v>292</v>
      </c>
      <c r="B63" s="0" t="s">
        <v>176</v>
      </c>
      <c r="C63" s="0" t="n">
        <v>237</v>
      </c>
      <c r="D63" s="0" t="s">
        <v>293</v>
      </c>
      <c r="E63" s="0" t="e">
        <f aca="false">VLOOKUP(A63,[1]RHIZOMES!$A$1:$B$1048576,2,0)</f>
        <v>#N/A</v>
      </c>
      <c r="F63" s="0" t="e">
        <f aca="false">VLOOKUP(A63,[1]ROOT!$A$1:$C$1048576,3,0)</f>
        <v>#N/A</v>
      </c>
      <c r="G63" s="0" t="n">
        <v>1602.1344</v>
      </c>
      <c r="H63" s="0" t="n">
        <v>157.451</v>
      </c>
      <c r="I63" s="0" t="n">
        <v>494.6467</v>
      </c>
      <c r="J63" s="0" t="n">
        <v>0.96804</v>
      </c>
      <c r="K63" s="0" t="n">
        <v>0</v>
      </c>
      <c r="L63" s="0" t="n">
        <v>4.765</v>
      </c>
      <c r="M63" s="0" t="n">
        <v>13.4884</v>
      </c>
      <c r="N63" s="0" t="n">
        <v>93.607</v>
      </c>
      <c r="O63" s="0" t="n">
        <v>133.1868</v>
      </c>
      <c r="P63" s="0" t="n">
        <v>114.7795</v>
      </c>
      <c r="Q63" s="0" t="n">
        <v>186.7485</v>
      </c>
      <c r="R63" s="0" t="n">
        <v>84.9153</v>
      </c>
      <c r="S63" s="0" t="n">
        <v>63.2659</v>
      </c>
      <c r="T63" s="0" t="n">
        <v>47.9571</v>
      </c>
      <c r="U63" s="0" t="n">
        <v>55.9099</v>
      </c>
      <c r="V63" s="0" t="n">
        <v>28.7275</v>
      </c>
      <c r="W63" s="0" t="n">
        <v>41.1204</v>
      </c>
      <c r="X63" s="0" t="n">
        <v>27.0887</v>
      </c>
      <c r="Y63" s="0" t="n">
        <v>21.4762</v>
      </c>
      <c r="Z63" s="0" t="n">
        <v>21.639</v>
      </c>
      <c r="AA63" s="0" t="n">
        <v>27.1244</v>
      </c>
      <c r="AB63" s="0" t="n">
        <v>25.1947</v>
      </c>
      <c r="AC63" s="0" t="n">
        <v>15.7787</v>
      </c>
      <c r="AD63" s="0" t="n">
        <v>17.9776</v>
      </c>
      <c r="AE63" s="0" t="n">
        <v>13.9804</v>
      </c>
      <c r="AF63" s="0" t="n">
        <v>22.1091</v>
      </c>
      <c r="AG63" s="0" t="n">
        <v>8.4614</v>
      </c>
      <c r="AH63" s="0" t="n">
        <v>14.7571</v>
      </c>
      <c r="AI63" s="0" t="n">
        <v>20.9875</v>
      </c>
      <c r="AJ63" s="0" t="n">
        <v>16.4827</v>
      </c>
      <c r="AK63" s="0" t="n">
        <v>29.9036</v>
      </c>
      <c r="AL63" s="0" t="n">
        <v>21.0212</v>
      </c>
      <c r="AM63" s="0" t="n">
        <v>28.4468</v>
      </c>
      <c r="AN63" s="0" t="n">
        <v>31.8067</v>
      </c>
      <c r="AO63" s="0" t="n">
        <v>32.3131</v>
      </c>
      <c r="AP63" s="0" t="n">
        <v>23.7756</v>
      </c>
      <c r="AQ63" s="0" t="n">
        <v>38.8245</v>
      </c>
      <c r="AR63" s="0" t="n">
        <v>34.7723</v>
      </c>
      <c r="AS63" s="0" t="n">
        <v>24.8002</v>
      </c>
      <c r="AT63" s="0" t="n">
        <v>41.6481</v>
      </c>
      <c r="AU63" s="0" t="n">
        <v>30.7286</v>
      </c>
      <c r="AV63" s="0" t="n">
        <v>21.7308</v>
      </c>
      <c r="AW63" s="0" t="n">
        <v>23.9596</v>
      </c>
      <c r="AX63" s="0" t="n">
        <v>19.3118</v>
      </c>
      <c r="AY63" s="0" t="n">
        <v>12.8338</v>
      </c>
      <c r="AZ63" s="0" t="n">
        <v>12.8521</v>
      </c>
      <c r="BA63" s="0" t="n">
        <v>6.5792</v>
      </c>
      <c r="BB63" s="0" t="n">
        <v>12.9702</v>
      </c>
      <c r="BC63" s="0" t="n">
        <v>6.8834</v>
      </c>
      <c r="BD63" s="0" t="n">
        <v>5.8301</v>
      </c>
      <c r="BE63" s="0" t="n">
        <v>3.9827</v>
      </c>
      <c r="BF63" s="0" t="n">
        <v>1.5559</v>
      </c>
      <c r="BG63" s="0" t="n">
        <v>3.7749</v>
      </c>
      <c r="BH63" s="0" t="n">
        <v>2.7332</v>
      </c>
      <c r="BI63" s="0" t="n">
        <v>1.4904</v>
      </c>
      <c r="BJ63" s="0" t="n">
        <v>0.8519</v>
      </c>
      <c r="BK63" s="0" t="n">
        <v>0.9481</v>
      </c>
      <c r="BL63" s="0" t="n">
        <v>0.8064</v>
      </c>
      <c r="BM63" s="0" t="n">
        <v>0.3445</v>
      </c>
      <c r="BN63" s="0" t="n">
        <v>0.3626</v>
      </c>
      <c r="BO63" s="0" t="n">
        <v>0.4758</v>
      </c>
      <c r="BP63" s="0" t="n">
        <v>0.3588</v>
      </c>
      <c r="BQ63" s="0" t="n">
        <v>0.2374</v>
      </c>
      <c r="BR63" s="0" t="n">
        <v>0.8396</v>
      </c>
      <c r="BS63" s="0" t="n">
        <v>0.1438</v>
      </c>
      <c r="BT63" s="0" t="n">
        <v>0.0455</v>
      </c>
      <c r="BU63" s="0" t="n">
        <v>0.0391</v>
      </c>
      <c r="BV63" s="0" t="n">
        <v>0.0666</v>
      </c>
      <c r="BW63" s="0" t="n">
        <v>0.0518</v>
      </c>
      <c r="BX63" s="0" t="n">
        <v>0.0195</v>
      </c>
      <c r="BY63" s="0" t="n">
        <v>0.0328</v>
      </c>
      <c r="BZ63" s="0" t="n">
        <v>0.0655</v>
      </c>
      <c r="CA63" s="0" t="n">
        <v>0.0227</v>
      </c>
      <c r="CB63" s="0" t="n">
        <v>0.0338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0.027</v>
      </c>
      <c r="CK63" s="0" t="n">
        <v>0</v>
      </c>
      <c r="CL63" s="0" t="n">
        <v>0</v>
      </c>
      <c r="CM63" s="0" t="n">
        <v>0</v>
      </c>
      <c r="CN63" s="0" t="n">
        <v>0</v>
      </c>
      <c r="CO63" s="0" t="n">
        <v>0.1317</v>
      </c>
      <c r="CP63" s="0" t="n">
        <v>0.5413</v>
      </c>
      <c r="CQ63" s="0" t="n">
        <v>5.3026</v>
      </c>
      <c r="CR63" s="0" t="n">
        <v>9.4727</v>
      </c>
      <c r="CS63" s="0" t="n">
        <v>9.5922</v>
      </c>
      <c r="CT63" s="0" t="n">
        <v>18.7884</v>
      </c>
      <c r="CU63" s="0" t="n">
        <v>10.0915</v>
      </c>
      <c r="CV63" s="0" t="n">
        <v>8.449</v>
      </c>
      <c r="CW63" s="0" t="n">
        <v>7.0263</v>
      </c>
      <c r="CX63" s="0" t="n">
        <v>9.2692</v>
      </c>
      <c r="CY63" s="0" t="n">
        <v>5.2195</v>
      </c>
      <c r="CZ63" s="0" t="n">
        <v>8.06</v>
      </c>
      <c r="DA63" s="0" t="n">
        <v>5.844</v>
      </c>
      <c r="DB63" s="0" t="n">
        <v>4.8627</v>
      </c>
      <c r="DC63" s="0" t="n">
        <v>5.2372</v>
      </c>
      <c r="DD63" s="0" t="n">
        <v>7.0039</v>
      </c>
      <c r="DE63" s="0" t="n">
        <v>6.9496</v>
      </c>
      <c r="DF63" s="0" t="n">
        <v>4.5969</v>
      </c>
      <c r="DG63" s="0" t="n">
        <v>5.5039</v>
      </c>
      <c r="DH63" s="0" t="n">
        <v>4.4815</v>
      </c>
      <c r="DI63" s="0" t="n">
        <v>7.4956</v>
      </c>
      <c r="DJ63" s="0" t="n">
        <v>3.0177</v>
      </c>
      <c r="DK63" s="0" t="n">
        <v>5.4185</v>
      </c>
      <c r="DL63" s="0" t="n">
        <v>8.1032</v>
      </c>
      <c r="DM63" s="0" t="n">
        <v>6.6053</v>
      </c>
      <c r="DN63" s="0" t="n">
        <v>12.4672</v>
      </c>
      <c r="DO63" s="0" t="n">
        <v>9.1202</v>
      </c>
      <c r="DP63" s="0" t="n">
        <v>12.701</v>
      </c>
      <c r="DQ63" s="0" t="n">
        <v>14.7281</v>
      </c>
      <c r="DR63" s="0" t="n">
        <v>15.5617</v>
      </c>
      <c r="DS63" s="0" t="n">
        <v>11.718</v>
      </c>
      <c r="DT63" s="0" t="n">
        <v>19.7639</v>
      </c>
      <c r="DU63" s="0" t="n">
        <v>18.3311</v>
      </c>
      <c r="DV63" s="0" t="n">
        <v>13.401</v>
      </c>
      <c r="DW63" s="0" t="n">
        <v>23.1294</v>
      </c>
      <c r="DX63" s="0" t="n">
        <v>17.6405</v>
      </c>
      <c r="DY63" s="0" t="n">
        <v>12.8438</v>
      </c>
      <c r="DZ63" s="0" t="n">
        <v>14.4321</v>
      </c>
      <c r="EA63" s="0" t="n">
        <v>11.9907</v>
      </c>
      <c r="EB63" s="0" t="n">
        <v>8.1694</v>
      </c>
      <c r="EC63" s="0" t="n">
        <v>8.3904</v>
      </c>
      <c r="ED63" s="0" t="n">
        <v>4.3747</v>
      </c>
      <c r="EE63" s="0" t="n">
        <v>8.8293</v>
      </c>
      <c r="EF63" s="0" t="n">
        <v>4.8249</v>
      </c>
      <c r="EG63" s="0" t="n">
        <v>4.1737</v>
      </c>
      <c r="EH63" s="0" t="n">
        <v>2.9043</v>
      </c>
      <c r="EI63" s="0" t="n">
        <v>1.1582</v>
      </c>
      <c r="EJ63" s="0" t="n">
        <v>2.8658</v>
      </c>
      <c r="EK63" s="0" t="n">
        <v>2.1314</v>
      </c>
      <c r="EL63" s="0" t="n">
        <v>1.1792</v>
      </c>
      <c r="EM63" s="0" t="n">
        <v>0.6876</v>
      </c>
      <c r="EN63" s="0" t="n">
        <v>0.782</v>
      </c>
      <c r="EO63" s="0" t="n">
        <v>0.6792</v>
      </c>
      <c r="EP63" s="0" t="n">
        <v>0.2932</v>
      </c>
      <c r="EQ63" s="0" t="n">
        <v>0.3169</v>
      </c>
      <c r="ER63" s="0" t="n">
        <v>0.4204</v>
      </c>
      <c r="ES63" s="0" t="n">
        <v>0.3231</v>
      </c>
      <c r="ET63" s="0" t="n">
        <v>0.2179</v>
      </c>
      <c r="EU63" s="0" t="n">
        <v>0.7859</v>
      </c>
      <c r="EV63" s="0" t="n">
        <v>0.1366</v>
      </c>
      <c r="EW63" s="0" t="n">
        <v>0.0441</v>
      </c>
      <c r="EX63" s="0" t="n">
        <v>0.0382</v>
      </c>
      <c r="EY63" s="0" t="n">
        <v>0.0664</v>
      </c>
      <c r="EZ63" s="0" t="n">
        <v>0.0526</v>
      </c>
      <c r="FA63" s="0" t="n">
        <v>0.0202</v>
      </c>
      <c r="FB63" s="0" t="n">
        <v>0.0342</v>
      </c>
      <c r="FC63" s="0" t="n">
        <v>0.0698</v>
      </c>
      <c r="FD63" s="0" t="n">
        <v>0.0243</v>
      </c>
      <c r="FE63" s="0" t="n">
        <v>0.0369</v>
      </c>
      <c r="FF63" s="0" t="n">
        <v>0</v>
      </c>
      <c r="FG63" s="0" t="n">
        <v>0</v>
      </c>
      <c r="FH63" s="0" t="n">
        <v>0</v>
      </c>
      <c r="FI63" s="0" t="n">
        <v>0</v>
      </c>
      <c r="FJ63" s="0" t="n">
        <v>0</v>
      </c>
      <c r="FK63" s="0" t="n">
        <v>0</v>
      </c>
      <c r="FL63" s="0" t="n">
        <v>0</v>
      </c>
      <c r="FM63" s="0" t="n">
        <v>0.0327</v>
      </c>
      <c r="FN63" s="0" t="n">
        <v>0</v>
      </c>
      <c r="FO63" s="0" t="n">
        <v>0</v>
      </c>
      <c r="FP63" s="0" t="n">
        <v>0</v>
      </c>
    </row>
    <row r="64" customFormat="false" ht="13.8" hidden="false" customHeight="false" outlineLevel="0" collapsed="false">
      <c r="A64" s="2" t="s">
        <v>294</v>
      </c>
      <c r="B64" s="0" t="s">
        <v>173</v>
      </c>
      <c r="C64" s="0" t="n">
        <v>3</v>
      </c>
      <c r="D64" s="0" t="s">
        <v>295</v>
      </c>
      <c r="G64" s="0" t="n">
        <v>1864.3482</v>
      </c>
      <c r="H64" s="0" t="n">
        <v>108.7562</v>
      </c>
      <c r="I64" s="0" t="n">
        <v>341.6677</v>
      </c>
      <c r="J64" s="0" t="n">
        <v>0.584233333333333</v>
      </c>
      <c r="K64" s="0" t="n">
        <v>0.0171</v>
      </c>
      <c r="L64" s="0" t="n">
        <v>244.7275</v>
      </c>
      <c r="M64" s="0" t="n">
        <v>179.8229</v>
      </c>
      <c r="N64" s="0" t="n">
        <v>229.2678</v>
      </c>
      <c r="O64" s="0" t="n">
        <v>197.6311</v>
      </c>
      <c r="P64" s="0" t="n">
        <v>146.8631</v>
      </c>
      <c r="Q64" s="0" t="n">
        <v>91.9418</v>
      </c>
      <c r="R64" s="0" t="n">
        <v>93.7175</v>
      </c>
      <c r="S64" s="0" t="n">
        <v>47.198</v>
      </c>
      <c r="T64" s="0" t="n">
        <v>36.5449</v>
      </c>
      <c r="U64" s="0" t="n">
        <v>34.1051</v>
      </c>
      <c r="V64" s="0" t="n">
        <v>26.9676</v>
      </c>
      <c r="W64" s="0" t="n">
        <v>22.4521</v>
      </c>
      <c r="X64" s="0" t="n">
        <v>28.4045</v>
      </c>
      <c r="Y64" s="0" t="n">
        <v>25.0408</v>
      </c>
      <c r="Z64" s="0" t="n">
        <v>22.5483</v>
      </c>
      <c r="AA64" s="0" t="n">
        <v>18.2851</v>
      </c>
      <c r="AB64" s="0" t="n">
        <v>18.6367</v>
      </c>
      <c r="AC64" s="0" t="n">
        <v>18.1865</v>
      </c>
      <c r="AD64" s="0" t="n">
        <v>14.4985</v>
      </c>
      <c r="AE64" s="0" t="n">
        <v>15.3595</v>
      </c>
      <c r="AF64" s="0" t="n">
        <v>17.2712</v>
      </c>
      <c r="AG64" s="0" t="n">
        <v>17.7652</v>
      </c>
      <c r="AH64" s="0" t="n">
        <v>18.3222</v>
      </c>
      <c r="AI64" s="0" t="n">
        <v>14.2815</v>
      </c>
      <c r="AJ64" s="0" t="n">
        <v>16.1061</v>
      </c>
      <c r="AK64" s="0" t="n">
        <v>13.8107</v>
      </c>
      <c r="AL64" s="0" t="n">
        <v>11.1259</v>
      </c>
      <c r="AM64" s="0" t="n">
        <v>12.5252</v>
      </c>
      <c r="AN64" s="0" t="n">
        <v>18.5745</v>
      </c>
      <c r="AO64" s="0" t="n">
        <v>20.1528</v>
      </c>
      <c r="AP64" s="0" t="n">
        <v>21.14</v>
      </c>
      <c r="AQ64" s="0" t="n">
        <v>18.4538</v>
      </c>
      <c r="AR64" s="0" t="n">
        <v>21.7446</v>
      </c>
      <c r="AS64" s="0" t="n">
        <v>16.2557</v>
      </c>
      <c r="AT64" s="0" t="n">
        <v>18.3193</v>
      </c>
      <c r="AU64" s="0" t="n">
        <v>13.8019</v>
      </c>
      <c r="AV64" s="0" t="n">
        <v>11.1837</v>
      </c>
      <c r="AW64" s="0" t="n">
        <v>9.6259</v>
      </c>
      <c r="AX64" s="0" t="n">
        <v>11.3794</v>
      </c>
      <c r="AY64" s="0" t="n">
        <v>9.0227</v>
      </c>
      <c r="AZ64" s="0" t="n">
        <v>5.5577</v>
      </c>
      <c r="BA64" s="0" t="n">
        <v>4.4021</v>
      </c>
      <c r="BB64" s="0" t="n">
        <v>2.4369</v>
      </c>
      <c r="BC64" s="0" t="n">
        <v>2.7404</v>
      </c>
      <c r="BD64" s="0" t="n">
        <v>3.9622</v>
      </c>
      <c r="BE64" s="0" t="n">
        <v>4.3409</v>
      </c>
      <c r="BF64" s="0" t="n">
        <v>3.4143</v>
      </c>
      <c r="BG64" s="0" t="n">
        <v>2.912</v>
      </c>
      <c r="BH64" s="0" t="n">
        <v>0.88</v>
      </c>
      <c r="BI64" s="0" t="n">
        <v>1.0153</v>
      </c>
      <c r="BJ64" s="0" t="n">
        <v>1.5877</v>
      </c>
      <c r="BK64" s="0" t="n">
        <v>0.6234</v>
      </c>
      <c r="BL64" s="0" t="n">
        <v>0.3218</v>
      </c>
      <c r="BM64" s="0" t="n">
        <v>0.6046</v>
      </c>
      <c r="BN64" s="0" t="n">
        <v>1.4358</v>
      </c>
      <c r="BO64" s="0" t="n">
        <v>0.7335</v>
      </c>
      <c r="BP64" s="0" t="n">
        <v>0.2826</v>
      </c>
      <c r="BQ64" s="0" t="n">
        <v>0.5788</v>
      </c>
      <c r="BR64" s="0" t="n">
        <v>0.2308</v>
      </c>
      <c r="BS64" s="0" t="n">
        <v>0.0328</v>
      </c>
      <c r="BT64" s="0" t="n">
        <v>0.1294</v>
      </c>
      <c r="BU64" s="0" t="n">
        <v>0.2631</v>
      </c>
      <c r="BV64" s="0" t="n">
        <v>0.1427</v>
      </c>
      <c r="BW64" s="0" t="n">
        <v>0</v>
      </c>
      <c r="BX64" s="0" t="n">
        <v>0</v>
      </c>
      <c r="BY64" s="0" t="n">
        <v>0</v>
      </c>
      <c r="BZ64" s="0" t="n">
        <v>0.0945</v>
      </c>
      <c r="CA64" s="0" t="n">
        <v>0.3015</v>
      </c>
      <c r="CB64" s="0" t="n">
        <v>0.5603</v>
      </c>
      <c r="CC64" s="0" t="n">
        <v>0.0465</v>
      </c>
      <c r="CD64" s="0" t="n">
        <v>0.0201</v>
      </c>
      <c r="CE64" s="0" t="n">
        <v>0.0206</v>
      </c>
      <c r="CF64" s="0" t="n">
        <v>0</v>
      </c>
      <c r="CG64" s="0" t="n">
        <v>0.1896</v>
      </c>
      <c r="CH64" s="0" t="n">
        <v>0</v>
      </c>
      <c r="CI64" s="0" t="n">
        <v>0.2651</v>
      </c>
      <c r="CJ64" s="0" t="n">
        <v>0</v>
      </c>
      <c r="CK64" s="0" t="n">
        <v>0</v>
      </c>
      <c r="CL64" s="0" t="n">
        <v>0</v>
      </c>
      <c r="CM64" s="0" t="n">
        <v>0.3642</v>
      </c>
      <c r="CN64" s="0" t="n">
        <v>0.0002</v>
      </c>
      <c r="CO64" s="0" t="n">
        <v>6.2872</v>
      </c>
      <c r="CP64" s="0" t="n">
        <v>6.9975</v>
      </c>
      <c r="CQ64" s="0" t="n">
        <v>12.5815</v>
      </c>
      <c r="CR64" s="0" t="n">
        <v>13.7773</v>
      </c>
      <c r="CS64" s="0" t="n">
        <v>12.5839</v>
      </c>
      <c r="CT64" s="0" t="n">
        <v>9.3657</v>
      </c>
      <c r="CU64" s="0" t="n">
        <v>11.0285</v>
      </c>
      <c r="CV64" s="0" t="n">
        <v>6.3006</v>
      </c>
      <c r="CW64" s="0" t="n">
        <v>5.4419</v>
      </c>
      <c r="CX64" s="0" t="n">
        <v>5.6055</v>
      </c>
      <c r="CY64" s="0" t="n">
        <v>4.8595</v>
      </c>
      <c r="CZ64" s="0" t="n">
        <v>4.4044</v>
      </c>
      <c r="DA64" s="0" t="n">
        <v>6.0197</v>
      </c>
      <c r="DB64" s="0" t="n">
        <v>5.6889</v>
      </c>
      <c r="DC64" s="0" t="n">
        <v>5.4971</v>
      </c>
      <c r="DD64" s="0" t="n">
        <v>4.7402</v>
      </c>
      <c r="DE64" s="0" t="n">
        <v>5.1089</v>
      </c>
      <c r="DF64" s="0" t="n">
        <v>5.2837</v>
      </c>
      <c r="DG64" s="0" t="n">
        <v>4.4383</v>
      </c>
      <c r="DH64" s="0" t="n">
        <v>4.9405</v>
      </c>
      <c r="DI64" s="0" t="n">
        <v>5.8475</v>
      </c>
      <c r="DJ64" s="0" t="n">
        <v>6.2791</v>
      </c>
      <c r="DK64" s="0" t="n">
        <v>6.7661</v>
      </c>
      <c r="DL64" s="0" t="n">
        <v>5.4991</v>
      </c>
      <c r="DM64" s="0" t="n">
        <v>6.441</v>
      </c>
      <c r="DN64" s="0" t="n">
        <v>5.7396</v>
      </c>
      <c r="DO64" s="0" t="n">
        <v>4.8086</v>
      </c>
      <c r="DP64" s="0" t="n">
        <v>5.6043</v>
      </c>
      <c r="DQ64" s="0" t="n">
        <v>8.6162</v>
      </c>
      <c r="DR64" s="0" t="n">
        <v>9.6436</v>
      </c>
      <c r="DS64" s="0" t="n">
        <v>10.4654</v>
      </c>
      <c r="DT64" s="0" t="n">
        <v>9.4073</v>
      </c>
      <c r="DU64" s="0" t="n">
        <v>11.448</v>
      </c>
      <c r="DV64" s="0" t="n">
        <v>8.8018</v>
      </c>
      <c r="DW64" s="0" t="n">
        <v>10.2272</v>
      </c>
      <c r="DX64" s="0" t="n">
        <v>7.9101</v>
      </c>
      <c r="DY64" s="0" t="n">
        <v>6.5927</v>
      </c>
      <c r="DZ64" s="0" t="n">
        <v>5.828</v>
      </c>
      <c r="EA64" s="0" t="n">
        <v>7.0601</v>
      </c>
      <c r="EB64" s="0" t="n">
        <v>5.7485</v>
      </c>
      <c r="EC64" s="0" t="n">
        <v>3.611</v>
      </c>
      <c r="ED64" s="0" t="n">
        <v>2.9376</v>
      </c>
      <c r="EE64" s="0" t="n">
        <v>1.6658</v>
      </c>
      <c r="EF64" s="0" t="n">
        <v>1.9193</v>
      </c>
      <c r="EG64" s="0" t="n">
        <v>2.8263</v>
      </c>
      <c r="EH64" s="0" t="n">
        <v>3.1696</v>
      </c>
      <c r="EI64" s="0" t="n">
        <v>2.5476</v>
      </c>
      <c r="EJ64" s="0" t="n">
        <v>2.2119</v>
      </c>
      <c r="EK64" s="0" t="n">
        <v>0.6843</v>
      </c>
      <c r="EL64" s="0" t="n">
        <v>0.8035</v>
      </c>
      <c r="EM64" s="0" t="n">
        <v>1.2837</v>
      </c>
      <c r="EN64" s="0" t="n">
        <v>0.5138</v>
      </c>
      <c r="EO64" s="0" t="n">
        <v>0.3276</v>
      </c>
      <c r="EP64" s="0" t="n">
        <v>0.5385</v>
      </c>
      <c r="EQ64" s="0" t="n">
        <v>1.2496</v>
      </c>
      <c r="ER64" s="0" t="n">
        <v>0.6531</v>
      </c>
      <c r="ES64" s="0" t="n">
        <v>0.2549</v>
      </c>
      <c r="ET64" s="0" t="n">
        <v>0.5295</v>
      </c>
      <c r="EU64" s="0" t="n">
        <v>0.2147</v>
      </c>
      <c r="EV64" s="0" t="n">
        <v>0.031</v>
      </c>
      <c r="EW64" s="0" t="n">
        <v>0.1245</v>
      </c>
      <c r="EX64" s="0" t="n">
        <v>0.2583</v>
      </c>
      <c r="EY64" s="0" t="n">
        <v>0.142</v>
      </c>
      <c r="EZ64" s="0" t="n">
        <v>0</v>
      </c>
      <c r="FA64" s="0" t="n">
        <v>0</v>
      </c>
      <c r="FB64" s="0" t="n">
        <v>0</v>
      </c>
      <c r="FC64" s="0" t="n">
        <v>0.0997</v>
      </c>
      <c r="FD64" s="0" t="n">
        <v>0.3247</v>
      </c>
      <c r="FE64" s="0" t="n">
        <v>0.6144</v>
      </c>
      <c r="FF64" s="0" t="n">
        <v>0.0516</v>
      </c>
      <c r="FG64" s="0" t="n">
        <v>0.0226</v>
      </c>
      <c r="FH64" s="0" t="n">
        <v>0.0234</v>
      </c>
      <c r="FI64" s="0" t="n">
        <v>0</v>
      </c>
      <c r="FJ64" s="0" t="n">
        <v>0.2211</v>
      </c>
      <c r="FK64" s="0" t="n">
        <v>0</v>
      </c>
      <c r="FL64" s="0" t="n">
        <v>0.3184</v>
      </c>
      <c r="FM64" s="0" t="n">
        <v>0</v>
      </c>
      <c r="FN64" s="0" t="n">
        <v>0</v>
      </c>
      <c r="FO64" s="0" t="n">
        <v>0</v>
      </c>
      <c r="FP64" s="0" t="n">
        <v>0.4724</v>
      </c>
    </row>
    <row r="65" customFormat="false" ht="13.8" hidden="false" customHeight="false" outlineLevel="0" collapsed="false">
      <c r="A65" s="2" t="s">
        <v>296</v>
      </c>
      <c r="B65" s="0" t="s">
        <v>173</v>
      </c>
      <c r="C65" s="0" t="n">
        <v>138</v>
      </c>
      <c r="D65" s="0" t="s">
        <v>297</v>
      </c>
      <c r="G65" s="0" t="n">
        <v>1329.5182</v>
      </c>
      <c r="H65" s="0" t="n">
        <v>108.2098</v>
      </c>
      <c r="I65" s="0" t="n">
        <v>339.9512</v>
      </c>
      <c r="J65" s="0" t="n">
        <v>0.8139</v>
      </c>
      <c r="K65" s="0" t="n">
        <v>0</v>
      </c>
      <c r="L65" s="0" t="n">
        <v>63.3178</v>
      </c>
      <c r="M65" s="0" t="n">
        <v>62.657</v>
      </c>
      <c r="N65" s="0" t="n">
        <v>105.9983</v>
      </c>
      <c r="O65" s="0" t="n">
        <v>114.5968</v>
      </c>
      <c r="P65" s="0" t="n">
        <v>96.4022</v>
      </c>
      <c r="Q65" s="0" t="n">
        <v>71.9485</v>
      </c>
      <c r="R65" s="0" t="n">
        <v>78.572</v>
      </c>
      <c r="S65" s="0" t="n">
        <v>52.3015</v>
      </c>
      <c r="T65" s="0" t="n">
        <v>49.8629</v>
      </c>
      <c r="U65" s="0" t="n">
        <v>46.7435</v>
      </c>
      <c r="V65" s="0" t="n">
        <v>39.6604</v>
      </c>
      <c r="W65" s="0" t="n">
        <v>34.901</v>
      </c>
      <c r="X65" s="0" t="n">
        <v>34.1413</v>
      </c>
      <c r="Y65" s="0" t="n">
        <v>26.0433</v>
      </c>
      <c r="Z65" s="0" t="n">
        <v>22.2801</v>
      </c>
      <c r="AA65" s="0" t="n">
        <v>23.0225</v>
      </c>
      <c r="AB65" s="0" t="n">
        <v>19.5314</v>
      </c>
      <c r="AC65" s="0" t="n">
        <v>17.0905</v>
      </c>
      <c r="AD65" s="0" t="n">
        <v>18.6133</v>
      </c>
      <c r="AE65" s="0" t="n">
        <v>15.2031</v>
      </c>
      <c r="AF65" s="0" t="n">
        <v>13.6942</v>
      </c>
      <c r="AG65" s="0" t="n">
        <v>11.5247</v>
      </c>
      <c r="AH65" s="0" t="n">
        <v>13.2325</v>
      </c>
      <c r="AI65" s="0" t="n">
        <v>10.733</v>
      </c>
      <c r="AJ65" s="0" t="n">
        <v>8.7804</v>
      </c>
      <c r="AK65" s="0" t="n">
        <v>12.5592</v>
      </c>
      <c r="AL65" s="0" t="n">
        <v>13.4947</v>
      </c>
      <c r="AM65" s="0" t="n">
        <v>13.1353</v>
      </c>
      <c r="AN65" s="0" t="n">
        <v>13.8455</v>
      </c>
      <c r="AO65" s="0" t="n">
        <v>15.3386</v>
      </c>
      <c r="AP65" s="0" t="n">
        <v>14.9581</v>
      </c>
      <c r="AQ65" s="0" t="n">
        <v>16.3937</v>
      </c>
      <c r="AR65" s="0" t="n">
        <v>15.1642</v>
      </c>
      <c r="AS65" s="0" t="n">
        <v>13.8251</v>
      </c>
      <c r="AT65" s="0" t="n">
        <v>13.1582</v>
      </c>
      <c r="AU65" s="0" t="n">
        <v>10.7889</v>
      </c>
      <c r="AV65" s="0" t="n">
        <v>11.8108</v>
      </c>
      <c r="AW65" s="0" t="n">
        <v>9.7817</v>
      </c>
      <c r="AX65" s="0" t="n">
        <v>8.0871</v>
      </c>
      <c r="AY65" s="0" t="n">
        <v>9.621</v>
      </c>
      <c r="AZ65" s="0" t="n">
        <v>8.0839</v>
      </c>
      <c r="BA65" s="0" t="n">
        <v>8.3472</v>
      </c>
      <c r="BB65" s="0" t="n">
        <v>5.1626</v>
      </c>
      <c r="BC65" s="0" t="n">
        <v>4.8773</v>
      </c>
      <c r="BD65" s="0" t="n">
        <v>5.0757</v>
      </c>
      <c r="BE65" s="0" t="n">
        <v>4.8933</v>
      </c>
      <c r="BF65" s="0" t="n">
        <v>4.0925</v>
      </c>
      <c r="BG65" s="0" t="n">
        <v>4.0956</v>
      </c>
      <c r="BH65" s="0" t="n">
        <v>3.0976</v>
      </c>
      <c r="BI65" s="0" t="n">
        <v>3.0252</v>
      </c>
      <c r="BJ65" s="0" t="n">
        <v>3.4898</v>
      </c>
      <c r="BK65" s="0" t="n">
        <v>2.1199</v>
      </c>
      <c r="BL65" s="0" t="n">
        <v>3.8984</v>
      </c>
      <c r="BM65" s="0" t="n">
        <v>2.8313</v>
      </c>
      <c r="BN65" s="0" t="n">
        <v>3.1213</v>
      </c>
      <c r="BO65" s="0" t="n">
        <v>1.7814</v>
      </c>
      <c r="BP65" s="0" t="n">
        <v>1.1715</v>
      </c>
      <c r="BQ65" s="0" t="n">
        <v>2.2006</v>
      </c>
      <c r="BR65" s="0" t="n">
        <v>0.791</v>
      </c>
      <c r="BS65" s="0" t="n">
        <v>0.9252</v>
      </c>
      <c r="BT65" s="0" t="n">
        <v>0.7906</v>
      </c>
      <c r="BU65" s="0" t="n">
        <v>0.3486</v>
      </c>
      <c r="BV65" s="0" t="n">
        <v>0.4441</v>
      </c>
      <c r="BW65" s="0" t="n">
        <v>0.9229</v>
      </c>
      <c r="BX65" s="0" t="n">
        <v>0.4471</v>
      </c>
      <c r="BY65" s="0" t="n">
        <v>0.5794</v>
      </c>
      <c r="BZ65" s="0" t="n">
        <v>0.4743</v>
      </c>
      <c r="CA65" s="0" t="n">
        <v>0.6543</v>
      </c>
      <c r="CB65" s="0" t="n">
        <v>0.6183</v>
      </c>
      <c r="CC65" s="0" t="n">
        <v>0.1052</v>
      </c>
      <c r="CD65" s="0" t="n">
        <v>0.5954</v>
      </c>
      <c r="CE65" s="0" t="n">
        <v>0.1279</v>
      </c>
      <c r="CF65" s="0" t="n">
        <v>0.0714</v>
      </c>
      <c r="CG65" s="0" t="n">
        <v>0.2499</v>
      </c>
      <c r="CH65" s="0" t="n">
        <v>0.1496</v>
      </c>
      <c r="CI65" s="0" t="n">
        <v>0.1866</v>
      </c>
      <c r="CJ65" s="0" t="n">
        <v>0.1898</v>
      </c>
      <c r="CK65" s="0" t="n">
        <v>0.0952</v>
      </c>
      <c r="CL65" s="0" t="n">
        <v>0.0354</v>
      </c>
      <c r="CM65" s="0" t="n">
        <v>5.0251</v>
      </c>
      <c r="CN65" s="0" t="n">
        <v>0</v>
      </c>
      <c r="CO65" s="0" t="n">
        <v>1.6659</v>
      </c>
      <c r="CP65" s="0" t="n">
        <v>2.432</v>
      </c>
      <c r="CQ65" s="0" t="n">
        <v>5.8643</v>
      </c>
      <c r="CR65" s="0" t="n">
        <v>8.0178</v>
      </c>
      <c r="CS65" s="0" t="n">
        <v>8.2895</v>
      </c>
      <c r="CT65" s="0" t="n">
        <v>7.3464</v>
      </c>
      <c r="CU65" s="0" t="n">
        <v>9.2714</v>
      </c>
      <c r="CV65" s="0" t="n">
        <v>6.9584</v>
      </c>
      <c r="CW65" s="0" t="n">
        <v>7.4267</v>
      </c>
      <c r="CX65" s="0" t="n">
        <v>7.6896</v>
      </c>
      <c r="CY65" s="0" t="n">
        <v>7.1668</v>
      </c>
      <c r="CZ65" s="0" t="n">
        <v>6.8576</v>
      </c>
      <c r="DA65" s="0" t="n">
        <v>7.2375</v>
      </c>
      <c r="DB65" s="0" t="n">
        <v>5.9426</v>
      </c>
      <c r="DC65" s="0" t="n">
        <v>5.4294</v>
      </c>
      <c r="DD65" s="0" t="n">
        <v>5.9807</v>
      </c>
      <c r="DE65" s="0" t="n">
        <v>5.3613</v>
      </c>
      <c r="DF65" s="0" t="n">
        <v>4.9617</v>
      </c>
      <c r="DG65" s="0" t="n">
        <v>5.684</v>
      </c>
      <c r="DH65" s="0" t="n">
        <v>4.9028</v>
      </c>
      <c r="DI65" s="0" t="n">
        <v>4.6292</v>
      </c>
      <c r="DJ65" s="0" t="n">
        <v>4.0816</v>
      </c>
      <c r="DK65" s="0" t="n">
        <v>4.8836</v>
      </c>
      <c r="DL65" s="0" t="n">
        <v>4.1303</v>
      </c>
      <c r="DM65" s="0" t="n">
        <v>3.5164</v>
      </c>
      <c r="DN65" s="0" t="n">
        <v>5.2219</v>
      </c>
      <c r="DO65" s="0" t="n">
        <v>5.8441</v>
      </c>
      <c r="DP65" s="0" t="n">
        <v>5.8683</v>
      </c>
      <c r="DQ65" s="0" t="n">
        <v>6.4085</v>
      </c>
      <c r="DR65" s="0" t="n">
        <v>7.3472</v>
      </c>
      <c r="DS65" s="0" t="n">
        <v>7.4109</v>
      </c>
      <c r="DT65" s="0" t="n">
        <v>8.373</v>
      </c>
      <c r="DU65" s="0" t="n">
        <v>7.9802</v>
      </c>
      <c r="DV65" s="0" t="n">
        <v>7.4912</v>
      </c>
      <c r="DW65" s="0" t="n">
        <v>7.3343</v>
      </c>
      <c r="DX65" s="0" t="n">
        <v>6.1943</v>
      </c>
      <c r="DY65" s="0" t="n">
        <v>6.9592</v>
      </c>
      <c r="DZ65" s="0" t="n">
        <v>5.9091</v>
      </c>
      <c r="EA65" s="0" t="n">
        <v>5.0165</v>
      </c>
      <c r="EB65" s="0" t="n">
        <v>6.121</v>
      </c>
      <c r="EC65" s="0" t="n">
        <v>5.2693</v>
      </c>
      <c r="ED65" s="0" t="n">
        <v>5.5672</v>
      </c>
      <c r="EE65" s="0" t="n">
        <v>3.5285</v>
      </c>
      <c r="EF65" s="0" t="n">
        <v>3.414</v>
      </c>
      <c r="EG65" s="0" t="n">
        <v>3.6316</v>
      </c>
      <c r="EH65" s="0" t="n">
        <v>3.5715</v>
      </c>
      <c r="EI65" s="0" t="n">
        <v>3.0525</v>
      </c>
      <c r="EJ65" s="0" t="n">
        <v>3.1143</v>
      </c>
      <c r="EK65" s="0" t="n">
        <v>2.4103</v>
      </c>
      <c r="EL65" s="0" t="n">
        <v>2.3979</v>
      </c>
      <c r="EM65" s="0" t="n">
        <v>2.8159</v>
      </c>
      <c r="EN65" s="0" t="n">
        <v>1.7465</v>
      </c>
      <c r="EO65" s="0" t="n">
        <v>3.2717</v>
      </c>
      <c r="EP65" s="0" t="n">
        <v>2.4245</v>
      </c>
      <c r="EQ65" s="0" t="n">
        <v>2.7222</v>
      </c>
      <c r="ER65" s="0" t="n">
        <v>1.583</v>
      </c>
      <c r="ES65" s="0" t="n">
        <v>1.0579</v>
      </c>
      <c r="ET65" s="0" t="n">
        <v>2.0231</v>
      </c>
      <c r="EU65" s="0" t="n">
        <v>0.7422</v>
      </c>
      <c r="EV65" s="0" t="n">
        <v>0.8805</v>
      </c>
      <c r="EW65" s="0" t="n">
        <v>0.7643</v>
      </c>
      <c r="EX65" s="0" t="n">
        <v>0.342</v>
      </c>
      <c r="EY65" s="0" t="n">
        <v>0.4429</v>
      </c>
      <c r="EZ65" s="0" t="n">
        <v>0.9321</v>
      </c>
      <c r="FA65" s="0" t="n">
        <v>0.4603</v>
      </c>
      <c r="FB65" s="0" t="n">
        <v>0.604</v>
      </c>
      <c r="FC65" s="0" t="n">
        <v>0.5011</v>
      </c>
      <c r="FD65" s="0" t="n">
        <v>0.7069</v>
      </c>
      <c r="FE65" s="0" t="n">
        <v>0.6757</v>
      </c>
      <c r="FF65" s="0" t="n">
        <v>0.1165</v>
      </c>
      <c r="FG65" s="0" t="n">
        <v>0.6673</v>
      </c>
      <c r="FH65" s="0" t="n">
        <v>0.1463</v>
      </c>
      <c r="FI65" s="0" t="n">
        <v>0.0825</v>
      </c>
      <c r="FJ65" s="0" t="n">
        <v>0.294</v>
      </c>
      <c r="FK65" s="0" t="n">
        <v>0.1771</v>
      </c>
      <c r="FL65" s="0" t="n">
        <v>0.2235</v>
      </c>
      <c r="FM65" s="0" t="n">
        <v>0.2306</v>
      </c>
      <c r="FN65" s="0" t="n">
        <v>0.118</v>
      </c>
      <c r="FO65" s="0" t="n">
        <v>0.0442</v>
      </c>
      <c r="FP65" s="0" t="n">
        <v>7.0546</v>
      </c>
    </row>
    <row r="66" customFormat="false" ht="13.8" hidden="false" customHeight="false" outlineLevel="0" collapsed="false">
      <c r="A66" s="2" t="s">
        <v>298</v>
      </c>
      <c r="B66" s="0" t="s">
        <v>173</v>
      </c>
      <c r="C66" s="0" t="n">
        <v>122</v>
      </c>
      <c r="D66" s="0" t="s">
        <v>299</v>
      </c>
      <c r="E66" s="0" t="e">
        <f aca="false">VLOOKUP(A66,[1]RHIZOMES!$A$1:$B$1048576,2,0)</f>
        <v>#N/A</v>
      </c>
      <c r="F66" s="0" t="e">
        <f aca="false">VLOOKUP(A66,[1]ROOT!$A$1:$C$1048576,3,0)</f>
        <v>#N/A</v>
      </c>
      <c r="G66" s="0" t="n">
        <v>1142.8522</v>
      </c>
      <c r="H66" s="0" t="n">
        <v>97.2703</v>
      </c>
      <c r="I66" s="0" t="n">
        <v>305.5836</v>
      </c>
      <c r="J66" s="0" t="n">
        <v>0.8068</v>
      </c>
      <c r="K66" s="0" t="n">
        <v>0</v>
      </c>
      <c r="L66" s="0" t="n">
        <v>102.183</v>
      </c>
      <c r="M66" s="0" t="n">
        <v>117.8116</v>
      </c>
      <c r="N66" s="0" t="n">
        <v>78.5307</v>
      </c>
      <c r="O66" s="0" t="n">
        <v>0.2747</v>
      </c>
      <c r="P66" s="0" t="n">
        <v>91.3296</v>
      </c>
      <c r="Q66" s="0" t="n">
        <v>40.9027</v>
      </c>
      <c r="R66" s="0" t="n">
        <v>61.302</v>
      </c>
      <c r="S66" s="0" t="n">
        <v>33.6753</v>
      </c>
      <c r="T66" s="0" t="n">
        <v>5.6675</v>
      </c>
      <c r="U66" s="0" t="n">
        <v>29.63</v>
      </c>
      <c r="V66" s="0" t="n">
        <v>19.0502</v>
      </c>
      <c r="W66" s="0" t="n">
        <v>18.7258</v>
      </c>
      <c r="X66" s="0" t="n">
        <v>20.6603</v>
      </c>
      <c r="Y66" s="0" t="n">
        <v>15.7102</v>
      </c>
      <c r="Z66" s="0" t="n">
        <v>17.2905</v>
      </c>
      <c r="AA66" s="0" t="n">
        <v>9.9339</v>
      </c>
      <c r="AB66" s="0" t="n">
        <v>16.4346</v>
      </c>
      <c r="AC66" s="0" t="n">
        <v>7.1735</v>
      </c>
      <c r="AD66" s="0" t="n">
        <v>25.2152</v>
      </c>
      <c r="AE66" s="0" t="n">
        <v>13.5747</v>
      </c>
      <c r="AF66" s="0" t="n">
        <v>27.655</v>
      </c>
      <c r="AG66" s="0" t="n">
        <v>11.7441</v>
      </c>
      <c r="AH66" s="0" t="n">
        <v>21.6698</v>
      </c>
      <c r="AI66" s="0" t="n">
        <v>25.7022</v>
      </c>
      <c r="AJ66" s="0" t="n">
        <v>5.3493</v>
      </c>
      <c r="AK66" s="0" t="n">
        <v>31.9393</v>
      </c>
      <c r="AL66" s="0" t="n">
        <v>29.9182</v>
      </c>
      <c r="AM66" s="0" t="n">
        <v>16.1872</v>
      </c>
      <c r="AN66" s="0" t="n">
        <v>15.9549</v>
      </c>
      <c r="AO66" s="0" t="n">
        <v>33.1438</v>
      </c>
      <c r="AP66" s="0" t="n">
        <v>13.8332</v>
      </c>
      <c r="AQ66" s="0" t="n">
        <v>23.538</v>
      </c>
      <c r="AR66" s="0" t="n">
        <v>19.3774</v>
      </c>
      <c r="AS66" s="0" t="n">
        <v>14.9949</v>
      </c>
      <c r="AT66" s="0" t="n">
        <v>28.3517</v>
      </c>
      <c r="AU66" s="0" t="n">
        <v>24.5697</v>
      </c>
      <c r="AV66" s="0" t="n">
        <v>3.1258</v>
      </c>
      <c r="AW66" s="0" t="n">
        <v>18.4019</v>
      </c>
      <c r="AX66" s="0" t="n">
        <v>13.9237</v>
      </c>
      <c r="AY66" s="0" t="n">
        <v>5.1808</v>
      </c>
      <c r="AZ66" s="0" t="n">
        <v>7.5543</v>
      </c>
      <c r="BA66" s="0" t="n">
        <v>5.1718</v>
      </c>
      <c r="BB66" s="0" t="n">
        <v>4.1683</v>
      </c>
      <c r="BC66" s="0" t="n">
        <v>2.0886</v>
      </c>
      <c r="BD66" s="0" t="n">
        <v>1.8218</v>
      </c>
      <c r="BE66" s="0" t="n">
        <v>2.7827</v>
      </c>
      <c r="BF66" s="0" t="n">
        <v>0.6876</v>
      </c>
      <c r="BG66" s="0" t="n">
        <v>0.8682</v>
      </c>
      <c r="BH66" s="0" t="n">
        <v>0.7906</v>
      </c>
      <c r="BI66" s="0" t="n">
        <v>0.3496</v>
      </c>
      <c r="BJ66" s="0" t="n">
        <v>0.7293</v>
      </c>
      <c r="BK66" s="0" t="n">
        <v>0.5798</v>
      </c>
      <c r="BL66" s="0" t="n">
        <v>0.2861</v>
      </c>
      <c r="BM66" s="0" t="n">
        <v>0.147</v>
      </c>
      <c r="BN66" s="0" t="n">
        <v>1.0576</v>
      </c>
      <c r="BO66" s="0" t="n">
        <v>0.0338</v>
      </c>
      <c r="BP66" s="0" t="n">
        <v>1.2943</v>
      </c>
      <c r="BQ66" s="0" t="n">
        <v>0.1078</v>
      </c>
      <c r="BR66" s="0" t="n">
        <v>0.0402</v>
      </c>
      <c r="BS66" s="0" t="n">
        <v>0.1401</v>
      </c>
      <c r="BT66" s="0" t="n">
        <v>0.1359</v>
      </c>
      <c r="BU66" s="0" t="n">
        <v>0.0338</v>
      </c>
      <c r="BV66" s="0" t="n">
        <v>0.1448</v>
      </c>
      <c r="BW66" s="0" t="n">
        <v>0.157</v>
      </c>
      <c r="BX66" s="0" t="n">
        <v>0.1998</v>
      </c>
      <c r="BY66" s="0" t="n">
        <v>0.0281</v>
      </c>
      <c r="BZ66" s="0" t="n">
        <v>0.0529</v>
      </c>
      <c r="CA66" s="0" t="n">
        <v>0.0692</v>
      </c>
      <c r="CB66" s="0" t="n">
        <v>0.4814</v>
      </c>
      <c r="CC66" s="0" t="n">
        <v>0.0825</v>
      </c>
      <c r="CD66" s="0" t="n">
        <v>0.2544</v>
      </c>
      <c r="CE66" s="0" t="n">
        <v>0.0127</v>
      </c>
      <c r="CF66" s="0" t="n">
        <v>0.027</v>
      </c>
      <c r="CG66" s="0" t="n">
        <v>0.0386</v>
      </c>
      <c r="CH66" s="0" t="n">
        <v>0</v>
      </c>
      <c r="CI66" s="0" t="n">
        <v>0.0397</v>
      </c>
      <c r="CJ66" s="0" t="n">
        <v>0.0698</v>
      </c>
      <c r="CK66" s="0" t="n">
        <v>0.1132</v>
      </c>
      <c r="CL66" s="0" t="n">
        <v>0.2131</v>
      </c>
      <c r="CM66" s="0" t="n">
        <v>0.027</v>
      </c>
      <c r="CN66" s="0" t="n">
        <v>0</v>
      </c>
      <c r="CO66" s="0" t="n">
        <v>2.1763</v>
      </c>
      <c r="CP66" s="0" t="n">
        <v>4.9925</v>
      </c>
      <c r="CQ66" s="0" t="n">
        <v>4.7969</v>
      </c>
      <c r="CR66" s="0" t="n">
        <v>0.019</v>
      </c>
      <c r="CS66" s="0" t="n">
        <v>7.6391</v>
      </c>
      <c r="CT66" s="0" t="n">
        <v>4.1457</v>
      </c>
      <c r="CU66" s="0" t="n">
        <v>7.1588</v>
      </c>
      <c r="CV66" s="0" t="n">
        <v>4.6761</v>
      </c>
      <c r="CW66" s="0" t="n">
        <v>0.8195</v>
      </c>
      <c r="CX66" s="0" t="n">
        <v>4.8293</v>
      </c>
      <c r="CY66" s="0" t="n">
        <v>3.4925</v>
      </c>
      <c r="CZ66" s="0" t="n">
        <v>3.7136</v>
      </c>
      <c r="DA66" s="0" t="n">
        <v>4.3568</v>
      </c>
      <c r="DB66" s="0" t="n">
        <v>3.5701</v>
      </c>
      <c r="DC66" s="0" t="n">
        <v>4.2446</v>
      </c>
      <c r="DD66" s="0" t="n">
        <v>2.5403</v>
      </c>
      <c r="DE66" s="0" t="n">
        <v>4.5041</v>
      </c>
      <c r="DF66" s="0" t="n">
        <v>2.0744</v>
      </c>
      <c r="DG66" s="0" t="n">
        <v>7.6805</v>
      </c>
      <c r="DH66" s="0" t="n">
        <v>4.3601</v>
      </c>
      <c r="DI66" s="0" t="n">
        <v>9.4159</v>
      </c>
      <c r="DJ66" s="0" t="n">
        <v>4.1669</v>
      </c>
      <c r="DK66" s="0" t="n">
        <v>7.9914</v>
      </c>
      <c r="DL66" s="0" t="n">
        <v>10.0152</v>
      </c>
      <c r="DM66" s="0" t="n">
        <v>2.1292</v>
      </c>
      <c r="DN66" s="0" t="n">
        <v>13.2786</v>
      </c>
      <c r="DO66" s="0" t="n">
        <v>13.0406</v>
      </c>
      <c r="DP66" s="0" t="n">
        <v>7.344</v>
      </c>
      <c r="DQ66" s="0" t="n">
        <v>7.3418</v>
      </c>
      <c r="DR66" s="0" t="n">
        <v>15.8675</v>
      </c>
      <c r="DS66" s="0" t="n">
        <v>6.8651</v>
      </c>
      <c r="DT66" s="0" t="n">
        <v>12.0362</v>
      </c>
      <c r="DU66" s="0" t="n">
        <v>10.2332</v>
      </c>
      <c r="DV66" s="0" t="n">
        <v>8.0518</v>
      </c>
      <c r="DW66" s="0" t="n">
        <v>15.7747</v>
      </c>
      <c r="DX66" s="0" t="n">
        <v>14.1852</v>
      </c>
      <c r="DY66" s="0" t="n">
        <v>1.8521</v>
      </c>
      <c r="DZ66" s="0" t="n">
        <v>11.0188</v>
      </c>
      <c r="EA66" s="0" t="n">
        <v>8.6345</v>
      </c>
      <c r="EB66" s="0" t="n">
        <v>3.313</v>
      </c>
      <c r="EC66" s="0" t="n">
        <v>4.9091</v>
      </c>
      <c r="ED66" s="0" t="n">
        <v>3.4344</v>
      </c>
      <c r="EE66" s="0" t="n">
        <v>2.854</v>
      </c>
      <c r="EF66" s="0" t="n">
        <v>1.4671</v>
      </c>
      <c r="EG66" s="0" t="n">
        <v>1.305</v>
      </c>
      <c r="EH66" s="0" t="n">
        <v>2.0292</v>
      </c>
      <c r="EI66" s="0" t="n">
        <v>0.5113</v>
      </c>
      <c r="EJ66" s="0" t="n">
        <v>0.6607</v>
      </c>
      <c r="EK66" s="0" t="n">
        <v>0.62</v>
      </c>
      <c r="EL66" s="0" t="n">
        <v>0.2786</v>
      </c>
      <c r="EM66" s="0" t="n">
        <v>0.5876</v>
      </c>
      <c r="EN66" s="0" t="n">
        <v>0.4787</v>
      </c>
      <c r="EO66" s="0" t="n">
        <v>0.2421</v>
      </c>
      <c r="EP66" s="0" t="n">
        <v>0.1256</v>
      </c>
      <c r="EQ66" s="0" t="n">
        <v>0.9258</v>
      </c>
      <c r="ER66" s="0" t="n">
        <v>0.0301</v>
      </c>
      <c r="ES66" s="0" t="n">
        <v>1.164</v>
      </c>
      <c r="ET66" s="0" t="n">
        <v>0.0993</v>
      </c>
      <c r="EU66" s="0" t="n">
        <v>0.0374</v>
      </c>
      <c r="EV66" s="0" t="n">
        <v>0.1325</v>
      </c>
      <c r="EW66" s="0" t="n">
        <v>0.1316</v>
      </c>
      <c r="EX66" s="0" t="n">
        <v>0.0334</v>
      </c>
      <c r="EY66" s="0" t="n">
        <v>0.1435</v>
      </c>
      <c r="EZ66" s="0" t="n">
        <v>0.1592</v>
      </c>
      <c r="FA66" s="0" t="n">
        <v>0.207</v>
      </c>
      <c r="FB66" s="0" t="n">
        <v>0.0293</v>
      </c>
      <c r="FC66" s="0" t="n">
        <v>0.0558</v>
      </c>
      <c r="FD66" s="0" t="n">
        <v>0.0744</v>
      </c>
      <c r="FE66" s="0" t="n">
        <v>0.527</v>
      </c>
      <c r="FF66" s="0" t="n">
        <v>0.0912</v>
      </c>
      <c r="FG66" s="0" t="n">
        <v>0.2865</v>
      </c>
      <c r="FH66" s="0" t="n">
        <v>0.0144</v>
      </c>
      <c r="FI66" s="0" t="n">
        <v>0.0312</v>
      </c>
      <c r="FJ66" s="0" t="n">
        <v>0.0454</v>
      </c>
      <c r="FK66" s="0" t="n">
        <v>0</v>
      </c>
      <c r="FL66" s="0" t="n">
        <v>0.0475</v>
      </c>
      <c r="FM66" s="0" t="n">
        <v>0.0851</v>
      </c>
      <c r="FN66" s="0" t="n">
        <v>0.1402</v>
      </c>
      <c r="FO66" s="0" t="n">
        <v>0.2651</v>
      </c>
      <c r="FP66" s="0" t="n">
        <v>0.034</v>
      </c>
    </row>
    <row r="67" customFormat="false" ht="13.8" hidden="false" customHeight="false" outlineLevel="0" collapsed="false">
      <c r="A67" s="2" t="s">
        <v>300</v>
      </c>
      <c r="B67" s="0" t="s">
        <v>176</v>
      </c>
      <c r="C67" s="0" t="n">
        <v>388</v>
      </c>
      <c r="D67" s="0" t="s">
        <v>301</v>
      </c>
      <c r="F67" s="0" t="e">
        <f aca="false">VLOOKUP(A67,[1]ROOT!$A$1:$C$1048576,3,0)</f>
        <v>#N/A</v>
      </c>
      <c r="G67" s="0" t="n">
        <v>583.1219</v>
      </c>
      <c r="H67" s="0" t="n">
        <v>35.4907</v>
      </c>
      <c r="I67" s="0" t="n">
        <v>111.4975</v>
      </c>
      <c r="J67" s="0" t="n">
        <v>0.6086</v>
      </c>
      <c r="K67" s="0" t="n">
        <v>0</v>
      </c>
      <c r="L67" s="0" t="n">
        <v>71.5172</v>
      </c>
      <c r="M67" s="0" t="n">
        <v>78.0425</v>
      </c>
      <c r="N67" s="0" t="n">
        <v>62.0042</v>
      </c>
      <c r="O67" s="0" t="n">
        <v>0.1461</v>
      </c>
      <c r="P67" s="0" t="n">
        <v>66.9312</v>
      </c>
      <c r="Q67" s="0" t="n">
        <v>26.7659</v>
      </c>
      <c r="R67" s="0" t="n">
        <v>46.3444</v>
      </c>
      <c r="S67" s="0" t="n">
        <v>22.132</v>
      </c>
      <c r="T67" s="0" t="n">
        <v>4.2688</v>
      </c>
      <c r="U67" s="0" t="n">
        <v>19.353</v>
      </c>
      <c r="V67" s="0" t="n">
        <v>12.8524</v>
      </c>
      <c r="W67" s="0" t="n">
        <v>5.7652</v>
      </c>
      <c r="X67" s="0" t="n">
        <v>7.4758</v>
      </c>
      <c r="Y67" s="0" t="n">
        <v>6.401</v>
      </c>
      <c r="Z67" s="0" t="n">
        <v>3.2238</v>
      </c>
      <c r="AA67" s="0" t="n">
        <v>2.7864</v>
      </c>
      <c r="AB67" s="0" t="n">
        <v>5.0319</v>
      </c>
      <c r="AC67" s="0" t="n">
        <v>4.5257</v>
      </c>
      <c r="AD67" s="0" t="n">
        <v>9.9474</v>
      </c>
      <c r="AE67" s="0" t="n">
        <v>5.9037</v>
      </c>
      <c r="AF67" s="0" t="n">
        <v>11.6611</v>
      </c>
      <c r="AG67" s="0" t="n">
        <v>3.9603</v>
      </c>
      <c r="AH67" s="0" t="n">
        <v>6.9126</v>
      </c>
      <c r="AI67" s="0" t="n">
        <v>7.6988</v>
      </c>
      <c r="AJ67" s="0" t="n">
        <v>1.3291</v>
      </c>
      <c r="AK67" s="0" t="n">
        <v>9.6642</v>
      </c>
      <c r="AL67" s="0" t="n">
        <v>6.9739</v>
      </c>
      <c r="AM67" s="0" t="n">
        <v>3.1577</v>
      </c>
      <c r="AN67" s="0" t="n">
        <v>3.6211</v>
      </c>
      <c r="AO67" s="0" t="n">
        <v>8.4554</v>
      </c>
      <c r="AP67" s="0" t="n">
        <v>6.2262</v>
      </c>
      <c r="AQ67" s="0" t="n">
        <v>10.2999</v>
      </c>
      <c r="AR67" s="0" t="n">
        <v>8.0592</v>
      </c>
      <c r="AS67" s="0" t="n">
        <v>4.9975</v>
      </c>
      <c r="AT67" s="0" t="n">
        <v>6.0405</v>
      </c>
      <c r="AU67" s="0" t="n">
        <v>4.4711</v>
      </c>
      <c r="AV67" s="0" t="n">
        <v>0.148</v>
      </c>
      <c r="AW67" s="0" t="n">
        <v>2.6801</v>
      </c>
      <c r="AX67" s="0" t="n">
        <v>4.2096</v>
      </c>
      <c r="AY67" s="0" t="n">
        <v>0.3294</v>
      </c>
      <c r="AZ67" s="0" t="n">
        <v>2.8704</v>
      </c>
      <c r="BA67" s="0" t="n">
        <v>3.553</v>
      </c>
      <c r="BB67" s="0" t="n">
        <v>1.5728</v>
      </c>
      <c r="BC67" s="0" t="n">
        <v>0.8</v>
      </c>
      <c r="BD67" s="0" t="n">
        <v>0.348</v>
      </c>
      <c r="BE67" s="0" t="n">
        <v>0.2697</v>
      </c>
      <c r="BF67" s="0" t="n">
        <v>0</v>
      </c>
      <c r="BG67" s="0" t="n">
        <v>0.2088</v>
      </c>
      <c r="BH67" s="0" t="n">
        <v>0.0317</v>
      </c>
      <c r="BI67" s="0" t="n">
        <v>0</v>
      </c>
      <c r="BJ67" s="0" t="n">
        <v>0.0354</v>
      </c>
      <c r="BK67" s="0" t="n">
        <v>0.1274</v>
      </c>
      <c r="BL67" s="0" t="n">
        <v>0.0814</v>
      </c>
      <c r="BM67" s="0" t="n">
        <v>0</v>
      </c>
      <c r="BN67" s="0" t="n">
        <v>0.0931</v>
      </c>
      <c r="BO67" s="0" t="n">
        <v>0.0137</v>
      </c>
      <c r="BP67" s="0" t="n">
        <v>0.0349</v>
      </c>
      <c r="BQ67" s="0" t="n">
        <v>0</v>
      </c>
      <c r="BR67" s="0" t="n">
        <v>0</v>
      </c>
      <c r="BS67" s="0" t="n">
        <v>0.0159</v>
      </c>
      <c r="BT67" s="0" t="n">
        <v>0.0137</v>
      </c>
      <c r="BU67" s="0" t="n">
        <v>0</v>
      </c>
      <c r="BV67" s="0" t="n">
        <v>0</v>
      </c>
      <c r="BW67" s="0" t="n">
        <v>0.0587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1.5335</v>
      </c>
      <c r="CP67" s="0" t="n">
        <v>3.3263</v>
      </c>
      <c r="CQ67" s="0" t="n">
        <v>3.7903</v>
      </c>
      <c r="CR67" s="0" t="n">
        <v>0.0101</v>
      </c>
      <c r="CS67" s="0" t="n">
        <v>5.6</v>
      </c>
      <c r="CT67" s="0" t="n">
        <v>2.7254</v>
      </c>
      <c r="CU67" s="0" t="n">
        <v>5.4045</v>
      </c>
      <c r="CV67" s="0" t="n">
        <v>3.0697</v>
      </c>
      <c r="CW67" s="0" t="n">
        <v>0.6172</v>
      </c>
      <c r="CX67" s="0" t="n">
        <v>3.142</v>
      </c>
      <c r="CY67" s="0" t="n">
        <v>2.3522</v>
      </c>
      <c r="CZ67" s="0" t="n">
        <v>1.1442</v>
      </c>
      <c r="DA67" s="0" t="n">
        <v>1.5618</v>
      </c>
      <c r="DB67" s="0" t="n">
        <v>1.4546</v>
      </c>
      <c r="DC67" s="0" t="n">
        <v>0.7942</v>
      </c>
      <c r="DD67" s="0" t="n">
        <v>0.7091</v>
      </c>
      <c r="DE67" s="0" t="n">
        <v>1.3818</v>
      </c>
      <c r="DF67" s="0" t="n">
        <v>1.3087</v>
      </c>
      <c r="DG67" s="0" t="n">
        <v>3.0396</v>
      </c>
      <c r="DH67" s="0" t="n">
        <v>1.8982</v>
      </c>
      <c r="DI67" s="0" t="n">
        <v>3.9667</v>
      </c>
      <c r="DJ67" s="0" t="n">
        <v>1.4041</v>
      </c>
      <c r="DK67" s="0" t="n">
        <v>2.5524</v>
      </c>
      <c r="DL67" s="0" t="n">
        <v>3.0051</v>
      </c>
      <c r="DM67" s="0" t="n">
        <v>0.5284</v>
      </c>
      <c r="DN67" s="0" t="n">
        <v>4.0289</v>
      </c>
      <c r="DO67" s="0" t="n">
        <v>3.0381</v>
      </c>
      <c r="DP67" s="0" t="n">
        <v>1.4335</v>
      </c>
      <c r="DQ67" s="0" t="n">
        <v>1.6664</v>
      </c>
      <c r="DR67" s="0" t="n">
        <v>4.0547</v>
      </c>
      <c r="DS67" s="0" t="n">
        <v>3.0927</v>
      </c>
      <c r="DT67" s="0" t="n">
        <v>5.2703</v>
      </c>
      <c r="DU67" s="0" t="n">
        <v>4.2464</v>
      </c>
      <c r="DV67" s="0" t="n">
        <v>2.6837</v>
      </c>
      <c r="DW67" s="0" t="n">
        <v>3.356</v>
      </c>
      <c r="DX67" s="0" t="n">
        <v>2.5793</v>
      </c>
      <c r="DY67" s="0" t="n">
        <v>0.0877</v>
      </c>
      <c r="DZ67" s="0" t="n">
        <v>1.6052</v>
      </c>
      <c r="EA67" s="0" t="n">
        <v>2.612</v>
      </c>
      <c r="EB67" s="0" t="n">
        <v>0.2107</v>
      </c>
      <c r="EC67" s="0" t="n">
        <v>1.8645</v>
      </c>
      <c r="ED67" s="0" t="n">
        <v>2.3637</v>
      </c>
      <c r="EE67" s="0" t="n">
        <v>1.0808</v>
      </c>
      <c r="EF67" s="0" t="n">
        <v>0.5622</v>
      </c>
      <c r="EG67" s="0" t="n">
        <v>0.2485</v>
      </c>
      <c r="EH67" s="0" t="n">
        <v>0.1955</v>
      </c>
      <c r="EI67" s="0" t="n">
        <v>0</v>
      </c>
      <c r="EJ67" s="0" t="n">
        <v>0.1585</v>
      </c>
      <c r="EK67" s="0" t="n">
        <v>0.0248</v>
      </c>
      <c r="EL67" s="0" t="n">
        <v>0</v>
      </c>
      <c r="EM67" s="0" t="n">
        <v>0.0285</v>
      </c>
      <c r="EN67" s="0" t="n">
        <v>0.1054</v>
      </c>
      <c r="EO67" s="0" t="n">
        <v>0.0689</v>
      </c>
      <c r="EP67" s="0" t="n">
        <v>0</v>
      </c>
      <c r="EQ67" s="0" t="n">
        <v>0.0814</v>
      </c>
      <c r="ER67" s="0" t="n">
        <v>0.0122</v>
      </c>
      <c r="ES67" s="0" t="n">
        <v>0.0317</v>
      </c>
      <c r="ET67" s="0" t="n">
        <v>0</v>
      </c>
      <c r="EU67" s="0" t="n">
        <v>0</v>
      </c>
      <c r="EV67" s="0" t="n">
        <v>0.0151</v>
      </c>
      <c r="EW67" s="0" t="n">
        <v>0.0133</v>
      </c>
      <c r="EX67" s="0" t="n">
        <v>0</v>
      </c>
      <c r="EY67" s="0" t="n">
        <v>0</v>
      </c>
      <c r="EZ67" s="0" t="n">
        <v>0.0594</v>
      </c>
      <c r="FA67" s="0" t="n">
        <v>0</v>
      </c>
      <c r="FB67" s="0" t="n">
        <v>0</v>
      </c>
      <c r="FC67" s="0" t="n">
        <v>0</v>
      </c>
      <c r="FD67" s="0" t="n">
        <v>0</v>
      </c>
      <c r="FE67" s="0" t="n">
        <v>0</v>
      </c>
      <c r="FF67" s="0" t="n">
        <v>0</v>
      </c>
      <c r="FG67" s="0" t="n">
        <v>0</v>
      </c>
      <c r="FH67" s="0" t="n">
        <v>0</v>
      </c>
      <c r="FI67" s="0" t="n">
        <v>0</v>
      </c>
      <c r="FJ67" s="0" t="n">
        <v>0</v>
      </c>
      <c r="FK67" s="0" t="n">
        <v>0</v>
      </c>
      <c r="FL67" s="0" t="n">
        <v>0</v>
      </c>
      <c r="FM67" s="0" t="n">
        <v>0</v>
      </c>
      <c r="FN67" s="0" t="n">
        <v>0</v>
      </c>
      <c r="FO67" s="0" t="n">
        <v>0</v>
      </c>
      <c r="FP67" s="0" t="n">
        <v>0</v>
      </c>
    </row>
    <row r="68" customFormat="false" ht="13.8" hidden="false" customHeight="false" outlineLevel="0" collapsed="false">
      <c r="A68" s="2" t="s">
        <v>302</v>
      </c>
      <c r="B68" s="0" t="s">
        <v>173</v>
      </c>
      <c r="C68" s="0" t="n">
        <v>6</v>
      </c>
      <c r="D68" s="0" t="s">
        <v>303</v>
      </c>
      <c r="G68" s="0" t="n">
        <v>1255.3036</v>
      </c>
      <c r="H68" s="0" t="n">
        <v>112.78</v>
      </c>
      <c r="I68" s="0" t="n">
        <v>354.3088</v>
      </c>
      <c r="J68" s="0" t="n">
        <v>0.89315</v>
      </c>
      <c r="K68" s="0" t="n">
        <v>0.0042</v>
      </c>
      <c r="L68" s="0" t="n">
        <v>60.8688</v>
      </c>
      <c r="M68" s="0" t="n">
        <v>59.8883</v>
      </c>
      <c r="N68" s="0" t="n">
        <v>95.61</v>
      </c>
      <c r="O68" s="0" t="n">
        <v>85.4174</v>
      </c>
      <c r="P68" s="0" t="n">
        <v>53.4607</v>
      </c>
      <c r="Q68" s="0" t="n">
        <v>35.6943</v>
      </c>
      <c r="R68" s="0" t="n">
        <v>46.8212</v>
      </c>
      <c r="S68" s="0" t="n">
        <v>32.119</v>
      </c>
      <c r="T68" s="0" t="n">
        <v>27.7726</v>
      </c>
      <c r="U68" s="0" t="n">
        <v>25.7507</v>
      </c>
      <c r="V68" s="0" t="n">
        <v>21.9686</v>
      </c>
      <c r="W68" s="0" t="n">
        <v>20.1322</v>
      </c>
      <c r="X68" s="0" t="n">
        <v>18.9175</v>
      </c>
      <c r="Y68" s="0" t="n">
        <v>13.2808</v>
      </c>
      <c r="Z68" s="0" t="n">
        <v>12.0617</v>
      </c>
      <c r="AA68" s="0" t="n">
        <v>12.6981</v>
      </c>
      <c r="AB68" s="0" t="n">
        <v>17.6932</v>
      </c>
      <c r="AC68" s="0" t="n">
        <v>21.868</v>
      </c>
      <c r="AD68" s="0" t="n">
        <v>30.1519</v>
      </c>
      <c r="AE68" s="0" t="n">
        <v>34.1814</v>
      </c>
      <c r="AF68" s="0" t="n">
        <v>36.6325</v>
      </c>
      <c r="AG68" s="0" t="n">
        <v>30.8944</v>
      </c>
      <c r="AH68" s="0" t="n">
        <v>32.261</v>
      </c>
      <c r="AI68" s="0" t="n">
        <v>27.4853</v>
      </c>
      <c r="AJ68" s="0" t="n">
        <v>27.8154</v>
      </c>
      <c r="AK68" s="0" t="n">
        <v>35.9758</v>
      </c>
      <c r="AL68" s="0" t="n">
        <v>30.3485</v>
      </c>
      <c r="AM68" s="0" t="n">
        <v>30.7794</v>
      </c>
      <c r="AN68" s="0" t="n">
        <v>30.6656</v>
      </c>
      <c r="AO68" s="0" t="n">
        <v>34.3681</v>
      </c>
      <c r="AP68" s="0" t="n">
        <v>36.0001</v>
      </c>
      <c r="AQ68" s="0" t="n">
        <v>30.6147</v>
      </c>
      <c r="AR68" s="0" t="n">
        <v>24.8438</v>
      </c>
      <c r="AS68" s="0" t="n">
        <v>21.2724</v>
      </c>
      <c r="AT68" s="0" t="n">
        <v>23.2266</v>
      </c>
      <c r="AU68" s="0" t="n">
        <v>18.4707</v>
      </c>
      <c r="AV68" s="0" t="n">
        <v>12.722</v>
      </c>
      <c r="AW68" s="0" t="n">
        <v>8.9036</v>
      </c>
      <c r="AX68" s="0" t="n">
        <v>8.4652</v>
      </c>
      <c r="AY68" s="0" t="n">
        <v>4.9279</v>
      </c>
      <c r="AZ68" s="0" t="n">
        <v>2.9128</v>
      </c>
      <c r="BA68" s="0" t="n">
        <v>3.2521</v>
      </c>
      <c r="BB68" s="0" t="n">
        <v>1.771</v>
      </c>
      <c r="BC68" s="0" t="n">
        <v>1.6231</v>
      </c>
      <c r="BD68" s="0" t="n">
        <v>1.8802</v>
      </c>
      <c r="BE68" s="0" t="n">
        <v>1.5887</v>
      </c>
      <c r="BF68" s="0" t="n">
        <v>0.7953</v>
      </c>
      <c r="BG68" s="0" t="n">
        <v>1.1523</v>
      </c>
      <c r="BH68" s="0" t="n">
        <v>0.528</v>
      </c>
      <c r="BI68" s="0" t="n">
        <v>1.0331</v>
      </c>
      <c r="BJ68" s="0" t="n">
        <v>0.8349</v>
      </c>
      <c r="BK68" s="0" t="n">
        <v>1.0086</v>
      </c>
      <c r="BL68" s="0" t="n">
        <v>0.5955</v>
      </c>
      <c r="BM68" s="0" t="n">
        <v>0.434</v>
      </c>
      <c r="BN68" s="0" t="n">
        <v>0.4574</v>
      </c>
      <c r="BO68" s="0" t="n">
        <v>0.1135</v>
      </c>
      <c r="BP68" s="0" t="n">
        <v>0.3961</v>
      </c>
      <c r="BQ68" s="0" t="n">
        <v>0.1848</v>
      </c>
      <c r="BR68" s="0" t="n">
        <v>0.0781</v>
      </c>
      <c r="BS68" s="0" t="n">
        <v>0.0063</v>
      </c>
      <c r="BT68" s="0" t="n">
        <v>0</v>
      </c>
      <c r="BU68" s="0" t="n">
        <v>0.3867</v>
      </c>
      <c r="BV68" s="0" t="n">
        <v>0.0132</v>
      </c>
      <c r="BW68" s="0" t="n">
        <v>0.0069</v>
      </c>
      <c r="BX68" s="0" t="n">
        <v>0.009</v>
      </c>
      <c r="BY68" s="0" t="n">
        <v>0.009</v>
      </c>
      <c r="BZ68" s="0" t="n">
        <v>0</v>
      </c>
      <c r="CA68" s="0" t="n">
        <v>0.3495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s="0" t="n">
        <v>0.2063</v>
      </c>
      <c r="CL68" s="0" t="n">
        <v>0</v>
      </c>
      <c r="CM68" s="0" t="n">
        <v>0</v>
      </c>
      <c r="CN68" s="0" t="n">
        <v>0</v>
      </c>
      <c r="CO68" s="0" t="n">
        <v>1.6073</v>
      </c>
      <c r="CP68" s="0" t="n">
        <v>2.3023</v>
      </c>
      <c r="CQ68" s="0" t="n">
        <v>5.2558</v>
      </c>
      <c r="CR68" s="0" t="n">
        <v>5.9476</v>
      </c>
      <c r="CS68" s="0" t="n">
        <v>4.5849</v>
      </c>
      <c r="CT68" s="0" t="n">
        <v>3.6491</v>
      </c>
      <c r="CU68" s="0" t="n">
        <v>5.5387</v>
      </c>
      <c r="CV68" s="0" t="n">
        <v>4.2958</v>
      </c>
      <c r="CW68" s="0" t="n">
        <v>4.1212</v>
      </c>
      <c r="CX68" s="0" t="n">
        <v>4.2355</v>
      </c>
      <c r="CY68" s="0" t="n">
        <v>3.9842</v>
      </c>
      <c r="CZ68" s="0" t="n">
        <v>3.9347</v>
      </c>
      <c r="DA68" s="0" t="n">
        <v>4.0075</v>
      </c>
      <c r="DB68" s="0" t="n">
        <v>3.029</v>
      </c>
      <c r="DC68" s="0" t="n">
        <v>2.9379</v>
      </c>
      <c r="DD68" s="0" t="n">
        <v>3.2864</v>
      </c>
      <c r="DE68" s="0" t="n">
        <v>4.8664</v>
      </c>
      <c r="DF68" s="0" t="n">
        <v>6.3619</v>
      </c>
      <c r="DG68" s="0" t="n">
        <v>9.2291</v>
      </c>
      <c r="DH68" s="0" t="n">
        <v>11.0018</v>
      </c>
      <c r="DI68" s="0" t="n">
        <v>12.3997</v>
      </c>
      <c r="DJ68" s="0" t="n">
        <v>10.9005</v>
      </c>
      <c r="DK68" s="0" t="n">
        <v>11.9174</v>
      </c>
      <c r="DL68" s="0" t="n">
        <v>10.594</v>
      </c>
      <c r="DM68" s="0" t="n">
        <v>11.1249</v>
      </c>
      <c r="DN68" s="0" t="n">
        <v>14.9741</v>
      </c>
      <c r="DO68" s="0" t="n">
        <v>13.1355</v>
      </c>
      <c r="DP68" s="0" t="n">
        <v>13.7564</v>
      </c>
      <c r="DQ68" s="0" t="n">
        <v>14.2267</v>
      </c>
      <c r="DR68" s="0" t="n">
        <v>16.4584</v>
      </c>
      <c r="DS68" s="0" t="n">
        <v>17.8314</v>
      </c>
      <c r="DT68" s="0" t="n">
        <v>15.6303</v>
      </c>
      <c r="DU68" s="0" t="n">
        <v>13.0766</v>
      </c>
      <c r="DV68" s="0" t="n">
        <v>11.505</v>
      </c>
      <c r="DW68" s="0" t="n">
        <v>12.9394</v>
      </c>
      <c r="DX68" s="0" t="n">
        <v>10.6024</v>
      </c>
      <c r="DY68" s="0" t="n">
        <v>7.491</v>
      </c>
      <c r="DZ68" s="0" t="n">
        <v>5.3848</v>
      </c>
      <c r="EA68" s="0" t="n">
        <v>5.2459</v>
      </c>
      <c r="EB68" s="0" t="n">
        <v>3.1283</v>
      </c>
      <c r="EC68" s="0" t="n">
        <v>1.8946</v>
      </c>
      <c r="ED68" s="0" t="n">
        <v>2.1703</v>
      </c>
      <c r="EE68" s="0" t="n">
        <v>1.2082</v>
      </c>
      <c r="EF68" s="0" t="n">
        <v>1.1341</v>
      </c>
      <c r="EG68" s="0" t="n">
        <v>1.3427</v>
      </c>
      <c r="EH68" s="0" t="n">
        <v>1.161</v>
      </c>
      <c r="EI68" s="0" t="n">
        <v>0.5925</v>
      </c>
      <c r="EJ68" s="0" t="n">
        <v>0.8735</v>
      </c>
      <c r="EK68" s="0" t="n">
        <v>0.4099</v>
      </c>
      <c r="EL68" s="0" t="n">
        <v>0.8164</v>
      </c>
      <c r="EM68" s="0" t="n">
        <v>0.6752</v>
      </c>
      <c r="EN68" s="0" t="n">
        <v>0.8304</v>
      </c>
      <c r="EO68" s="0" t="n">
        <v>0.4997</v>
      </c>
      <c r="EP68" s="0" t="n">
        <v>0.3706</v>
      </c>
      <c r="EQ68" s="0" t="n">
        <v>0.3981</v>
      </c>
      <c r="ER68" s="0" t="n">
        <v>0.1008</v>
      </c>
      <c r="ES68" s="0" t="n">
        <v>0.3566</v>
      </c>
      <c r="ET68" s="0" t="n">
        <v>0.1696</v>
      </c>
      <c r="EU68" s="0" t="n">
        <v>0.0728</v>
      </c>
      <c r="EV68" s="0" t="n">
        <v>0.006</v>
      </c>
      <c r="EW68" s="0" t="n">
        <v>0</v>
      </c>
      <c r="EX68" s="0" t="n">
        <v>0.3772</v>
      </c>
      <c r="EY68" s="0" t="n">
        <v>0.0132</v>
      </c>
      <c r="EZ68" s="0" t="n">
        <v>0.0069</v>
      </c>
      <c r="FA68" s="0" t="n">
        <v>0.0092</v>
      </c>
      <c r="FB68" s="0" t="n">
        <v>0.0094</v>
      </c>
      <c r="FC68" s="0" t="n">
        <v>0</v>
      </c>
      <c r="FD68" s="0" t="n">
        <v>0.3747</v>
      </c>
      <c r="FE68" s="0" t="n">
        <v>0</v>
      </c>
      <c r="FF68" s="0" t="n">
        <v>0</v>
      </c>
      <c r="FG68" s="0" t="n">
        <v>0</v>
      </c>
      <c r="FH68" s="0" t="n">
        <v>0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0.2557</v>
      </c>
      <c r="FO68" s="0" t="n">
        <v>0</v>
      </c>
      <c r="FP68" s="0" t="n">
        <v>0</v>
      </c>
    </row>
    <row r="69" customFormat="false" ht="13.8" hidden="false" customHeight="false" outlineLevel="0" collapsed="false">
      <c r="A69" s="2" t="s">
        <v>304</v>
      </c>
      <c r="B69" s="0" t="s">
        <v>176</v>
      </c>
      <c r="C69" s="0" t="n">
        <v>288</v>
      </c>
      <c r="D69" s="0" t="s">
        <v>305</v>
      </c>
      <c r="G69" s="0" t="n">
        <v>929.5231</v>
      </c>
      <c r="H69" s="0" t="n">
        <v>81.7436</v>
      </c>
      <c r="I69" s="0" t="n">
        <v>256.8053</v>
      </c>
      <c r="J69" s="0" t="n">
        <v>0.85355</v>
      </c>
      <c r="K69" s="0" t="n">
        <v>0.4005</v>
      </c>
      <c r="L69" s="0" t="n">
        <v>73.3211</v>
      </c>
      <c r="M69" s="0" t="n">
        <v>48.6523</v>
      </c>
      <c r="N69" s="0" t="n">
        <v>65.417</v>
      </c>
      <c r="O69" s="0" t="n">
        <v>47.7975</v>
      </c>
      <c r="P69" s="0" t="n">
        <v>35.2502</v>
      </c>
      <c r="Q69" s="0" t="n">
        <v>24.0388</v>
      </c>
      <c r="R69" s="0" t="n">
        <v>25.2829</v>
      </c>
      <c r="S69" s="0" t="n">
        <v>18.8401</v>
      </c>
      <c r="T69" s="0" t="n">
        <v>16.9194</v>
      </c>
      <c r="U69" s="0" t="n">
        <v>26.8609</v>
      </c>
      <c r="V69" s="0" t="n">
        <v>43.5027</v>
      </c>
      <c r="W69" s="0" t="n">
        <v>36.9029</v>
      </c>
      <c r="X69" s="0" t="n">
        <v>29.6483</v>
      </c>
      <c r="Y69" s="0" t="n">
        <v>26.3936</v>
      </c>
      <c r="Z69" s="0" t="n">
        <v>20.5849</v>
      </c>
      <c r="AA69" s="0" t="n">
        <v>17.2484</v>
      </c>
      <c r="AB69" s="0" t="n">
        <v>14.8163</v>
      </c>
      <c r="AC69" s="0" t="n">
        <v>13.0367</v>
      </c>
      <c r="AD69" s="0" t="n">
        <v>15.2406</v>
      </c>
      <c r="AE69" s="0" t="n">
        <v>13.1507</v>
      </c>
      <c r="AF69" s="0" t="n">
        <v>13.6375</v>
      </c>
      <c r="AG69" s="0" t="n">
        <v>10.4954</v>
      </c>
      <c r="AH69" s="0" t="n">
        <v>10.0739</v>
      </c>
      <c r="AI69" s="0" t="n">
        <v>11.1353</v>
      </c>
      <c r="AJ69" s="0" t="n">
        <v>13.8514</v>
      </c>
      <c r="AK69" s="0" t="n">
        <v>20.4691</v>
      </c>
      <c r="AL69" s="0" t="n">
        <v>17.7592</v>
      </c>
      <c r="AM69" s="0" t="n">
        <v>15.8686</v>
      </c>
      <c r="AN69" s="0" t="n">
        <v>15.7487</v>
      </c>
      <c r="AO69" s="0" t="n">
        <v>16.6196</v>
      </c>
      <c r="AP69" s="0" t="n">
        <v>18.7544</v>
      </c>
      <c r="AQ69" s="0" t="n">
        <v>17.1103</v>
      </c>
      <c r="AR69" s="0" t="n">
        <v>18.7237</v>
      </c>
      <c r="AS69" s="0" t="n">
        <v>21.7457</v>
      </c>
      <c r="AT69" s="0" t="n">
        <v>16.0948</v>
      </c>
      <c r="AU69" s="0" t="n">
        <v>11.8333</v>
      </c>
      <c r="AV69" s="0" t="n">
        <v>7.2619</v>
      </c>
      <c r="AW69" s="0" t="n">
        <v>7.5374</v>
      </c>
      <c r="AX69" s="0" t="n">
        <v>7.0713</v>
      </c>
      <c r="AY69" s="0" t="n">
        <v>4.9677</v>
      </c>
      <c r="AZ69" s="0" t="n">
        <v>4.7638</v>
      </c>
      <c r="BA69" s="0" t="n">
        <v>7.2729</v>
      </c>
      <c r="BB69" s="0" t="n">
        <v>4.4032</v>
      </c>
      <c r="BC69" s="0" t="n">
        <v>2.5842</v>
      </c>
      <c r="BD69" s="0" t="n">
        <v>2.5631</v>
      </c>
      <c r="BE69" s="0" t="n">
        <v>1.1517</v>
      </c>
      <c r="BF69" s="0" t="n">
        <v>2.224</v>
      </c>
      <c r="BG69" s="0" t="n">
        <v>1.9374</v>
      </c>
      <c r="BH69" s="0" t="n">
        <v>1.0989</v>
      </c>
      <c r="BI69" s="0" t="n">
        <v>1.2698</v>
      </c>
      <c r="BJ69" s="0" t="n">
        <v>0.6496</v>
      </c>
      <c r="BK69" s="0" t="n">
        <v>0.5359</v>
      </c>
      <c r="BL69" s="0" t="n">
        <v>1.1854</v>
      </c>
      <c r="BM69" s="0" t="n">
        <v>0.658</v>
      </c>
      <c r="BN69" s="0" t="n">
        <v>0.5963</v>
      </c>
      <c r="BO69" s="0" t="n">
        <v>1.0048</v>
      </c>
      <c r="BP69" s="0" t="n">
        <v>0.8045</v>
      </c>
      <c r="BQ69" s="0" t="n">
        <v>0.6766</v>
      </c>
      <c r="BR69" s="0" t="n">
        <v>0.943</v>
      </c>
      <c r="BS69" s="0" t="n">
        <v>0.3082</v>
      </c>
      <c r="BT69" s="0" t="n">
        <v>0.5319</v>
      </c>
      <c r="BU69" s="0" t="n">
        <v>0.6224</v>
      </c>
      <c r="BV69" s="0" t="n">
        <v>0.2659</v>
      </c>
      <c r="BW69" s="0" t="n">
        <v>0.0655</v>
      </c>
      <c r="BX69" s="0" t="n">
        <v>0.0338</v>
      </c>
      <c r="BY69" s="0" t="n">
        <v>0.2791</v>
      </c>
      <c r="BZ69" s="0" t="n">
        <v>0.0602</v>
      </c>
      <c r="CA69" s="0" t="n">
        <v>0.0956</v>
      </c>
      <c r="CB69" s="0" t="n">
        <v>0.1014</v>
      </c>
      <c r="CC69" s="0" t="n">
        <v>0.3178</v>
      </c>
      <c r="CD69" s="0" t="n">
        <v>0.0518</v>
      </c>
      <c r="CE69" s="0" t="n">
        <v>0.0813</v>
      </c>
      <c r="CF69" s="0" t="n">
        <v>0.0343</v>
      </c>
      <c r="CG69" s="0" t="n">
        <v>0.1869</v>
      </c>
      <c r="CH69" s="0" t="n">
        <v>0</v>
      </c>
      <c r="CI69" s="0" t="n">
        <v>0</v>
      </c>
      <c r="CJ69" s="0" t="n">
        <v>0</v>
      </c>
      <c r="CK69" s="0" t="n">
        <v>0</v>
      </c>
      <c r="CL69" s="0" t="n">
        <v>0</v>
      </c>
      <c r="CM69" s="0" t="n">
        <v>0</v>
      </c>
      <c r="CN69" s="0" t="n">
        <v>0.005</v>
      </c>
      <c r="CO69" s="0" t="n">
        <v>1.8566</v>
      </c>
      <c r="CP69" s="0" t="n">
        <v>1.8959</v>
      </c>
      <c r="CQ69" s="0" t="n">
        <v>3.5901</v>
      </c>
      <c r="CR69" s="0" t="n">
        <v>3.3281</v>
      </c>
      <c r="CS69" s="0" t="n">
        <v>3.0146</v>
      </c>
      <c r="CT69" s="0" t="n">
        <v>2.4444</v>
      </c>
      <c r="CU69" s="0" t="n">
        <v>2.9763</v>
      </c>
      <c r="CV69" s="0" t="n">
        <v>2.5094</v>
      </c>
      <c r="CW69" s="0" t="n">
        <v>2.5173</v>
      </c>
      <c r="CX69" s="0" t="n">
        <v>4.4524</v>
      </c>
      <c r="CY69" s="0" t="n">
        <v>7.8893</v>
      </c>
      <c r="CZ69" s="0" t="n">
        <v>7.2191</v>
      </c>
      <c r="DA69" s="0" t="n">
        <v>6.2886</v>
      </c>
      <c r="DB69" s="0" t="n">
        <v>6.0116</v>
      </c>
      <c r="DC69" s="0" t="n">
        <v>5.0126</v>
      </c>
      <c r="DD69" s="0" t="n">
        <v>4.4522</v>
      </c>
      <c r="DE69" s="0" t="n">
        <v>4.063</v>
      </c>
      <c r="DF69" s="0" t="n">
        <v>3.7914</v>
      </c>
      <c r="DG69" s="0" t="n">
        <v>4.6774</v>
      </c>
      <c r="DH69" s="0" t="n">
        <v>4.2334</v>
      </c>
      <c r="DI69" s="0" t="n">
        <v>4.6063</v>
      </c>
      <c r="DJ69" s="0" t="n">
        <v>3.7027</v>
      </c>
      <c r="DK69" s="0" t="n">
        <v>3.7191</v>
      </c>
      <c r="DL69" s="0" t="n">
        <v>4.2942</v>
      </c>
      <c r="DM69" s="0" t="n">
        <v>5.5422</v>
      </c>
      <c r="DN69" s="0" t="n">
        <v>8.5206</v>
      </c>
      <c r="DO69" s="0" t="n">
        <v>7.6815</v>
      </c>
      <c r="DP69" s="0" t="n">
        <v>7.0999</v>
      </c>
      <c r="DQ69" s="0" t="n">
        <v>7.2787</v>
      </c>
      <c r="DR69" s="0" t="n">
        <v>7.9673</v>
      </c>
      <c r="DS69" s="0" t="n">
        <v>9.2849</v>
      </c>
      <c r="DT69" s="0" t="n">
        <v>8.7357</v>
      </c>
      <c r="DU69" s="0" t="n">
        <v>9.8603</v>
      </c>
      <c r="DV69" s="0" t="n">
        <v>11.7633</v>
      </c>
      <c r="DW69" s="0" t="n">
        <v>8.9784</v>
      </c>
      <c r="DX69" s="0" t="n">
        <v>6.7822</v>
      </c>
      <c r="DY69" s="0" t="n">
        <v>4.2654</v>
      </c>
      <c r="DZ69" s="0" t="n">
        <v>4.5444</v>
      </c>
      <c r="EA69" s="0" t="n">
        <v>4.3894</v>
      </c>
      <c r="EB69" s="0" t="n">
        <v>3.1643</v>
      </c>
      <c r="EC69" s="0" t="n">
        <v>3.0969</v>
      </c>
      <c r="ED69" s="0" t="n">
        <v>4.8519</v>
      </c>
      <c r="EE69" s="0" t="n">
        <v>3.0059</v>
      </c>
      <c r="EF69" s="0" t="n">
        <v>1.8016</v>
      </c>
      <c r="EG69" s="0" t="n">
        <v>1.8328</v>
      </c>
      <c r="EH69" s="0" t="n">
        <v>0.842</v>
      </c>
      <c r="EI69" s="0" t="n">
        <v>1.6577</v>
      </c>
      <c r="EJ69" s="0" t="n">
        <v>1.4763</v>
      </c>
      <c r="EK69" s="0" t="n">
        <v>0.8509</v>
      </c>
      <c r="EL69" s="0" t="n">
        <v>1.0019</v>
      </c>
      <c r="EM69" s="0" t="n">
        <v>0.5265</v>
      </c>
      <c r="EN69" s="0" t="n">
        <v>0.4419</v>
      </c>
      <c r="EO69" s="0" t="n">
        <v>0.996</v>
      </c>
      <c r="EP69" s="0" t="n">
        <v>0.562</v>
      </c>
      <c r="EQ69" s="0" t="n">
        <v>0.5203</v>
      </c>
      <c r="ER69" s="0" t="n">
        <v>0.8911</v>
      </c>
      <c r="ES69" s="0" t="n">
        <v>0.725</v>
      </c>
      <c r="ET69" s="0" t="n">
        <v>0.6221</v>
      </c>
      <c r="EU69" s="0" t="n">
        <v>0.8831</v>
      </c>
      <c r="EV69" s="0" t="n">
        <v>0.293</v>
      </c>
      <c r="EW69" s="0" t="n">
        <v>0.5164</v>
      </c>
      <c r="EX69" s="0" t="n">
        <v>0.6106</v>
      </c>
      <c r="EY69" s="0" t="n">
        <v>0.2661</v>
      </c>
      <c r="EZ69" s="0" t="n">
        <v>0.0664</v>
      </c>
      <c r="FA69" s="0" t="n">
        <v>0.0349</v>
      </c>
      <c r="FB69" s="0" t="n">
        <v>0.2908</v>
      </c>
      <c r="FC69" s="0" t="n">
        <v>0.0639</v>
      </c>
      <c r="FD69" s="0" t="n">
        <v>0.1033</v>
      </c>
      <c r="FE69" s="0" t="n">
        <v>0.1108</v>
      </c>
      <c r="FF69" s="0" t="n">
        <v>0.351</v>
      </c>
      <c r="FG69" s="0" t="n">
        <v>0.0581</v>
      </c>
      <c r="FH69" s="0" t="n">
        <v>0.0922</v>
      </c>
      <c r="FI69" s="0" t="n">
        <v>0.0397</v>
      </c>
      <c r="FJ69" s="0" t="n">
        <v>0.2194</v>
      </c>
      <c r="FK69" s="0" t="n">
        <v>0</v>
      </c>
      <c r="FL69" s="0" t="n">
        <v>0</v>
      </c>
      <c r="FM69" s="0" t="n">
        <v>0</v>
      </c>
      <c r="FN69" s="0" t="n">
        <v>0</v>
      </c>
      <c r="FO69" s="0" t="n">
        <v>0</v>
      </c>
      <c r="FP69" s="0" t="n">
        <v>0</v>
      </c>
    </row>
    <row r="70" customFormat="false" ht="13.8" hidden="false" customHeight="false" outlineLevel="0" collapsed="false">
      <c r="A70" s="2" t="s">
        <v>306</v>
      </c>
      <c r="B70" s="0" t="s">
        <v>176</v>
      </c>
      <c r="C70" s="0" t="n">
        <v>254</v>
      </c>
      <c r="D70" s="0" t="s">
        <v>307</v>
      </c>
      <c r="G70" s="0" t="n">
        <v>1691.9327</v>
      </c>
      <c r="H70" s="0" t="n">
        <v>141.8949</v>
      </c>
      <c r="I70" s="0" t="n">
        <v>445.7757</v>
      </c>
      <c r="J70" s="0" t="n">
        <v>0.794033333333333</v>
      </c>
      <c r="K70" s="0" t="n">
        <v>0.0158</v>
      </c>
      <c r="L70" s="0" t="n">
        <v>107.7278</v>
      </c>
      <c r="M70" s="0" t="n">
        <v>91.4363</v>
      </c>
      <c r="N70" s="0" t="n">
        <v>139.1654</v>
      </c>
      <c r="O70" s="0" t="n">
        <v>101.9412</v>
      </c>
      <c r="P70" s="0" t="n">
        <v>82.691</v>
      </c>
      <c r="Q70" s="0" t="n">
        <v>58.5963</v>
      </c>
      <c r="R70" s="0" t="n">
        <v>52.6151</v>
      </c>
      <c r="S70" s="0" t="n">
        <v>38.9096</v>
      </c>
      <c r="T70" s="0" t="n">
        <v>37.8044</v>
      </c>
      <c r="U70" s="0" t="n">
        <v>44.3759</v>
      </c>
      <c r="V70" s="0" t="n">
        <v>50.7251</v>
      </c>
      <c r="W70" s="0" t="n">
        <v>45.3086</v>
      </c>
      <c r="X70" s="0" t="n">
        <v>39.6786</v>
      </c>
      <c r="Y70" s="0" t="n">
        <v>28.7937</v>
      </c>
      <c r="Z70" s="0" t="n">
        <v>23.1099</v>
      </c>
      <c r="AA70" s="0" t="n">
        <v>25.9563</v>
      </c>
      <c r="AB70" s="0" t="n">
        <v>26.3509</v>
      </c>
      <c r="AC70" s="0" t="n">
        <v>26.5458</v>
      </c>
      <c r="AD70" s="0" t="n">
        <v>32.2815</v>
      </c>
      <c r="AE70" s="0" t="n">
        <v>30.1777</v>
      </c>
      <c r="AF70" s="0" t="n">
        <v>29.8093</v>
      </c>
      <c r="AG70" s="0" t="n">
        <v>25.3398</v>
      </c>
      <c r="AH70" s="0" t="n">
        <v>26.2824</v>
      </c>
      <c r="AI70" s="0" t="n">
        <v>27.9336</v>
      </c>
      <c r="AJ70" s="0" t="n">
        <v>36.0295</v>
      </c>
      <c r="AK70" s="0" t="n">
        <v>42.3565</v>
      </c>
      <c r="AL70" s="0" t="n">
        <v>42.0755</v>
      </c>
      <c r="AM70" s="0" t="n">
        <v>42.9534</v>
      </c>
      <c r="AN70" s="0" t="n">
        <v>39.7201</v>
      </c>
      <c r="AO70" s="0" t="n">
        <v>41.3751</v>
      </c>
      <c r="AP70" s="0" t="n">
        <v>35.7726</v>
      </c>
      <c r="AQ70" s="0" t="n">
        <v>36.0259</v>
      </c>
      <c r="AR70" s="0" t="n">
        <v>28.7703</v>
      </c>
      <c r="AS70" s="0" t="n">
        <v>27.6407</v>
      </c>
      <c r="AT70" s="0" t="n">
        <v>23.0813</v>
      </c>
      <c r="AU70" s="0" t="n">
        <v>19.4774</v>
      </c>
      <c r="AV70" s="0" t="n">
        <v>14.9368</v>
      </c>
      <c r="AW70" s="0" t="n">
        <v>11.1163</v>
      </c>
      <c r="AX70" s="0" t="n">
        <v>10.5761</v>
      </c>
      <c r="AY70" s="0" t="n">
        <v>8.5663</v>
      </c>
      <c r="AZ70" s="0" t="n">
        <v>5.9088</v>
      </c>
      <c r="BA70" s="0" t="n">
        <v>5.8312</v>
      </c>
      <c r="BB70" s="0" t="n">
        <v>4.4538</v>
      </c>
      <c r="BC70" s="0" t="n">
        <v>3.4901</v>
      </c>
      <c r="BD70" s="0" t="n">
        <v>3.2109</v>
      </c>
      <c r="BE70" s="0" t="n">
        <v>3.0378</v>
      </c>
      <c r="BF70" s="0" t="n">
        <v>1.0297</v>
      </c>
      <c r="BG70" s="0" t="n">
        <v>0.9584</v>
      </c>
      <c r="BH70" s="0" t="n">
        <v>0.9244</v>
      </c>
      <c r="BI70" s="0" t="n">
        <v>1.3361</v>
      </c>
      <c r="BJ70" s="0" t="n">
        <v>1.297</v>
      </c>
      <c r="BK70" s="0" t="n">
        <v>0.6549</v>
      </c>
      <c r="BL70" s="0" t="n">
        <v>0.6226</v>
      </c>
      <c r="BM70" s="0" t="n">
        <v>0.2491</v>
      </c>
      <c r="BN70" s="0" t="n">
        <v>0.2707</v>
      </c>
      <c r="BO70" s="0" t="n">
        <v>0.6149</v>
      </c>
      <c r="BP70" s="0" t="n">
        <v>0.1957</v>
      </c>
      <c r="BQ70" s="0" t="n">
        <v>0.4162</v>
      </c>
      <c r="BR70" s="0" t="n">
        <v>0.4696</v>
      </c>
      <c r="BS70" s="0" t="n">
        <v>0.1216</v>
      </c>
      <c r="BT70" s="0" t="n">
        <v>0.5723</v>
      </c>
      <c r="BU70" s="0" t="n">
        <v>0.1285</v>
      </c>
      <c r="BV70" s="0" t="n">
        <v>0.046</v>
      </c>
      <c r="BW70" s="0" t="n">
        <v>0.0798</v>
      </c>
      <c r="BX70" s="0" t="n">
        <v>0.092</v>
      </c>
      <c r="BY70" s="0" t="n">
        <v>0.111</v>
      </c>
      <c r="BZ70" s="0" t="n">
        <v>0.0629</v>
      </c>
      <c r="CA70" s="0" t="n">
        <v>0.0491</v>
      </c>
      <c r="CB70" s="0" t="n">
        <v>0.2735</v>
      </c>
      <c r="CC70" s="0" t="n">
        <v>0.1459</v>
      </c>
      <c r="CD70" s="0" t="n">
        <v>0.1559</v>
      </c>
      <c r="CE70" s="0" t="n">
        <v>0.0069</v>
      </c>
      <c r="CF70" s="0" t="n">
        <v>0.0703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0.0002</v>
      </c>
      <c r="CO70" s="0" t="n">
        <v>2.8477</v>
      </c>
      <c r="CP70" s="0" t="n">
        <v>3.5314</v>
      </c>
      <c r="CQ70" s="0" t="n">
        <v>7.6395</v>
      </c>
      <c r="CR70" s="0" t="n">
        <v>7.1201</v>
      </c>
      <c r="CS70" s="0" t="n">
        <v>7.1042</v>
      </c>
      <c r="CT70" s="0" t="n">
        <v>5.9798</v>
      </c>
      <c r="CU70" s="0" t="n">
        <v>6.2003</v>
      </c>
      <c r="CV70" s="0" t="n">
        <v>5.2052</v>
      </c>
      <c r="CW70" s="0" t="n">
        <v>5.6215</v>
      </c>
      <c r="CX70" s="0" t="n">
        <v>7.3276</v>
      </c>
      <c r="CY70" s="0" t="n">
        <v>9.1918</v>
      </c>
      <c r="CZ70" s="0" t="n">
        <v>8.8917</v>
      </c>
      <c r="DA70" s="0" t="n">
        <v>8.3822</v>
      </c>
      <c r="DB70" s="0" t="n">
        <v>6.5532</v>
      </c>
      <c r="DC70" s="0" t="n">
        <v>5.6295</v>
      </c>
      <c r="DD70" s="0" t="n">
        <v>6.7266</v>
      </c>
      <c r="DE70" s="0" t="n">
        <v>7.2403</v>
      </c>
      <c r="DF70" s="0" t="n">
        <v>7.7241</v>
      </c>
      <c r="DG70" s="0" t="n">
        <v>9.8927</v>
      </c>
      <c r="DH70" s="0" t="n">
        <v>9.717</v>
      </c>
      <c r="DI70" s="0" t="n">
        <v>10.0692</v>
      </c>
      <c r="DJ70" s="0" t="n">
        <v>8.9405</v>
      </c>
      <c r="DK70" s="0" t="n">
        <v>9.7001</v>
      </c>
      <c r="DL70" s="0" t="n">
        <v>10.7668</v>
      </c>
      <c r="DM70" s="0" t="n">
        <v>14.4306</v>
      </c>
      <c r="DN70" s="0" t="n">
        <v>17.6472</v>
      </c>
      <c r="DO70" s="0" t="n">
        <v>18.1966</v>
      </c>
      <c r="DP70" s="0" t="n">
        <v>19.2129</v>
      </c>
      <c r="DQ70" s="0" t="n">
        <v>18.3844</v>
      </c>
      <c r="DR70" s="0" t="n">
        <v>19.8164</v>
      </c>
      <c r="DS70" s="0" t="n">
        <v>17.7051</v>
      </c>
      <c r="DT70" s="0" t="n">
        <v>18.3886</v>
      </c>
      <c r="DU70" s="0" t="n">
        <v>15.1259</v>
      </c>
      <c r="DV70" s="0" t="n">
        <v>14.9506</v>
      </c>
      <c r="DW70" s="0" t="n">
        <v>12.8695</v>
      </c>
      <c r="DX70" s="0" t="n">
        <v>11.1701</v>
      </c>
      <c r="DY70" s="0" t="n">
        <v>8.8048</v>
      </c>
      <c r="DZ70" s="0" t="n">
        <v>6.7228</v>
      </c>
      <c r="EA70" s="0" t="n">
        <v>6.5618</v>
      </c>
      <c r="EB70" s="0" t="n">
        <v>5.4522</v>
      </c>
      <c r="EC70" s="0" t="n">
        <v>3.8485</v>
      </c>
      <c r="ED70" s="0" t="n">
        <v>3.8864</v>
      </c>
      <c r="EE70" s="0" t="n">
        <v>3.0407</v>
      </c>
      <c r="EF70" s="0" t="n">
        <v>2.4387</v>
      </c>
      <c r="EG70" s="0" t="n">
        <v>2.2977</v>
      </c>
      <c r="EH70" s="0" t="n">
        <v>2.2161</v>
      </c>
      <c r="EI70" s="0" t="n">
        <v>0.7653</v>
      </c>
      <c r="EJ70" s="0" t="n">
        <v>0.7304</v>
      </c>
      <c r="EK70" s="0" t="n">
        <v>0.7219</v>
      </c>
      <c r="EL70" s="0" t="n">
        <v>1.056</v>
      </c>
      <c r="EM70" s="0" t="n">
        <v>1.0516</v>
      </c>
      <c r="EN70" s="0" t="n">
        <v>0.5411</v>
      </c>
      <c r="EO70" s="0" t="n">
        <v>0.5237</v>
      </c>
      <c r="EP70" s="0" t="n">
        <v>0.2126</v>
      </c>
      <c r="EQ70" s="0" t="n">
        <v>0.2365</v>
      </c>
      <c r="ER70" s="0" t="n">
        <v>0.5457</v>
      </c>
      <c r="ES70" s="0" t="n">
        <v>0.1763</v>
      </c>
      <c r="ET70" s="0" t="n">
        <v>0.3822</v>
      </c>
      <c r="EU70" s="0" t="n">
        <v>0.4392</v>
      </c>
      <c r="EV70" s="0" t="n">
        <v>0.1155</v>
      </c>
      <c r="EW70" s="0" t="n">
        <v>0.5524</v>
      </c>
      <c r="EX70" s="0" t="n">
        <v>0.1262</v>
      </c>
      <c r="EY70" s="0" t="n">
        <v>0.0458</v>
      </c>
      <c r="EZ70" s="0" t="n">
        <v>0.081</v>
      </c>
      <c r="FA70" s="0" t="n">
        <v>0.095</v>
      </c>
      <c r="FB70" s="0" t="n">
        <v>0.1159</v>
      </c>
      <c r="FC70" s="0" t="n">
        <v>0.0666</v>
      </c>
      <c r="FD70" s="0" t="n">
        <v>0.0531</v>
      </c>
      <c r="FE70" s="0" t="n">
        <v>0.2983</v>
      </c>
      <c r="FF70" s="0" t="n">
        <v>0.1621</v>
      </c>
      <c r="FG70" s="0" t="n">
        <v>0.1753</v>
      </c>
      <c r="FH70" s="0" t="n">
        <v>0.0078</v>
      </c>
      <c r="FI70" s="0" t="n">
        <v>0.081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0</v>
      </c>
      <c r="FO70" s="0" t="n">
        <v>0</v>
      </c>
      <c r="FP70" s="0" t="n">
        <v>0</v>
      </c>
    </row>
    <row r="71" customFormat="false" ht="13.8" hidden="false" customHeight="false" outlineLevel="0" collapsed="false">
      <c r="A71" s="2" t="s">
        <v>308</v>
      </c>
      <c r="B71" s="0" t="s">
        <v>173</v>
      </c>
      <c r="C71" s="0" t="n">
        <v>72</v>
      </c>
      <c r="D71" s="0" t="s">
        <v>309</v>
      </c>
      <c r="E71" s="0" t="e">
        <f aca="false">VLOOKUP(A71,[1]RHIZOMES!$A$1:$B$1048576,2,0)</f>
        <v>#N/A</v>
      </c>
      <c r="F71" s="0" t="e">
        <f aca="false">VLOOKUP(A71,[1]ROOT!$A$1:$C$1048576,3,0)</f>
        <v>#N/A</v>
      </c>
      <c r="G71" s="0" t="n">
        <v>3415.8753</v>
      </c>
      <c r="H71" s="0" t="n">
        <v>367.1418</v>
      </c>
      <c r="I71" s="0" t="n">
        <v>1153.41</v>
      </c>
      <c r="J71" s="0" t="n">
        <v>0.948314285714286</v>
      </c>
      <c r="K71" s="0" t="n">
        <v>0.0127</v>
      </c>
      <c r="L71" s="0" t="n">
        <v>11.8839</v>
      </c>
      <c r="M71" s="0" t="n">
        <v>22.7393</v>
      </c>
      <c r="N71" s="0" t="n">
        <v>100.5585</v>
      </c>
      <c r="O71" s="0" t="n">
        <v>131.5899</v>
      </c>
      <c r="P71" s="0" t="n">
        <v>126.3449</v>
      </c>
      <c r="Q71" s="0" t="n">
        <v>295.8348</v>
      </c>
      <c r="R71" s="0" t="n">
        <v>183.3476</v>
      </c>
      <c r="S71" s="0" t="n">
        <v>178.5705</v>
      </c>
      <c r="T71" s="0" t="n">
        <v>160.3564</v>
      </c>
      <c r="U71" s="0" t="n">
        <v>217.7976</v>
      </c>
      <c r="V71" s="0" t="n">
        <v>94.4192</v>
      </c>
      <c r="W71" s="0" t="n">
        <v>142.4224</v>
      </c>
      <c r="X71" s="0" t="n">
        <v>90.3108</v>
      </c>
      <c r="Y71" s="0" t="n">
        <v>62.5252</v>
      </c>
      <c r="Z71" s="0" t="n">
        <v>84.9919</v>
      </c>
      <c r="AA71" s="0" t="n">
        <v>92.0601</v>
      </c>
      <c r="AB71" s="0" t="n">
        <v>82.2909</v>
      </c>
      <c r="AC71" s="0" t="n">
        <v>58.8468</v>
      </c>
      <c r="AD71" s="0" t="n">
        <v>69.887</v>
      </c>
      <c r="AE71" s="0" t="n">
        <v>55.2871</v>
      </c>
      <c r="AF71" s="0" t="n">
        <v>74.3911</v>
      </c>
      <c r="AG71" s="0" t="n">
        <v>35.519</v>
      </c>
      <c r="AH71" s="0" t="n">
        <v>47.4277</v>
      </c>
      <c r="AI71" s="0" t="n">
        <v>54.277</v>
      </c>
      <c r="AJ71" s="0" t="n">
        <v>38.3338</v>
      </c>
      <c r="AK71" s="0" t="n">
        <v>47.2767</v>
      </c>
      <c r="AL71" s="0" t="n">
        <v>32.2619</v>
      </c>
      <c r="AM71" s="0" t="n">
        <v>34.5611</v>
      </c>
      <c r="AN71" s="0" t="n">
        <v>43.2122</v>
      </c>
      <c r="AO71" s="0" t="n">
        <v>40.0061</v>
      </c>
      <c r="AP71" s="0" t="n">
        <v>39.5021</v>
      </c>
      <c r="AQ71" s="0" t="n">
        <v>38.7778</v>
      </c>
      <c r="AR71" s="0" t="n">
        <v>41.4866</v>
      </c>
      <c r="AS71" s="0" t="n">
        <v>33.9608</v>
      </c>
      <c r="AT71" s="0" t="n">
        <v>35.7207</v>
      </c>
      <c r="AU71" s="0" t="n">
        <v>38.7817</v>
      </c>
      <c r="AV71" s="0" t="n">
        <v>21.2874</v>
      </c>
      <c r="AW71" s="0" t="n">
        <v>26.0289</v>
      </c>
      <c r="AX71" s="0" t="n">
        <v>35.3752</v>
      </c>
      <c r="AY71" s="0" t="n">
        <v>24.3008</v>
      </c>
      <c r="AZ71" s="0" t="n">
        <v>32.0795</v>
      </c>
      <c r="BA71" s="0" t="n">
        <v>20.2044</v>
      </c>
      <c r="BB71" s="0" t="n">
        <v>43.1326</v>
      </c>
      <c r="BC71" s="0" t="n">
        <v>30.7978</v>
      </c>
      <c r="BD71" s="0" t="n">
        <v>25.9526</v>
      </c>
      <c r="BE71" s="0" t="n">
        <v>19.3188</v>
      </c>
      <c r="BF71" s="0" t="n">
        <v>18.386</v>
      </c>
      <c r="BG71" s="0" t="n">
        <v>17.8057</v>
      </c>
      <c r="BH71" s="0" t="n">
        <v>22.9681</v>
      </c>
      <c r="BI71" s="0" t="n">
        <v>16.5449</v>
      </c>
      <c r="BJ71" s="0" t="n">
        <v>14.0519</v>
      </c>
      <c r="BK71" s="0" t="n">
        <v>19.1758</v>
      </c>
      <c r="BL71" s="0" t="n">
        <v>11.5608</v>
      </c>
      <c r="BM71" s="0" t="n">
        <v>13.297</v>
      </c>
      <c r="BN71" s="0" t="n">
        <v>11.3704</v>
      </c>
      <c r="BO71" s="0" t="n">
        <v>5.9249</v>
      </c>
      <c r="BP71" s="0" t="n">
        <v>6.4153</v>
      </c>
      <c r="BQ71" s="0" t="n">
        <v>5.5426</v>
      </c>
      <c r="BR71" s="0" t="n">
        <v>5.6868</v>
      </c>
      <c r="BS71" s="0" t="n">
        <v>5.1713</v>
      </c>
      <c r="BT71" s="0" t="n">
        <v>2.6802</v>
      </c>
      <c r="BU71" s="0" t="n">
        <v>2.2427</v>
      </c>
      <c r="BV71" s="0" t="n">
        <v>3.2652</v>
      </c>
      <c r="BW71" s="0" t="n">
        <v>2.6978</v>
      </c>
      <c r="BX71" s="0" t="n">
        <v>2.0802</v>
      </c>
      <c r="BY71" s="0" t="n">
        <v>1.2533</v>
      </c>
      <c r="BZ71" s="0" t="n">
        <v>1.7054</v>
      </c>
      <c r="CA71" s="0" t="n">
        <v>1.5141</v>
      </c>
      <c r="CB71" s="0" t="n">
        <v>1.436</v>
      </c>
      <c r="CC71" s="0" t="n">
        <v>0.6151</v>
      </c>
      <c r="CD71" s="0" t="n">
        <v>0.6428</v>
      </c>
      <c r="CE71" s="0" t="n">
        <v>0.6225</v>
      </c>
      <c r="CF71" s="0" t="n">
        <v>0.7113</v>
      </c>
      <c r="CG71" s="0" t="n">
        <v>0.7754</v>
      </c>
      <c r="CH71" s="0" t="n">
        <v>0.4039</v>
      </c>
      <c r="CI71" s="0" t="n">
        <v>0.2672</v>
      </c>
      <c r="CJ71" s="0" t="n">
        <v>0.1423</v>
      </c>
      <c r="CK71" s="0" t="n">
        <v>0.392</v>
      </c>
      <c r="CL71" s="0" t="n">
        <v>0.0867</v>
      </c>
      <c r="CM71" s="0" t="n">
        <v>1.8118</v>
      </c>
      <c r="CN71" s="0" t="n">
        <v>0.0002</v>
      </c>
      <c r="CO71" s="0" t="n">
        <v>0.3262</v>
      </c>
      <c r="CP71" s="0" t="n">
        <v>0.8766</v>
      </c>
      <c r="CQ71" s="0" t="n">
        <v>5.6882</v>
      </c>
      <c r="CR71" s="0" t="n">
        <v>9.3756</v>
      </c>
      <c r="CS71" s="0" t="n">
        <v>10.6536</v>
      </c>
      <c r="CT71" s="0" t="n">
        <v>29.9393</v>
      </c>
      <c r="CU71" s="0" t="n">
        <v>21.812</v>
      </c>
      <c r="CV71" s="0" t="n">
        <v>23.7835</v>
      </c>
      <c r="CW71" s="0" t="n">
        <v>23.5307</v>
      </c>
      <c r="CX71" s="0" t="n">
        <v>36.2093</v>
      </c>
      <c r="CY71" s="0" t="n">
        <v>17.1581</v>
      </c>
      <c r="CZ71" s="0" t="n">
        <v>27.8906</v>
      </c>
      <c r="DA71" s="0" t="n">
        <v>19.4928</v>
      </c>
      <c r="DB71" s="0" t="n">
        <v>14.1788</v>
      </c>
      <c r="DC71" s="0" t="n">
        <v>20.5783</v>
      </c>
      <c r="DD71" s="0" t="n">
        <v>23.7789</v>
      </c>
      <c r="DE71" s="0" t="n">
        <v>22.7657</v>
      </c>
      <c r="DF71" s="0" t="n">
        <v>17.111</v>
      </c>
      <c r="DG71" s="0" t="n">
        <v>21.3865</v>
      </c>
      <c r="DH71" s="0" t="n">
        <v>17.7161</v>
      </c>
      <c r="DI71" s="0" t="n">
        <v>25.2393</v>
      </c>
      <c r="DJ71" s="0" t="n">
        <v>12.6804</v>
      </c>
      <c r="DK71" s="0" t="n">
        <v>17.4175</v>
      </c>
      <c r="DL71" s="0" t="n">
        <v>20.9294</v>
      </c>
      <c r="DM71" s="0" t="n">
        <v>15.3361</v>
      </c>
      <c r="DN71" s="0" t="n">
        <v>19.7175</v>
      </c>
      <c r="DO71" s="0" t="n">
        <v>13.9543</v>
      </c>
      <c r="DP71" s="0" t="n">
        <v>15.4264</v>
      </c>
      <c r="DQ71" s="0" t="n">
        <v>19.9892</v>
      </c>
      <c r="DR71" s="0" t="n">
        <v>19.2441</v>
      </c>
      <c r="DS71" s="0" t="n">
        <v>19.5565</v>
      </c>
      <c r="DT71" s="0" t="n">
        <v>19.754</v>
      </c>
      <c r="DU71" s="0" t="n">
        <v>21.8049</v>
      </c>
      <c r="DV71" s="0" t="n">
        <v>18.3476</v>
      </c>
      <c r="DW71" s="0" t="n">
        <v>19.8545</v>
      </c>
      <c r="DX71" s="0" t="n">
        <v>22.267</v>
      </c>
      <c r="DY71" s="0" t="n">
        <v>12.5822</v>
      </c>
      <c r="DZ71" s="0" t="n">
        <v>15.6788</v>
      </c>
      <c r="EA71" s="0" t="n">
        <v>21.9581</v>
      </c>
      <c r="EB71" s="0" t="n">
        <v>15.4921</v>
      </c>
      <c r="EC71" s="0" t="n">
        <v>20.9697</v>
      </c>
      <c r="ED71" s="0" t="n">
        <v>13.4228</v>
      </c>
      <c r="EE71" s="0" t="n">
        <v>29.3695</v>
      </c>
      <c r="EF71" s="0" t="n">
        <v>21.5907</v>
      </c>
      <c r="EG71" s="0" t="n">
        <v>18.6256</v>
      </c>
      <c r="EH71" s="0" t="n">
        <v>14.121</v>
      </c>
      <c r="EI71" s="0" t="n">
        <v>13.6755</v>
      </c>
      <c r="EJ71" s="0" t="n">
        <v>13.5524</v>
      </c>
      <c r="EK71" s="0" t="n">
        <v>17.8702</v>
      </c>
      <c r="EL71" s="0" t="n">
        <v>13.1243</v>
      </c>
      <c r="EM71" s="0" t="n">
        <v>11.3662</v>
      </c>
      <c r="EN71" s="0" t="n">
        <v>15.809</v>
      </c>
      <c r="EO71" s="0" t="n">
        <v>9.7271</v>
      </c>
      <c r="EP71" s="0" t="n">
        <v>11.3689</v>
      </c>
      <c r="EQ71" s="0" t="n">
        <v>9.9157</v>
      </c>
      <c r="ER71" s="0" t="n">
        <v>5.2593</v>
      </c>
      <c r="ES71" s="0" t="n">
        <v>5.7853</v>
      </c>
      <c r="ET71" s="0" t="n">
        <v>5.0813</v>
      </c>
      <c r="EU71" s="0" t="n">
        <v>5.3182</v>
      </c>
      <c r="EV71" s="0" t="n">
        <v>4.9203</v>
      </c>
      <c r="EW71" s="0" t="n">
        <v>2.5934</v>
      </c>
      <c r="EX71" s="0" t="n">
        <v>2.2001</v>
      </c>
      <c r="EY71" s="0" t="n">
        <v>3.2509</v>
      </c>
      <c r="EZ71" s="0" t="n">
        <v>2.7361</v>
      </c>
      <c r="FA71" s="0" t="n">
        <v>2.1441</v>
      </c>
      <c r="FB71" s="0" t="n">
        <v>1.3052</v>
      </c>
      <c r="FC71" s="0" t="n">
        <v>1.8052</v>
      </c>
      <c r="FD71" s="0" t="n">
        <v>1.6321</v>
      </c>
      <c r="FE71" s="0" t="n">
        <v>1.5731</v>
      </c>
      <c r="FF71" s="0" t="n">
        <v>0.683</v>
      </c>
      <c r="FG71" s="0" t="n">
        <v>0.7206</v>
      </c>
      <c r="FH71" s="0" t="n">
        <v>0.7107</v>
      </c>
      <c r="FI71" s="0" t="n">
        <v>0.824</v>
      </c>
      <c r="FJ71" s="0" t="n">
        <v>0.9111</v>
      </c>
      <c r="FK71" s="0" t="n">
        <v>0.4794</v>
      </c>
      <c r="FL71" s="0" t="n">
        <v>0.3205</v>
      </c>
      <c r="FM71" s="0" t="n">
        <v>0.1731</v>
      </c>
      <c r="FN71" s="0" t="n">
        <v>0.4828</v>
      </c>
      <c r="FO71" s="0" t="n">
        <v>0.1087</v>
      </c>
      <c r="FP71" s="0" t="n">
        <v>2.3811</v>
      </c>
    </row>
    <row r="72" customFormat="false" ht="13.8" hidden="false" customHeight="false" outlineLevel="0" collapsed="false">
      <c r="A72" s="2" t="s">
        <v>310</v>
      </c>
      <c r="B72" s="0" t="s">
        <v>199</v>
      </c>
      <c r="C72" s="0" t="s">
        <v>200</v>
      </c>
      <c r="D72" s="0" t="s">
        <v>201</v>
      </c>
      <c r="G72" s="0" t="n">
        <v>2702.565</v>
      </c>
      <c r="H72" s="0" t="n">
        <v>315.6737</v>
      </c>
      <c r="I72" s="0" t="n">
        <v>991.7182</v>
      </c>
      <c r="J72" s="0" t="n">
        <v>1.18182</v>
      </c>
      <c r="K72" s="0" t="n">
        <v>0.1603</v>
      </c>
      <c r="L72" s="0" t="n">
        <v>22.6299</v>
      </c>
      <c r="M72" s="0" t="n">
        <v>31.3978</v>
      </c>
      <c r="N72" s="0" t="n">
        <v>106.0033</v>
      </c>
      <c r="O72" s="0" t="n">
        <v>144.5021</v>
      </c>
      <c r="P72" s="0" t="n">
        <v>156.3175</v>
      </c>
      <c r="Q72" s="0" t="n">
        <v>216.8892</v>
      </c>
      <c r="R72" s="0" t="n">
        <v>127.1736</v>
      </c>
      <c r="S72" s="0" t="n">
        <v>92.6908</v>
      </c>
      <c r="T72" s="0" t="n">
        <v>81.0243</v>
      </c>
      <c r="U72" s="0" t="n">
        <v>97.6958</v>
      </c>
      <c r="V72" s="0" t="n">
        <v>45.119</v>
      </c>
      <c r="W72" s="0" t="n">
        <v>63.7809</v>
      </c>
      <c r="X72" s="0" t="n">
        <v>41.67</v>
      </c>
      <c r="Y72" s="0" t="n">
        <v>27.8037</v>
      </c>
      <c r="Z72" s="0" t="n">
        <v>26.8427</v>
      </c>
      <c r="AA72" s="0" t="n">
        <v>43.1518</v>
      </c>
      <c r="AB72" s="0" t="n">
        <v>39.3221</v>
      </c>
      <c r="AC72" s="0" t="n">
        <v>25.9502</v>
      </c>
      <c r="AD72" s="0" t="n">
        <v>38.1227</v>
      </c>
      <c r="AE72" s="0" t="n">
        <v>27.2162</v>
      </c>
      <c r="AF72" s="0" t="n">
        <v>42.2858</v>
      </c>
      <c r="AG72" s="0" t="n">
        <v>22.2194</v>
      </c>
      <c r="AH72" s="0" t="n">
        <v>41.7371</v>
      </c>
      <c r="AI72" s="0" t="n">
        <v>52.3392</v>
      </c>
      <c r="AJ72" s="0" t="n">
        <v>28.6399</v>
      </c>
      <c r="AK72" s="0" t="n">
        <v>55.1435</v>
      </c>
      <c r="AL72" s="0" t="n">
        <v>40.452</v>
      </c>
      <c r="AM72" s="0" t="n">
        <v>46.8612</v>
      </c>
      <c r="AN72" s="0" t="n">
        <v>60.0854</v>
      </c>
      <c r="AO72" s="0" t="n">
        <v>76.0008</v>
      </c>
      <c r="AP72" s="0" t="n">
        <v>55.8071</v>
      </c>
      <c r="AQ72" s="0" t="n">
        <v>76.8698</v>
      </c>
      <c r="AR72" s="0" t="n">
        <v>70.8185</v>
      </c>
      <c r="AS72" s="0" t="n">
        <v>54.2308</v>
      </c>
      <c r="AT72" s="0" t="n">
        <v>71.8704</v>
      </c>
      <c r="AU72" s="0" t="n">
        <v>63.2243</v>
      </c>
      <c r="AV72" s="0" t="n">
        <v>38.5168</v>
      </c>
      <c r="AW72" s="0" t="n">
        <v>39.6524</v>
      </c>
      <c r="AX72" s="0" t="n">
        <v>62.473</v>
      </c>
      <c r="AY72" s="0" t="n">
        <v>32.5436</v>
      </c>
      <c r="AZ72" s="0" t="n">
        <v>37.3203</v>
      </c>
      <c r="BA72" s="0" t="n">
        <v>16.2157</v>
      </c>
      <c r="BB72" s="0" t="n">
        <v>34.7639</v>
      </c>
      <c r="BC72" s="0" t="n">
        <v>21.0543</v>
      </c>
      <c r="BD72" s="0" t="n">
        <v>12.2696</v>
      </c>
      <c r="BE72" s="0" t="n">
        <v>17.0294</v>
      </c>
      <c r="BF72" s="0" t="n">
        <v>10.8266</v>
      </c>
      <c r="BG72" s="0" t="n">
        <v>11.1281</v>
      </c>
      <c r="BH72" s="0" t="n">
        <v>10.3269</v>
      </c>
      <c r="BI72" s="0" t="n">
        <v>5.1593</v>
      </c>
      <c r="BJ72" s="0" t="n">
        <v>4.1011</v>
      </c>
      <c r="BK72" s="0" t="n">
        <v>6.8906</v>
      </c>
      <c r="BL72" s="0" t="n">
        <v>2.4837</v>
      </c>
      <c r="BM72" s="0" t="n">
        <v>3.368</v>
      </c>
      <c r="BN72" s="0" t="n">
        <v>3.1933</v>
      </c>
      <c r="BO72" s="0" t="n">
        <v>1.2803</v>
      </c>
      <c r="BP72" s="0" t="n">
        <v>1.8162</v>
      </c>
      <c r="BQ72" s="0" t="n">
        <v>2.4167</v>
      </c>
      <c r="BR72" s="0" t="n">
        <v>1.7248</v>
      </c>
      <c r="BS72" s="0" t="n">
        <v>1.6493</v>
      </c>
      <c r="BT72" s="0" t="n">
        <v>1.1723</v>
      </c>
      <c r="BU72" s="0" t="n">
        <v>0.8417</v>
      </c>
      <c r="BV72" s="0" t="n">
        <v>1.2669</v>
      </c>
      <c r="BW72" s="0" t="n">
        <v>1.0854</v>
      </c>
      <c r="BX72" s="0" t="n">
        <v>0.9971</v>
      </c>
      <c r="BY72" s="0" t="n">
        <v>0.7609</v>
      </c>
      <c r="BZ72" s="0" t="n">
        <v>0.2897</v>
      </c>
      <c r="CA72" s="0" t="n">
        <v>0.0846</v>
      </c>
      <c r="CB72" s="0" t="n">
        <v>0.5154</v>
      </c>
      <c r="CC72" s="0" t="n">
        <v>0.1877</v>
      </c>
      <c r="CD72" s="0" t="n">
        <v>0.6072</v>
      </c>
      <c r="CE72" s="0" t="n">
        <v>0.0137</v>
      </c>
      <c r="CF72" s="0" t="n">
        <v>0.1671</v>
      </c>
      <c r="CG72" s="0" t="n">
        <v>0.9049</v>
      </c>
      <c r="CH72" s="0" t="n">
        <v>0.0227</v>
      </c>
      <c r="CI72" s="0" t="n">
        <v>0</v>
      </c>
      <c r="CJ72" s="0" t="n">
        <v>0</v>
      </c>
      <c r="CK72" s="0" t="n">
        <v>0.1148</v>
      </c>
      <c r="CL72" s="0" t="n">
        <v>0.012</v>
      </c>
      <c r="CM72" s="0" t="n">
        <v>0.6547</v>
      </c>
      <c r="CN72" s="0" t="n">
        <v>0.002</v>
      </c>
      <c r="CO72" s="0" t="n">
        <v>0.596</v>
      </c>
      <c r="CP72" s="0" t="n">
        <v>1.2179</v>
      </c>
      <c r="CQ72" s="0" t="n">
        <v>5.9942</v>
      </c>
      <c r="CR72" s="0" t="n">
        <v>10.4903</v>
      </c>
      <c r="CS72" s="0" t="n">
        <v>13.496</v>
      </c>
      <c r="CT72" s="0" t="n">
        <v>21.8793</v>
      </c>
      <c r="CU72" s="0" t="n">
        <v>15.0641</v>
      </c>
      <c r="CV72" s="0" t="n">
        <v>12.3543</v>
      </c>
      <c r="CW72" s="0" t="n">
        <v>11.8875</v>
      </c>
      <c r="CX72" s="0" t="n">
        <v>16.2254</v>
      </c>
      <c r="CY72" s="0" t="n">
        <v>8.2139</v>
      </c>
      <c r="CZ72" s="0" t="n">
        <v>12.4938</v>
      </c>
      <c r="DA72" s="0" t="n">
        <v>8.9741</v>
      </c>
      <c r="DB72" s="0" t="n">
        <v>6.31</v>
      </c>
      <c r="DC72" s="0" t="n">
        <v>6.5011</v>
      </c>
      <c r="DD72" s="0" t="n">
        <v>11.1325</v>
      </c>
      <c r="DE72" s="0" t="n">
        <v>10.8642</v>
      </c>
      <c r="DF72" s="0" t="n">
        <v>7.547</v>
      </c>
      <c r="DG72" s="0" t="n">
        <v>11.6835</v>
      </c>
      <c r="DH72" s="0" t="n">
        <v>8.7232</v>
      </c>
      <c r="DI72" s="0" t="n">
        <v>14.341</v>
      </c>
      <c r="DJ72" s="0" t="n">
        <v>7.9449</v>
      </c>
      <c r="DK72" s="0" t="n">
        <v>15.3263</v>
      </c>
      <c r="DL72" s="0" t="n">
        <v>20.2545</v>
      </c>
      <c r="DM72" s="0" t="n">
        <v>11.4572</v>
      </c>
      <c r="DN72" s="0" t="n">
        <v>22.9568</v>
      </c>
      <c r="DO72" s="0" t="n">
        <v>17.5363</v>
      </c>
      <c r="DP72" s="0" t="n">
        <v>20.8896</v>
      </c>
      <c r="DQ72" s="0" t="n">
        <v>27.8073</v>
      </c>
      <c r="DR72" s="0" t="n">
        <v>36.6038</v>
      </c>
      <c r="DS72" s="0" t="n">
        <v>27.5152</v>
      </c>
      <c r="DT72" s="0" t="n">
        <v>39.1158</v>
      </c>
      <c r="DU72" s="0" t="n">
        <v>37.279</v>
      </c>
      <c r="DV72" s="0" t="n">
        <v>29.3334</v>
      </c>
      <c r="DW72" s="0" t="n">
        <v>39.9046</v>
      </c>
      <c r="DX72" s="0" t="n">
        <v>36.2953</v>
      </c>
      <c r="DY72" s="0" t="n">
        <v>22.7859</v>
      </c>
      <c r="DZ72" s="0" t="n">
        <v>23.8906</v>
      </c>
      <c r="EA72" s="0" t="n">
        <v>38.7495</v>
      </c>
      <c r="EB72" s="0" t="n">
        <v>20.7302</v>
      </c>
      <c r="EC72" s="0" t="n">
        <v>24.3645</v>
      </c>
      <c r="ED72" s="0" t="n">
        <v>10.778</v>
      </c>
      <c r="EE72" s="0" t="n">
        <v>23.6567</v>
      </c>
      <c r="EF72" s="0" t="n">
        <v>14.7735</v>
      </c>
      <c r="EG72" s="0" t="n">
        <v>8.7998</v>
      </c>
      <c r="EH72" s="0" t="n">
        <v>12.4285</v>
      </c>
      <c r="EI72" s="0" t="n">
        <v>8.0685</v>
      </c>
      <c r="EJ72" s="0" t="n">
        <v>8.4507</v>
      </c>
      <c r="EK72" s="0" t="n">
        <v>8.0374</v>
      </c>
      <c r="EL72" s="0" t="n">
        <v>4.0806</v>
      </c>
      <c r="EM72" s="0" t="n">
        <v>3.3123</v>
      </c>
      <c r="EN72" s="0" t="n">
        <v>5.6874</v>
      </c>
      <c r="EO72" s="0" t="n">
        <v>2.0908</v>
      </c>
      <c r="EP72" s="0" t="n">
        <v>2.8793</v>
      </c>
      <c r="EQ72" s="0" t="n">
        <v>2.7888</v>
      </c>
      <c r="ER72" s="0" t="n">
        <v>1.1358</v>
      </c>
      <c r="ES72" s="0" t="n">
        <v>1.6359</v>
      </c>
      <c r="ET72" s="0" t="n">
        <v>2.2192</v>
      </c>
      <c r="EU72" s="0" t="n">
        <v>1.6111</v>
      </c>
      <c r="EV72" s="0" t="n">
        <v>1.5662</v>
      </c>
      <c r="EW72" s="0" t="n">
        <v>1.1314</v>
      </c>
      <c r="EX72" s="0" t="n">
        <v>0.8255</v>
      </c>
      <c r="EY72" s="0" t="n">
        <v>1.2596</v>
      </c>
      <c r="EZ72" s="0" t="n">
        <v>1.1023</v>
      </c>
      <c r="FA72" s="0" t="n">
        <v>1.0285</v>
      </c>
      <c r="FB72" s="0" t="n">
        <v>0.7939</v>
      </c>
      <c r="FC72" s="0" t="n">
        <v>0.3067</v>
      </c>
      <c r="FD72" s="0" t="n">
        <v>0.091</v>
      </c>
      <c r="FE72" s="0" t="n">
        <v>0.562</v>
      </c>
      <c r="FF72" s="0" t="n">
        <v>0.2074</v>
      </c>
      <c r="FG72" s="0" t="n">
        <v>0.6815</v>
      </c>
      <c r="FH72" s="0" t="n">
        <v>0.0157</v>
      </c>
      <c r="FI72" s="0" t="n">
        <v>0.1929</v>
      </c>
      <c r="FJ72" s="0" t="n">
        <v>1.0597</v>
      </c>
      <c r="FK72" s="0" t="n">
        <v>0.027</v>
      </c>
      <c r="FL72" s="0" t="n">
        <v>0</v>
      </c>
      <c r="FM72" s="0" t="n">
        <v>0</v>
      </c>
      <c r="FN72" s="0" t="n">
        <v>0.1423</v>
      </c>
      <c r="FO72" s="0" t="n">
        <v>0.033</v>
      </c>
      <c r="FP72" s="0" t="n">
        <v>0.889</v>
      </c>
    </row>
    <row r="73" customFormat="false" ht="13.8" hidden="false" customHeight="false" outlineLevel="0" collapsed="false">
      <c r="A73" s="2" t="s">
        <v>311</v>
      </c>
      <c r="B73" s="0" t="s">
        <v>176</v>
      </c>
      <c r="C73" s="0" t="n">
        <v>303</v>
      </c>
      <c r="D73" s="0" t="s">
        <v>312</v>
      </c>
      <c r="F73" s="0" t="n">
        <v>5.0615</v>
      </c>
      <c r="G73" s="0" t="n">
        <v>7746.5007</v>
      </c>
      <c r="H73" s="0" t="n">
        <v>444.9028</v>
      </c>
      <c r="I73" s="0" t="n">
        <v>1397.7034</v>
      </c>
      <c r="J73" s="0" t="n">
        <v>0.519225</v>
      </c>
      <c r="K73" s="0" t="n">
        <v>0</v>
      </c>
      <c r="L73" s="0" t="n">
        <v>873.3021</v>
      </c>
      <c r="M73" s="0" t="n">
        <v>1219.6293</v>
      </c>
      <c r="N73" s="0" t="n">
        <v>906.8412</v>
      </c>
      <c r="O73" s="0" t="n">
        <v>2.7831</v>
      </c>
      <c r="P73" s="0" t="n">
        <v>851.5457</v>
      </c>
      <c r="Q73" s="0" t="n">
        <v>301.3722</v>
      </c>
      <c r="R73" s="0" t="n">
        <v>435.6507</v>
      </c>
      <c r="S73" s="0" t="n">
        <v>269.5747</v>
      </c>
      <c r="T73" s="0" t="n">
        <v>50.6171</v>
      </c>
      <c r="U73" s="0" t="n">
        <v>292.2408</v>
      </c>
      <c r="V73" s="0" t="n">
        <v>251.4421</v>
      </c>
      <c r="W73" s="0" t="n">
        <v>148.1271</v>
      </c>
      <c r="X73" s="0" t="n">
        <v>188.9714</v>
      </c>
      <c r="Y73" s="0" t="n">
        <v>149.1364</v>
      </c>
      <c r="Z73" s="0" t="n">
        <v>132.5165</v>
      </c>
      <c r="AA73" s="0" t="n">
        <v>92.6407</v>
      </c>
      <c r="AB73" s="0" t="n">
        <v>150.9505</v>
      </c>
      <c r="AC73" s="0" t="n">
        <v>54.8204</v>
      </c>
      <c r="AD73" s="0" t="n">
        <v>133.7455</v>
      </c>
      <c r="AE73" s="0" t="n">
        <v>69.9456</v>
      </c>
      <c r="AF73" s="0" t="n">
        <v>119.1187</v>
      </c>
      <c r="AG73" s="0" t="n">
        <v>45.2868</v>
      </c>
      <c r="AH73" s="0" t="n">
        <v>74.5182</v>
      </c>
      <c r="AI73" s="0" t="n">
        <v>80.62</v>
      </c>
      <c r="AJ73" s="0" t="n">
        <v>19.9192</v>
      </c>
      <c r="AK73" s="0" t="n">
        <v>82.3823</v>
      </c>
      <c r="AL73" s="0" t="n">
        <v>74.1447</v>
      </c>
      <c r="AM73" s="0" t="n">
        <v>37.7699</v>
      </c>
      <c r="AN73" s="0" t="n">
        <v>31.5861</v>
      </c>
      <c r="AO73" s="0" t="n">
        <v>69.9332</v>
      </c>
      <c r="AP73" s="0" t="n">
        <v>43.5225</v>
      </c>
      <c r="AQ73" s="0" t="n">
        <v>56.5455</v>
      </c>
      <c r="AR73" s="0" t="n">
        <v>37.3775</v>
      </c>
      <c r="AS73" s="0" t="n">
        <v>39.9508</v>
      </c>
      <c r="AT73" s="0" t="n">
        <v>61.4759</v>
      </c>
      <c r="AU73" s="0" t="n">
        <v>43.0206</v>
      </c>
      <c r="AV73" s="0" t="n">
        <v>4.2298</v>
      </c>
      <c r="AW73" s="0" t="n">
        <v>35.3059</v>
      </c>
      <c r="AX73" s="0" t="n">
        <v>35.2854</v>
      </c>
      <c r="AY73" s="0" t="n">
        <v>23.5902</v>
      </c>
      <c r="AZ73" s="0" t="n">
        <v>22.3292</v>
      </c>
      <c r="BA73" s="0" t="n">
        <v>17.3041</v>
      </c>
      <c r="BB73" s="0" t="n">
        <v>21.525</v>
      </c>
      <c r="BC73" s="0" t="n">
        <v>13.2432</v>
      </c>
      <c r="BD73" s="0" t="n">
        <v>7.8224</v>
      </c>
      <c r="BE73" s="0" t="n">
        <v>11.9259</v>
      </c>
      <c r="BF73" s="0" t="n">
        <v>2.4892</v>
      </c>
      <c r="BG73" s="0" t="n">
        <v>10.2217</v>
      </c>
      <c r="BH73" s="0" t="n">
        <v>7.8206</v>
      </c>
      <c r="BI73" s="0" t="n">
        <v>2.4768</v>
      </c>
      <c r="BJ73" s="0" t="n">
        <v>5.1577</v>
      </c>
      <c r="BK73" s="0" t="n">
        <v>4.8997</v>
      </c>
      <c r="BL73" s="0" t="n">
        <v>4.286</v>
      </c>
      <c r="BM73" s="0" t="n">
        <v>1.7829</v>
      </c>
      <c r="BN73" s="0" t="n">
        <v>3.0809</v>
      </c>
      <c r="BO73" s="0" t="n">
        <v>0.9943</v>
      </c>
      <c r="BP73" s="0" t="n">
        <v>2.2257</v>
      </c>
      <c r="BQ73" s="0" t="n">
        <v>1.6972</v>
      </c>
      <c r="BR73" s="0" t="n">
        <v>1.7748</v>
      </c>
      <c r="BS73" s="0" t="n">
        <v>1.9642</v>
      </c>
      <c r="BT73" s="0" t="n">
        <v>1.1786</v>
      </c>
      <c r="BU73" s="0" t="n">
        <v>0.121</v>
      </c>
      <c r="BV73" s="0" t="n">
        <v>0.8431</v>
      </c>
      <c r="BW73" s="0" t="n">
        <v>0.3718</v>
      </c>
      <c r="BX73" s="0" t="n">
        <v>0.8437</v>
      </c>
      <c r="BY73" s="0" t="n">
        <v>0.0572</v>
      </c>
      <c r="BZ73" s="0" t="n">
        <v>0.1968</v>
      </c>
      <c r="CA73" s="0" t="n">
        <v>0.1968</v>
      </c>
      <c r="CB73" s="0" t="n">
        <v>0.4566</v>
      </c>
      <c r="CC73" s="0" t="n">
        <v>0.0069</v>
      </c>
      <c r="CD73" s="0" t="n">
        <v>0.3108</v>
      </c>
      <c r="CE73" s="0" t="n">
        <v>0.46</v>
      </c>
      <c r="CF73" s="0" t="n">
        <v>0.055</v>
      </c>
      <c r="CG73" s="0" t="n">
        <v>0.045</v>
      </c>
      <c r="CH73" s="0" t="n">
        <v>0</v>
      </c>
      <c r="CI73" s="0" t="n">
        <v>0.0254</v>
      </c>
      <c r="CJ73" s="0" t="n">
        <v>0.1618</v>
      </c>
      <c r="CK73" s="0" t="n">
        <v>0.2035</v>
      </c>
      <c r="CL73" s="0" t="n">
        <v>0</v>
      </c>
      <c r="CM73" s="0" t="n">
        <v>1.349</v>
      </c>
      <c r="CN73" s="0" t="n">
        <v>0</v>
      </c>
      <c r="CO73" s="0" t="n">
        <v>18.7894</v>
      </c>
      <c r="CP73" s="0" t="n">
        <v>52.038</v>
      </c>
      <c r="CQ73" s="0" t="n">
        <v>55.4308</v>
      </c>
      <c r="CR73" s="0" t="n">
        <v>0.1923</v>
      </c>
      <c r="CS73" s="0" t="n">
        <v>70.9745</v>
      </c>
      <c r="CT73" s="0" t="n">
        <v>30.6225</v>
      </c>
      <c r="CU73" s="0" t="n">
        <v>50.8943</v>
      </c>
      <c r="CV73" s="0" t="n">
        <v>37.4327</v>
      </c>
      <c r="CW73" s="0" t="n">
        <v>7.3185</v>
      </c>
      <c r="CX73" s="0" t="n">
        <v>47.4946</v>
      </c>
      <c r="CY73" s="0" t="n">
        <v>45.9695</v>
      </c>
      <c r="CZ73" s="0" t="n">
        <v>29.3963</v>
      </c>
      <c r="DA73" s="0" t="n">
        <v>39.6463</v>
      </c>
      <c r="DB73" s="0" t="n">
        <v>33.8958</v>
      </c>
      <c r="DC73" s="0" t="n">
        <v>32.5185</v>
      </c>
      <c r="DD73" s="0" t="n">
        <v>23.6782</v>
      </c>
      <c r="DE73" s="0" t="n">
        <v>41.3952</v>
      </c>
      <c r="DF73" s="0" t="n">
        <v>15.8526</v>
      </c>
      <c r="DG73" s="0" t="n">
        <v>40.6454</v>
      </c>
      <c r="DH73" s="0" t="n">
        <v>22.4694</v>
      </c>
      <c r="DI73" s="0" t="n">
        <v>40.4348</v>
      </c>
      <c r="DJ73" s="0" t="n">
        <v>16.0721</v>
      </c>
      <c r="DK73" s="0" t="n">
        <v>27.5185</v>
      </c>
      <c r="DL73" s="0" t="n">
        <v>31.3741</v>
      </c>
      <c r="DM73" s="0" t="n">
        <v>7.928</v>
      </c>
      <c r="DN73" s="0" t="n">
        <v>34.2238</v>
      </c>
      <c r="DO73" s="0" t="n">
        <v>32.3124</v>
      </c>
      <c r="DP73" s="0" t="n">
        <v>17.1468</v>
      </c>
      <c r="DQ73" s="0" t="n">
        <v>14.5254</v>
      </c>
      <c r="DR73" s="0" t="n">
        <v>33.441</v>
      </c>
      <c r="DS73" s="0" t="n">
        <v>21.6123</v>
      </c>
      <c r="DT73" s="0" t="n">
        <v>28.943</v>
      </c>
      <c r="DU73" s="0" t="n">
        <v>19.6785</v>
      </c>
      <c r="DV73" s="0" t="n">
        <v>21.4688</v>
      </c>
      <c r="DW73" s="0" t="n">
        <v>34.1908</v>
      </c>
      <c r="DX73" s="0" t="n">
        <v>24.8333</v>
      </c>
      <c r="DY73" s="0" t="n">
        <v>2.5062</v>
      </c>
      <c r="DZ73" s="0" t="n">
        <v>21.1415</v>
      </c>
      <c r="EA73" s="0" t="n">
        <v>21.8682</v>
      </c>
      <c r="EB73" s="0" t="n">
        <v>15.0865</v>
      </c>
      <c r="EC73" s="0" t="n">
        <v>14.5474</v>
      </c>
      <c r="ED73" s="0" t="n">
        <v>11.5019</v>
      </c>
      <c r="EE73" s="0" t="n">
        <v>14.6858</v>
      </c>
      <c r="EF73" s="0" t="n">
        <v>9.2886</v>
      </c>
      <c r="EG73" s="0" t="n">
        <v>5.6018</v>
      </c>
      <c r="EH73" s="0" t="n">
        <v>8.729</v>
      </c>
      <c r="EI73" s="0" t="n">
        <v>1.8509</v>
      </c>
      <c r="EJ73" s="0" t="n">
        <v>7.7784</v>
      </c>
      <c r="EK73" s="0" t="n">
        <v>6.1171</v>
      </c>
      <c r="EL73" s="0" t="n">
        <v>1.9742</v>
      </c>
      <c r="EM73" s="0" t="n">
        <v>4.156</v>
      </c>
      <c r="EN73" s="0" t="n">
        <v>4.0354</v>
      </c>
      <c r="EO73" s="0" t="n">
        <v>3.6216</v>
      </c>
      <c r="EP73" s="0" t="n">
        <v>1.5257</v>
      </c>
      <c r="EQ73" s="0" t="n">
        <v>2.6914</v>
      </c>
      <c r="ER73" s="0" t="n">
        <v>0.883</v>
      </c>
      <c r="ES73" s="0" t="n">
        <v>2.0075</v>
      </c>
      <c r="ET73" s="0" t="n">
        <v>1.5606</v>
      </c>
      <c r="EU73" s="0" t="n">
        <v>1.6557</v>
      </c>
      <c r="EV73" s="0" t="n">
        <v>1.8653</v>
      </c>
      <c r="EW73" s="0" t="n">
        <v>1.1418</v>
      </c>
      <c r="EX73" s="0" t="n">
        <v>0.1193</v>
      </c>
      <c r="EY73" s="0" t="n">
        <v>0.8373</v>
      </c>
      <c r="EZ73" s="0" t="n">
        <v>0.3768</v>
      </c>
      <c r="FA73" s="0" t="n">
        <v>0.8719</v>
      </c>
      <c r="FB73" s="0" t="n">
        <v>0.0593</v>
      </c>
      <c r="FC73" s="0" t="n">
        <v>0.208</v>
      </c>
      <c r="FD73" s="0" t="n">
        <v>0.2123</v>
      </c>
      <c r="FE73" s="0" t="n">
        <v>0.5002</v>
      </c>
      <c r="FF73" s="0" t="n">
        <v>0.0076</v>
      </c>
      <c r="FG73" s="0" t="n">
        <v>0.3729</v>
      </c>
      <c r="FH73" s="0" t="n">
        <v>0.5227</v>
      </c>
      <c r="FI73" s="0" t="n">
        <v>0.0635</v>
      </c>
      <c r="FJ73" s="0" t="n">
        <v>0.053</v>
      </c>
      <c r="FK73" s="0" t="n">
        <v>0</v>
      </c>
      <c r="FL73" s="0" t="n">
        <v>0.0304</v>
      </c>
      <c r="FM73" s="0" t="n">
        <v>0.1963</v>
      </c>
      <c r="FN73" s="0" t="n">
        <v>0.2671</v>
      </c>
      <c r="FO73" s="0" t="n">
        <v>0</v>
      </c>
      <c r="FP73" s="0" t="n">
        <v>1.8853</v>
      </c>
    </row>
    <row r="74" customFormat="false" ht="13.8" hidden="false" customHeight="false" outlineLevel="0" collapsed="false">
      <c r="A74" s="2" t="s">
        <v>313</v>
      </c>
      <c r="B74" s="0" t="s">
        <v>173</v>
      </c>
      <c r="C74" s="0" t="n">
        <v>25</v>
      </c>
      <c r="D74" s="0" t="s">
        <v>314</v>
      </c>
      <c r="F74" s="0" t="n">
        <v>6.1158</v>
      </c>
      <c r="G74" s="0" t="n">
        <v>2544.9171</v>
      </c>
      <c r="H74" s="0" t="n">
        <v>233.0597</v>
      </c>
      <c r="I74" s="0" t="n">
        <v>732.1784</v>
      </c>
      <c r="J74" s="0" t="n">
        <v>0.8943</v>
      </c>
      <c r="K74" s="0" t="n">
        <v>0</v>
      </c>
      <c r="L74" s="0" t="n">
        <v>214.6407</v>
      </c>
      <c r="M74" s="0" t="n">
        <v>237.3105</v>
      </c>
      <c r="N74" s="0" t="n">
        <v>192.9122</v>
      </c>
      <c r="O74" s="0" t="n">
        <v>0.7456</v>
      </c>
      <c r="P74" s="0" t="n">
        <v>217.1995</v>
      </c>
      <c r="Q74" s="0" t="n">
        <v>98.7043</v>
      </c>
      <c r="R74" s="0" t="n">
        <v>128.4098</v>
      </c>
      <c r="S74" s="0" t="n">
        <v>74.7287</v>
      </c>
      <c r="T74" s="0" t="n">
        <v>14.8323</v>
      </c>
      <c r="U74" s="0" t="n">
        <v>62.5828</v>
      </c>
      <c r="V74" s="0" t="n">
        <v>56.4553</v>
      </c>
      <c r="W74" s="0" t="n">
        <v>41.6354</v>
      </c>
      <c r="X74" s="0" t="n">
        <v>56.2607</v>
      </c>
      <c r="Y74" s="0" t="n">
        <v>37.1356</v>
      </c>
      <c r="Z74" s="0" t="n">
        <v>42.5979</v>
      </c>
      <c r="AA74" s="0" t="n">
        <v>23.4311</v>
      </c>
      <c r="AB74" s="0" t="n">
        <v>43.6393</v>
      </c>
      <c r="AC74" s="0" t="n">
        <v>18.5164</v>
      </c>
      <c r="AD74" s="0" t="n">
        <v>36.9811</v>
      </c>
      <c r="AE74" s="0" t="n">
        <v>18.4618</v>
      </c>
      <c r="AF74" s="0" t="n">
        <v>33.6721</v>
      </c>
      <c r="AG74" s="0" t="n">
        <v>18.7159</v>
      </c>
      <c r="AH74" s="0" t="n">
        <v>32.3802</v>
      </c>
      <c r="AI74" s="0" t="n">
        <v>49.6004</v>
      </c>
      <c r="AJ74" s="0" t="n">
        <v>13.3207</v>
      </c>
      <c r="AK74" s="0" t="n">
        <v>42.982</v>
      </c>
      <c r="AL74" s="0" t="n">
        <v>40.7617</v>
      </c>
      <c r="AM74" s="0" t="n">
        <v>24.1282</v>
      </c>
      <c r="AN74" s="0" t="n">
        <v>19.745</v>
      </c>
      <c r="AO74" s="0" t="n">
        <v>40.3761</v>
      </c>
      <c r="AP74" s="0" t="n">
        <v>33.1211</v>
      </c>
      <c r="AQ74" s="0" t="n">
        <v>41.3293</v>
      </c>
      <c r="AR74" s="0" t="n">
        <v>28.8631</v>
      </c>
      <c r="AS74" s="0" t="n">
        <v>41.42</v>
      </c>
      <c r="AT74" s="0" t="n">
        <v>60.0943</v>
      </c>
      <c r="AU74" s="0" t="n">
        <v>55.9334</v>
      </c>
      <c r="AV74" s="0" t="n">
        <v>2.5402</v>
      </c>
      <c r="AW74" s="0" t="n">
        <v>53.2842</v>
      </c>
      <c r="AX74" s="0" t="n">
        <v>52.175</v>
      </c>
      <c r="AY74" s="0" t="n">
        <v>30.6699</v>
      </c>
      <c r="AZ74" s="0" t="n">
        <v>24.95</v>
      </c>
      <c r="BA74" s="0" t="n">
        <v>22.1732</v>
      </c>
      <c r="BB74" s="0" t="n">
        <v>30.9346</v>
      </c>
      <c r="BC74" s="0" t="n">
        <v>24.7921</v>
      </c>
      <c r="BD74" s="0" t="n">
        <v>13.3948</v>
      </c>
      <c r="BE74" s="0" t="n">
        <v>16.7915</v>
      </c>
      <c r="BF74" s="0" t="n">
        <v>5.765</v>
      </c>
      <c r="BG74" s="0" t="n">
        <v>18.4904</v>
      </c>
      <c r="BH74" s="0" t="n">
        <v>13.1126</v>
      </c>
      <c r="BI74" s="0" t="n">
        <v>5.4768</v>
      </c>
      <c r="BJ74" s="0" t="n">
        <v>6.1052</v>
      </c>
      <c r="BK74" s="0" t="n">
        <v>7.807</v>
      </c>
      <c r="BL74" s="0" t="n">
        <v>5.2521</v>
      </c>
      <c r="BM74" s="0" t="n">
        <v>3.0094</v>
      </c>
      <c r="BN74" s="0" t="n">
        <v>4.0677</v>
      </c>
      <c r="BO74" s="0" t="n">
        <v>0.5688</v>
      </c>
      <c r="BP74" s="0" t="n">
        <v>1.7801</v>
      </c>
      <c r="BQ74" s="0" t="n">
        <v>0.6405</v>
      </c>
      <c r="BR74" s="0" t="n">
        <v>1.6249</v>
      </c>
      <c r="BS74" s="0" t="n">
        <v>0.9681</v>
      </c>
      <c r="BT74" s="0" t="n">
        <v>1.0289</v>
      </c>
      <c r="BU74" s="0" t="n">
        <v>0.0989</v>
      </c>
      <c r="BV74" s="0" t="n">
        <v>0.3343</v>
      </c>
      <c r="BW74" s="0" t="n">
        <v>0.7427</v>
      </c>
      <c r="BX74" s="0" t="n">
        <v>0.0264</v>
      </c>
      <c r="BY74" s="0" t="n">
        <v>0.0872</v>
      </c>
      <c r="BZ74" s="0" t="n">
        <v>0.2349</v>
      </c>
      <c r="CA74" s="0" t="n">
        <v>0.398</v>
      </c>
      <c r="CB74" s="0" t="n">
        <v>0.0587</v>
      </c>
      <c r="CC74" s="0" t="n">
        <v>0.0338</v>
      </c>
      <c r="CD74" s="0" t="n">
        <v>0.2089</v>
      </c>
      <c r="CE74" s="0" t="n">
        <v>0.0137</v>
      </c>
      <c r="CF74" s="0" t="n">
        <v>0.1062</v>
      </c>
      <c r="CG74" s="0" t="n">
        <v>0.018</v>
      </c>
      <c r="CH74" s="0" t="n">
        <v>0</v>
      </c>
      <c r="CI74" s="0" t="n">
        <v>0</v>
      </c>
      <c r="CJ74" s="0" t="n">
        <v>0.0862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4.5883</v>
      </c>
      <c r="CP74" s="0" t="n">
        <v>10.0715</v>
      </c>
      <c r="CQ74" s="0" t="n">
        <v>11.7993</v>
      </c>
      <c r="CR74" s="0" t="n">
        <v>0.0516</v>
      </c>
      <c r="CS74" s="0" t="n">
        <v>18.0133</v>
      </c>
      <c r="CT74" s="0" t="n">
        <v>9.9973</v>
      </c>
      <c r="CU74" s="0" t="n">
        <v>15.0792</v>
      </c>
      <c r="CV74" s="0" t="n">
        <v>10.3764</v>
      </c>
      <c r="CW74" s="0" t="n">
        <v>2.1446</v>
      </c>
      <c r="CX74" s="0" t="n">
        <v>10.1513</v>
      </c>
      <c r="CY74" s="0" t="n">
        <v>10.3228</v>
      </c>
      <c r="CZ74" s="0" t="n">
        <v>8.2782</v>
      </c>
      <c r="DA74" s="0" t="n">
        <v>11.8768</v>
      </c>
      <c r="DB74" s="0" t="n">
        <v>8.4466</v>
      </c>
      <c r="DC74" s="0" t="n">
        <v>10.4425</v>
      </c>
      <c r="DD74" s="0" t="n">
        <v>6.0124</v>
      </c>
      <c r="DE74" s="0" t="n">
        <v>11.9303</v>
      </c>
      <c r="DF74" s="0" t="n">
        <v>5.3544</v>
      </c>
      <c r="DG74" s="0" t="n">
        <v>11.2453</v>
      </c>
      <c r="DH74" s="0" t="n">
        <v>5.9328</v>
      </c>
      <c r="DI74" s="0" t="n">
        <v>11.458</v>
      </c>
      <c r="DJ74" s="0" t="n">
        <v>6.6558</v>
      </c>
      <c r="DK74" s="0" t="n">
        <v>11.9708</v>
      </c>
      <c r="DL74" s="0" t="n">
        <v>19.2618</v>
      </c>
      <c r="DM74" s="0" t="n">
        <v>5.3115</v>
      </c>
      <c r="DN74" s="0" t="n">
        <v>17.8535</v>
      </c>
      <c r="DO74" s="0" t="n">
        <v>17.762</v>
      </c>
      <c r="DP74" s="0" t="n">
        <v>10.9596</v>
      </c>
      <c r="DQ74" s="0" t="n">
        <v>9.0777</v>
      </c>
      <c r="DR74" s="0" t="n">
        <v>19.292</v>
      </c>
      <c r="DS74" s="0" t="n">
        <v>16.4546</v>
      </c>
      <c r="DT74" s="0" t="n">
        <v>21.1995</v>
      </c>
      <c r="DU74" s="0" t="n">
        <v>15.165</v>
      </c>
      <c r="DV74" s="0" t="n">
        <v>22.2625</v>
      </c>
      <c r="DW74" s="0" t="n">
        <v>33.4606</v>
      </c>
      <c r="DX74" s="0" t="n">
        <v>32.3023</v>
      </c>
      <c r="DY74" s="0" t="n">
        <v>1.5051</v>
      </c>
      <c r="DZ74" s="0" t="n">
        <v>31.9044</v>
      </c>
      <c r="EA74" s="0" t="n">
        <v>32.3243</v>
      </c>
      <c r="EB74" s="0" t="n">
        <v>19.6093</v>
      </c>
      <c r="EC74" s="0" t="n">
        <v>16.2863</v>
      </c>
      <c r="ED74" s="0" t="n">
        <v>14.7176</v>
      </c>
      <c r="EE74" s="0" t="n">
        <v>21.0758</v>
      </c>
      <c r="EF74" s="0" t="n">
        <v>17.3777</v>
      </c>
      <c r="EG74" s="0" t="n">
        <v>9.6066</v>
      </c>
      <c r="EH74" s="0" t="n">
        <v>12.2744</v>
      </c>
      <c r="EI74" s="0" t="n">
        <v>4.2867</v>
      </c>
      <c r="EJ74" s="0" t="n">
        <v>14.0611</v>
      </c>
      <c r="EK74" s="0" t="n">
        <v>10.2448</v>
      </c>
      <c r="EL74" s="0" t="n">
        <v>4.3632</v>
      </c>
      <c r="EM74" s="0" t="n">
        <v>4.9191</v>
      </c>
      <c r="EN74" s="0" t="n">
        <v>6.4279</v>
      </c>
      <c r="EO74" s="0" t="n">
        <v>4.4241</v>
      </c>
      <c r="EP74" s="0" t="n">
        <v>2.5748</v>
      </c>
      <c r="EQ74" s="0" t="n">
        <v>3.5521</v>
      </c>
      <c r="ER74" s="0" t="n">
        <v>0.5051</v>
      </c>
      <c r="ES74" s="0" t="n">
        <v>1.603</v>
      </c>
      <c r="ET74" s="0" t="n">
        <v>0.5888</v>
      </c>
      <c r="EU74" s="0" t="n">
        <v>1.5142</v>
      </c>
      <c r="EV74" s="0" t="n">
        <v>0.9237</v>
      </c>
      <c r="EW74" s="0" t="n">
        <v>0.9959</v>
      </c>
      <c r="EX74" s="0" t="n">
        <v>0.0967</v>
      </c>
      <c r="EY74" s="0" t="n">
        <v>0.332</v>
      </c>
      <c r="EZ74" s="0" t="n">
        <v>0.7542</v>
      </c>
      <c r="FA74" s="0" t="n">
        <v>0.0273</v>
      </c>
      <c r="FB74" s="0" t="n">
        <v>0.0905</v>
      </c>
      <c r="FC74" s="0" t="n">
        <v>0.2482</v>
      </c>
      <c r="FD74" s="0" t="n">
        <v>0.428</v>
      </c>
      <c r="FE74" s="0" t="n">
        <v>0.0644</v>
      </c>
      <c r="FF74" s="0" t="n">
        <v>0.0373</v>
      </c>
      <c r="FG74" s="0" t="n">
        <v>0.2355</v>
      </c>
      <c r="FH74" s="0" t="n">
        <v>0.0156</v>
      </c>
      <c r="FI74" s="0" t="n">
        <v>0.1228</v>
      </c>
      <c r="FJ74" s="0" t="n">
        <v>0.0211</v>
      </c>
      <c r="FK74" s="0" t="n">
        <v>0</v>
      </c>
      <c r="FL74" s="0" t="n">
        <v>0</v>
      </c>
      <c r="FM74" s="0" t="n">
        <v>0.1051</v>
      </c>
      <c r="FN74" s="0" t="n">
        <v>0</v>
      </c>
      <c r="FO74" s="0" t="n">
        <v>0</v>
      </c>
      <c r="FP74" s="0" t="n">
        <v>0</v>
      </c>
    </row>
    <row r="75" customFormat="false" ht="13.8" hidden="false" customHeight="false" outlineLevel="0" collapsed="false">
      <c r="A75" s="2" t="s">
        <v>315</v>
      </c>
      <c r="B75" s="0" t="s">
        <v>199</v>
      </c>
      <c r="C75" s="0" t="s">
        <v>213</v>
      </c>
      <c r="D75" s="0" t="s">
        <v>214</v>
      </c>
      <c r="G75" s="0" t="n">
        <v>1113.0712</v>
      </c>
      <c r="H75" s="0" t="n">
        <v>76.9778</v>
      </c>
      <c r="I75" s="0" t="n">
        <v>241.8327</v>
      </c>
      <c r="J75" s="0" t="n">
        <v>0.7182</v>
      </c>
      <c r="K75" s="0" t="n">
        <v>0.0598</v>
      </c>
      <c r="L75" s="0" t="n">
        <v>18.4628</v>
      </c>
      <c r="M75" s="0" t="n">
        <v>44.5951</v>
      </c>
      <c r="N75" s="0" t="n">
        <v>179.9784</v>
      </c>
      <c r="O75" s="0" t="n">
        <v>97.4533</v>
      </c>
      <c r="P75" s="0" t="n">
        <v>64.838</v>
      </c>
      <c r="Q75" s="0" t="n">
        <v>90.0223</v>
      </c>
      <c r="R75" s="0" t="n">
        <v>57.1605</v>
      </c>
      <c r="S75" s="0" t="n">
        <v>54.352</v>
      </c>
      <c r="T75" s="0" t="n">
        <v>47.7499</v>
      </c>
      <c r="U75" s="0" t="n">
        <v>70.9056</v>
      </c>
      <c r="V75" s="0" t="n">
        <v>32.7635</v>
      </c>
      <c r="W75" s="0" t="n">
        <v>46.7976</v>
      </c>
      <c r="X75" s="0" t="n">
        <v>26.8246</v>
      </c>
      <c r="Y75" s="0" t="n">
        <v>18.8936</v>
      </c>
      <c r="Z75" s="0" t="n">
        <v>21.0136</v>
      </c>
      <c r="AA75" s="0" t="n">
        <v>25.9762</v>
      </c>
      <c r="AB75" s="0" t="n">
        <v>20.9085</v>
      </c>
      <c r="AC75" s="0" t="n">
        <v>14.7426</v>
      </c>
      <c r="AD75" s="0" t="n">
        <v>17.6968</v>
      </c>
      <c r="AE75" s="0" t="n">
        <v>12.4147</v>
      </c>
      <c r="AF75" s="0" t="n">
        <v>19.3513</v>
      </c>
      <c r="AG75" s="0" t="n">
        <v>8.1523</v>
      </c>
      <c r="AH75" s="0" t="n">
        <v>13.2407</v>
      </c>
      <c r="AI75" s="0" t="n">
        <v>17.3133</v>
      </c>
      <c r="AJ75" s="0" t="n">
        <v>5.1293</v>
      </c>
      <c r="AK75" s="0" t="n">
        <v>7.9213</v>
      </c>
      <c r="AL75" s="0" t="n">
        <v>3.7373</v>
      </c>
      <c r="AM75" s="0" t="n">
        <v>3.7764</v>
      </c>
      <c r="AN75" s="0" t="n">
        <v>3.9483</v>
      </c>
      <c r="AO75" s="0" t="n">
        <v>3.2963</v>
      </c>
      <c r="AP75" s="0" t="n">
        <v>2.1838</v>
      </c>
      <c r="AQ75" s="0" t="n">
        <v>4.7847</v>
      </c>
      <c r="AR75" s="0" t="n">
        <v>3.5665</v>
      </c>
      <c r="AS75" s="0" t="n">
        <v>5.5874</v>
      </c>
      <c r="AT75" s="0" t="n">
        <v>6.6106</v>
      </c>
      <c r="AU75" s="0" t="n">
        <v>3.4034</v>
      </c>
      <c r="AV75" s="0" t="n">
        <v>2.3636</v>
      </c>
      <c r="AW75" s="0" t="n">
        <v>2.893</v>
      </c>
      <c r="AX75" s="0" t="n">
        <v>2.4433</v>
      </c>
      <c r="AY75" s="0" t="n">
        <v>0.688</v>
      </c>
      <c r="AZ75" s="0" t="n">
        <v>0.8623</v>
      </c>
      <c r="BA75" s="0" t="n">
        <v>0.572</v>
      </c>
      <c r="BB75" s="0" t="n">
        <v>0.9068</v>
      </c>
      <c r="BC75" s="0" t="n">
        <v>0.785</v>
      </c>
      <c r="BD75" s="0" t="n">
        <v>0.4509</v>
      </c>
      <c r="BE75" s="0" t="n">
        <v>2.2486</v>
      </c>
      <c r="BF75" s="0" t="n">
        <v>0.9789</v>
      </c>
      <c r="BG75" s="0" t="n">
        <v>2.6011</v>
      </c>
      <c r="BH75" s="0" t="n">
        <v>1.0171</v>
      </c>
      <c r="BI75" s="0" t="n">
        <v>1.7002</v>
      </c>
      <c r="BJ75" s="0" t="n">
        <v>0.7379</v>
      </c>
      <c r="BK75" s="0" t="n">
        <v>2.2945</v>
      </c>
      <c r="BL75" s="0" t="n">
        <v>1.4057</v>
      </c>
      <c r="BM75" s="0" t="n">
        <v>1.9394</v>
      </c>
      <c r="BN75" s="0" t="n">
        <v>1.4311</v>
      </c>
      <c r="BO75" s="0" t="n">
        <v>1.5251</v>
      </c>
      <c r="BP75" s="0" t="n">
        <v>0.669</v>
      </c>
      <c r="BQ75" s="0" t="n">
        <v>0.8825</v>
      </c>
      <c r="BR75" s="0" t="n">
        <v>0.6804</v>
      </c>
      <c r="BS75" s="0" t="n">
        <v>0.3349</v>
      </c>
      <c r="BT75" s="0" t="n">
        <v>0.249</v>
      </c>
      <c r="BU75" s="0" t="n">
        <v>0.9386</v>
      </c>
      <c r="BV75" s="0" t="n">
        <v>0.3222</v>
      </c>
      <c r="BW75" s="0" t="n">
        <v>0.5047</v>
      </c>
      <c r="BX75" s="0" t="n">
        <v>0.0746</v>
      </c>
      <c r="BY75" s="0" t="n">
        <v>0.2357</v>
      </c>
      <c r="BZ75" s="0" t="n">
        <v>0.2827</v>
      </c>
      <c r="CA75" s="0" t="n">
        <v>0.0618</v>
      </c>
      <c r="CB75" s="0" t="n">
        <v>0.0402</v>
      </c>
      <c r="CC75" s="0" t="n">
        <v>0.0445</v>
      </c>
      <c r="CD75" s="0" t="n">
        <v>0.3813</v>
      </c>
      <c r="CE75" s="0" t="n">
        <v>0.019</v>
      </c>
      <c r="CF75" s="0" t="n">
        <v>0.0222</v>
      </c>
      <c r="CG75" s="0" t="n">
        <v>0.0365</v>
      </c>
      <c r="CH75" s="0" t="n">
        <v>0.0307</v>
      </c>
      <c r="CI75" s="0" t="n">
        <v>0.4103</v>
      </c>
      <c r="CJ75" s="0" t="n">
        <v>0.0354</v>
      </c>
      <c r="CK75" s="0" t="n">
        <v>0.0856</v>
      </c>
      <c r="CL75" s="0" t="n">
        <v>0.4059</v>
      </c>
      <c r="CM75" s="0" t="n">
        <v>0.711</v>
      </c>
      <c r="CN75" s="0" t="n">
        <v>0.0008</v>
      </c>
      <c r="CO75" s="0" t="n">
        <v>0.4928</v>
      </c>
      <c r="CP75" s="0" t="n">
        <v>1.8053</v>
      </c>
      <c r="CQ75" s="0" t="n">
        <v>9.94</v>
      </c>
      <c r="CR75" s="0" t="n">
        <v>6.8691</v>
      </c>
      <c r="CS75" s="0" t="n">
        <v>5.4969</v>
      </c>
      <c r="CT75" s="0" t="n">
        <v>9.1073</v>
      </c>
      <c r="CU75" s="0" t="n">
        <v>6.7998</v>
      </c>
      <c r="CV75" s="0" t="n">
        <v>7.2267</v>
      </c>
      <c r="CW75" s="0" t="n">
        <v>7.0061</v>
      </c>
      <c r="CX75" s="0" t="n">
        <v>11.7951</v>
      </c>
      <c r="CY75" s="0" t="n">
        <v>5.9718</v>
      </c>
      <c r="CZ75" s="0" t="n">
        <v>9.1544</v>
      </c>
      <c r="DA75" s="0" t="n">
        <v>5.7865</v>
      </c>
      <c r="DB75" s="0" t="n">
        <v>4.2945</v>
      </c>
      <c r="DC75" s="0" t="n">
        <v>5.086</v>
      </c>
      <c r="DD75" s="0" t="n">
        <v>6.6985</v>
      </c>
      <c r="DE75" s="0" t="n">
        <v>5.7706</v>
      </c>
      <c r="DF75" s="0" t="n">
        <v>4.2827</v>
      </c>
      <c r="DG75" s="0" t="n">
        <v>5.4387</v>
      </c>
      <c r="DH75" s="0" t="n">
        <v>3.9745</v>
      </c>
      <c r="DI75" s="0" t="n">
        <v>6.5581</v>
      </c>
      <c r="DJ75" s="0" t="n">
        <v>2.904</v>
      </c>
      <c r="DK75" s="0" t="n">
        <v>4.8549</v>
      </c>
      <c r="DL75" s="0" t="n">
        <v>6.698</v>
      </c>
      <c r="DM75" s="0" t="n">
        <v>2.0499</v>
      </c>
      <c r="DN75" s="0" t="n">
        <v>3.3009</v>
      </c>
      <c r="DO75" s="0" t="n">
        <v>1.6248</v>
      </c>
      <c r="DP75" s="0" t="n">
        <v>1.6827</v>
      </c>
      <c r="DQ75" s="0" t="n">
        <v>1.8261</v>
      </c>
      <c r="DR75" s="0" t="n">
        <v>1.5891</v>
      </c>
      <c r="DS75" s="0" t="n">
        <v>1.0765</v>
      </c>
      <c r="DT75" s="0" t="n">
        <v>2.4399</v>
      </c>
      <c r="DU75" s="0" t="n">
        <v>1.8817</v>
      </c>
      <c r="DV75" s="0" t="n">
        <v>3.0178</v>
      </c>
      <c r="DW75" s="0" t="n">
        <v>3.6742</v>
      </c>
      <c r="DX75" s="0" t="n">
        <v>1.9494</v>
      </c>
      <c r="DY75" s="0" t="n">
        <v>1.3976</v>
      </c>
      <c r="DZ75" s="0" t="n">
        <v>1.7461</v>
      </c>
      <c r="EA75" s="0" t="n">
        <v>1.5157</v>
      </c>
      <c r="EB75" s="0" t="n">
        <v>0.4385</v>
      </c>
      <c r="EC75" s="0" t="n">
        <v>0.5619</v>
      </c>
      <c r="ED75" s="0" t="n">
        <v>0.3824</v>
      </c>
      <c r="EE75" s="0" t="n">
        <v>0.6178</v>
      </c>
      <c r="EF75" s="0" t="n">
        <v>0.5505</v>
      </c>
      <c r="EG75" s="0" t="n">
        <v>0.3222</v>
      </c>
      <c r="EH75" s="0" t="n">
        <v>1.6402</v>
      </c>
      <c r="EI75" s="0" t="n">
        <v>0.7282</v>
      </c>
      <c r="EJ75" s="0" t="n">
        <v>1.9741</v>
      </c>
      <c r="EK75" s="0" t="n">
        <v>0.7934</v>
      </c>
      <c r="EL75" s="0" t="n">
        <v>1.3448</v>
      </c>
      <c r="EM75" s="0" t="n">
        <v>0.594</v>
      </c>
      <c r="EN75" s="0" t="n">
        <v>1.8916</v>
      </c>
      <c r="EO75" s="0" t="n">
        <v>1.1876</v>
      </c>
      <c r="EP75" s="0" t="n">
        <v>1.6575</v>
      </c>
      <c r="EQ75" s="0" t="n">
        <v>1.2501</v>
      </c>
      <c r="ER75" s="0" t="n">
        <v>1.3495</v>
      </c>
      <c r="ES75" s="0" t="n">
        <v>0.602</v>
      </c>
      <c r="ET75" s="0" t="n">
        <v>0.8091</v>
      </c>
      <c r="EU75" s="0" t="n">
        <v>0.6372</v>
      </c>
      <c r="EV75" s="0" t="n">
        <v>0.3168</v>
      </c>
      <c r="EW75" s="0" t="n">
        <v>0.2411</v>
      </c>
      <c r="EX75" s="0" t="n">
        <v>0.9203</v>
      </c>
      <c r="EY75" s="0" t="n">
        <v>0.3213</v>
      </c>
      <c r="EZ75" s="0" t="n">
        <v>0.5132</v>
      </c>
      <c r="FA75" s="0" t="n">
        <v>0.0768</v>
      </c>
      <c r="FB75" s="0" t="n">
        <v>0.2446</v>
      </c>
      <c r="FC75" s="0" t="n">
        <v>0.2978</v>
      </c>
      <c r="FD75" s="0" t="n">
        <v>0.0669</v>
      </c>
      <c r="FE75" s="0" t="n">
        <v>0.044</v>
      </c>
      <c r="FF75" s="0" t="n">
        <v>0.0493</v>
      </c>
      <c r="FG75" s="0" t="n">
        <v>0.4263</v>
      </c>
      <c r="FH75" s="0" t="n">
        <v>0.0216</v>
      </c>
      <c r="FI75" s="0" t="n">
        <v>0.0256</v>
      </c>
      <c r="FJ75" s="0" t="n">
        <v>0.0428</v>
      </c>
      <c r="FK75" s="0" t="n">
        <v>0.0364</v>
      </c>
      <c r="FL75" s="0" t="n">
        <v>0.4914</v>
      </c>
      <c r="FM75" s="0" t="n">
        <v>0.0432</v>
      </c>
      <c r="FN75" s="0" t="n">
        <v>0.1053</v>
      </c>
      <c r="FO75" s="0" t="n">
        <v>0.5069</v>
      </c>
      <c r="FP75" s="0" t="n">
        <v>0.9978</v>
      </c>
    </row>
    <row r="76" customFormat="false" ht="13.8" hidden="false" customHeight="false" outlineLevel="0" collapsed="false">
      <c r="A76" s="2" t="s">
        <v>316</v>
      </c>
      <c r="B76" s="0" t="s">
        <v>199</v>
      </c>
      <c r="C76" s="0" t="s">
        <v>242</v>
      </c>
      <c r="D76" s="0" t="s">
        <v>243</v>
      </c>
      <c r="G76" s="0" t="n">
        <v>1585.9721</v>
      </c>
      <c r="H76" s="0" t="n">
        <v>106.135</v>
      </c>
      <c r="I76" s="0" t="n">
        <v>333.4329</v>
      </c>
      <c r="J76" s="0" t="n">
        <v>0.67165</v>
      </c>
      <c r="K76" s="0" t="n">
        <v>0.0635</v>
      </c>
      <c r="L76" s="0" t="n">
        <v>17.5261</v>
      </c>
      <c r="M76" s="0" t="n">
        <v>31.8424</v>
      </c>
      <c r="N76" s="0" t="n">
        <v>153.7946</v>
      </c>
      <c r="O76" s="0" t="n">
        <v>146.6224</v>
      </c>
      <c r="P76" s="0" t="n">
        <v>135.5773</v>
      </c>
      <c r="Q76" s="0" t="n">
        <v>168.9655</v>
      </c>
      <c r="R76" s="0" t="n">
        <v>97.6171</v>
      </c>
      <c r="S76" s="0" t="n">
        <v>85.8417</v>
      </c>
      <c r="T76" s="0" t="n">
        <v>77.6778</v>
      </c>
      <c r="U76" s="0" t="n">
        <v>96.9831</v>
      </c>
      <c r="V76" s="0" t="n">
        <v>40.5602</v>
      </c>
      <c r="W76" s="0" t="n">
        <v>59.7604</v>
      </c>
      <c r="X76" s="0" t="n">
        <v>42.1541</v>
      </c>
      <c r="Y76" s="0" t="n">
        <v>28.296</v>
      </c>
      <c r="Z76" s="0" t="n">
        <v>39.8759</v>
      </c>
      <c r="AA76" s="0" t="n">
        <v>46.991</v>
      </c>
      <c r="AB76" s="0" t="n">
        <v>41.7932</v>
      </c>
      <c r="AC76" s="0" t="n">
        <v>30.7093</v>
      </c>
      <c r="AD76" s="0" t="n">
        <v>33.8653</v>
      </c>
      <c r="AE76" s="0" t="n">
        <v>22.4227</v>
      </c>
      <c r="AF76" s="0" t="n">
        <v>27.1255</v>
      </c>
      <c r="AG76" s="0" t="n">
        <v>10.1706</v>
      </c>
      <c r="AH76" s="0" t="n">
        <v>19.8344</v>
      </c>
      <c r="AI76" s="0" t="n">
        <v>24.2364</v>
      </c>
      <c r="AJ76" s="0" t="n">
        <v>14.2196</v>
      </c>
      <c r="AK76" s="0" t="n">
        <v>17.1986</v>
      </c>
      <c r="AL76" s="0" t="n">
        <v>14.0237</v>
      </c>
      <c r="AM76" s="0" t="n">
        <v>9.0573</v>
      </c>
      <c r="AN76" s="0" t="n">
        <v>11.2507</v>
      </c>
      <c r="AO76" s="0" t="n">
        <v>8.7736</v>
      </c>
      <c r="AP76" s="0" t="n">
        <v>6.4059</v>
      </c>
      <c r="AQ76" s="0" t="n">
        <v>5.3203</v>
      </c>
      <c r="AR76" s="0" t="n">
        <v>2.992</v>
      </c>
      <c r="AS76" s="0" t="n">
        <v>2.3128</v>
      </c>
      <c r="AT76" s="0" t="n">
        <v>2.9014</v>
      </c>
      <c r="AU76" s="0" t="n">
        <v>1.8472</v>
      </c>
      <c r="AV76" s="0" t="n">
        <v>1.6399</v>
      </c>
      <c r="AW76" s="0" t="n">
        <v>1.3143</v>
      </c>
      <c r="AX76" s="0" t="n">
        <v>0.7574</v>
      </c>
      <c r="AY76" s="0" t="n">
        <v>0.302</v>
      </c>
      <c r="AZ76" s="0" t="n">
        <v>0.8667</v>
      </c>
      <c r="BA76" s="0" t="n">
        <v>0.458</v>
      </c>
      <c r="BB76" s="0" t="n">
        <v>0.2542</v>
      </c>
      <c r="BC76" s="0" t="n">
        <v>0.4864</v>
      </c>
      <c r="BD76" s="0" t="n">
        <v>0.567</v>
      </c>
      <c r="BE76" s="0" t="n">
        <v>0.412</v>
      </c>
      <c r="BF76" s="0" t="n">
        <v>0.2908</v>
      </c>
      <c r="BG76" s="0" t="n">
        <v>0.0735</v>
      </c>
      <c r="BH76" s="0" t="n">
        <v>0.2242</v>
      </c>
      <c r="BI76" s="0" t="n">
        <v>0.0846</v>
      </c>
      <c r="BJ76" s="0" t="n">
        <v>0.2656</v>
      </c>
      <c r="BK76" s="0" t="n">
        <v>0.2035</v>
      </c>
      <c r="BL76" s="0" t="n">
        <v>0.0502</v>
      </c>
      <c r="BM76" s="0" t="n">
        <v>0.1898</v>
      </c>
      <c r="BN76" s="0" t="n">
        <v>0.0381</v>
      </c>
      <c r="BO76" s="0" t="n">
        <v>0.0566</v>
      </c>
      <c r="BP76" s="0" t="n">
        <v>0.093</v>
      </c>
      <c r="BQ76" s="0" t="n">
        <v>0.1005</v>
      </c>
      <c r="BR76" s="0" t="n">
        <v>0.1912</v>
      </c>
      <c r="BS76" s="0" t="n">
        <v>0.1385</v>
      </c>
      <c r="BT76" s="0" t="n">
        <v>0.0196</v>
      </c>
      <c r="BU76" s="0" t="n">
        <v>0.0518</v>
      </c>
      <c r="BV76" s="0" t="n">
        <v>0.0132</v>
      </c>
      <c r="BW76" s="0" t="n">
        <v>0.0407</v>
      </c>
      <c r="BX76" s="0" t="n">
        <v>0.0069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0</v>
      </c>
      <c r="CM76" s="0" t="n">
        <v>0</v>
      </c>
      <c r="CN76" s="0" t="n">
        <v>0.0008</v>
      </c>
      <c r="CO76" s="0" t="n">
        <v>0.468</v>
      </c>
      <c r="CP76" s="0" t="n">
        <v>1.2679</v>
      </c>
      <c r="CQ76" s="0" t="n">
        <v>8.6305</v>
      </c>
      <c r="CR76" s="0" t="n">
        <v>10.5362</v>
      </c>
      <c r="CS76" s="0" t="n">
        <v>11.5464</v>
      </c>
      <c r="CT76" s="0" t="n">
        <v>17.0316</v>
      </c>
      <c r="CU76" s="0" t="n">
        <v>11.6077</v>
      </c>
      <c r="CV76" s="0" t="n">
        <v>11.4519</v>
      </c>
      <c r="CW76" s="0" t="n">
        <v>11.3784</v>
      </c>
      <c r="CX76" s="0" t="n">
        <v>16.0596</v>
      </c>
      <c r="CY76" s="0" t="n">
        <v>7.3874</v>
      </c>
      <c r="CZ76" s="0" t="n">
        <v>11.7017</v>
      </c>
      <c r="DA76" s="0" t="n">
        <v>9.0829</v>
      </c>
      <c r="DB76" s="0" t="n">
        <v>6.4172</v>
      </c>
      <c r="DC76" s="0" t="n">
        <v>9.6741</v>
      </c>
      <c r="DD76" s="0" t="n">
        <v>12.1186</v>
      </c>
      <c r="DE76" s="0" t="n">
        <v>11.5158</v>
      </c>
      <c r="DF76" s="0" t="n">
        <v>8.9447</v>
      </c>
      <c r="DG76" s="0" t="n">
        <v>10.3391</v>
      </c>
      <c r="DH76" s="0" t="n">
        <v>7.1777</v>
      </c>
      <c r="DI76" s="0" t="n">
        <v>9.1939</v>
      </c>
      <c r="DJ76" s="0" t="n">
        <v>3.6342</v>
      </c>
      <c r="DK76" s="0" t="n">
        <v>7.2807</v>
      </c>
      <c r="DL76" s="0" t="n">
        <v>9.3707</v>
      </c>
      <c r="DM76" s="0" t="n">
        <v>5.689</v>
      </c>
      <c r="DN76" s="0" t="n">
        <v>7.169</v>
      </c>
      <c r="DO76" s="0" t="n">
        <v>6.0601</v>
      </c>
      <c r="DP76" s="0" t="n">
        <v>4.0403</v>
      </c>
      <c r="DQ76" s="0" t="n">
        <v>5.2003</v>
      </c>
      <c r="DR76" s="0" t="n">
        <v>4.2203</v>
      </c>
      <c r="DS76" s="0" t="n">
        <v>3.1547</v>
      </c>
      <c r="DT76" s="0" t="n">
        <v>2.7098</v>
      </c>
      <c r="DU76" s="0" t="n">
        <v>1.5773</v>
      </c>
      <c r="DV76" s="0" t="n">
        <v>1.2484</v>
      </c>
      <c r="DW76" s="0" t="n">
        <v>1.6123</v>
      </c>
      <c r="DX76" s="0" t="n">
        <v>1.0613</v>
      </c>
      <c r="DY76" s="0" t="n">
        <v>0.968</v>
      </c>
      <c r="DZ76" s="0" t="n">
        <v>0.7934</v>
      </c>
      <c r="EA76" s="0" t="n">
        <v>0.4694</v>
      </c>
      <c r="EB76" s="0" t="n">
        <v>0.1923</v>
      </c>
      <c r="EC76" s="0" t="n">
        <v>0.5665</v>
      </c>
      <c r="ED76" s="0" t="n">
        <v>0.3042</v>
      </c>
      <c r="EE76" s="0" t="n">
        <v>0.1733</v>
      </c>
      <c r="EF76" s="0" t="n">
        <v>0.3391</v>
      </c>
      <c r="EG76" s="0" t="n">
        <v>0.4039</v>
      </c>
      <c r="EH76" s="0" t="n">
        <v>0.2994</v>
      </c>
      <c r="EI76" s="0" t="n">
        <v>0.2172</v>
      </c>
      <c r="EJ76" s="0" t="n">
        <v>0.0561</v>
      </c>
      <c r="EK76" s="0" t="n">
        <v>0.1743</v>
      </c>
      <c r="EL76" s="0" t="n">
        <v>0.0672</v>
      </c>
      <c r="EM76" s="0" t="n">
        <v>0.2143</v>
      </c>
      <c r="EN76" s="0" t="n">
        <v>0.1676</v>
      </c>
      <c r="EO76" s="0" t="n">
        <v>0.0423</v>
      </c>
      <c r="EP76" s="0" t="n">
        <v>0.1627</v>
      </c>
      <c r="EQ76" s="0" t="n">
        <v>0.0332</v>
      </c>
      <c r="ER76" s="0" t="n">
        <v>0.0503</v>
      </c>
      <c r="ES76" s="0" t="n">
        <v>0.0837</v>
      </c>
      <c r="ET76" s="0" t="n">
        <v>0.0922</v>
      </c>
      <c r="EU76" s="0" t="n">
        <v>0.18</v>
      </c>
      <c r="EV76" s="0" t="n">
        <v>0.1309</v>
      </c>
      <c r="EW76" s="0" t="n">
        <v>0.0188</v>
      </c>
      <c r="EX76" s="0" t="n">
        <v>0.051</v>
      </c>
      <c r="EY76" s="0" t="n">
        <v>0.0132</v>
      </c>
      <c r="EZ76" s="0" t="n">
        <v>0.0413</v>
      </c>
      <c r="FA76" s="0" t="n">
        <v>0.007</v>
      </c>
      <c r="FB76" s="0" t="n">
        <v>0</v>
      </c>
      <c r="FC76" s="0" t="n">
        <v>0</v>
      </c>
      <c r="FD76" s="0" t="n">
        <v>0</v>
      </c>
      <c r="FE76" s="0" t="n">
        <v>0</v>
      </c>
      <c r="FF76" s="0" t="n">
        <v>0</v>
      </c>
      <c r="FG76" s="0" t="n">
        <v>0</v>
      </c>
      <c r="FH76" s="0" t="n">
        <v>0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0" t="n">
        <v>0</v>
      </c>
      <c r="FP76" s="0" t="n">
        <v>0</v>
      </c>
    </row>
    <row r="77" customFormat="false" ht="13.8" hidden="false" customHeight="false" outlineLevel="0" collapsed="false">
      <c r="A77" s="2" t="s">
        <v>317</v>
      </c>
      <c r="B77" s="0" t="s">
        <v>176</v>
      </c>
      <c r="C77" s="0" t="n">
        <v>204</v>
      </c>
      <c r="D77" s="0" t="s">
        <v>318</v>
      </c>
      <c r="G77" s="0" t="n">
        <v>1462.2708</v>
      </c>
      <c r="H77" s="0" t="n">
        <v>87.0326</v>
      </c>
      <c r="I77" s="0" t="n">
        <v>273.421</v>
      </c>
      <c r="J77" s="0" t="n">
        <v>0.5942</v>
      </c>
      <c r="K77" s="0" t="n">
        <v>0</v>
      </c>
      <c r="L77" s="0" t="n">
        <v>163.6492</v>
      </c>
      <c r="M77" s="0" t="n">
        <v>121.6956</v>
      </c>
      <c r="N77" s="0" t="n">
        <v>146.8745</v>
      </c>
      <c r="O77" s="0" t="n">
        <v>106.3814</v>
      </c>
      <c r="P77" s="0" t="n">
        <v>85.3426</v>
      </c>
      <c r="Q77" s="0" t="n">
        <v>69.6301</v>
      </c>
      <c r="R77" s="0" t="n">
        <v>73.4851</v>
      </c>
      <c r="S77" s="0" t="n">
        <v>50.1826</v>
      </c>
      <c r="T77" s="0" t="n">
        <v>46.4756</v>
      </c>
      <c r="U77" s="0" t="n">
        <v>38.6752</v>
      </c>
      <c r="V77" s="0" t="n">
        <v>27.5699</v>
      </c>
      <c r="W77" s="0" t="n">
        <v>26.0818</v>
      </c>
      <c r="X77" s="0" t="n">
        <v>23.9504</v>
      </c>
      <c r="Y77" s="0" t="n">
        <v>22.7621</v>
      </c>
      <c r="Z77" s="0" t="n">
        <v>23.16</v>
      </c>
      <c r="AA77" s="0" t="n">
        <v>20.6518</v>
      </c>
      <c r="AB77" s="0" t="n">
        <v>23.2888</v>
      </c>
      <c r="AC77" s="0" t="n">
        <v>26.7803</v>
      </c>
      <c r="AD77" s="0" t="n">
        <v>28.7733</v>
      </c>
      <c r="AE77" s="0" t="n">
        <v>27.6294</v>
      </c>
      <c r="AF77" s="0" t="n">
        <v>28.225</v>
      </c>
      <c r="AG77" s="0" t="n">
        <v>29.1327</v>
      </c>
      <c r="AH77" s="0" t="n">
        <v>26.8071</v>
      </c>
      <c r="AI77" s="0" t="n">
        <v>29.1449</v>
      </c>
      <c r="AJ77" s="0" t="n">
        <v>30.3267</v>
      </c>
      <c r="AK77" s="0" t="n">
        <v>30.3514</v>
      </c>
      <c r="AL77" s="0" t="n">
        <v>30.7972</v>
      </c>
      <c r="AM77" s="0" t="n">
        <v>25.2188</v>
      </c>
      <c r="AN77" s="0" t="n">
        <v>19.7098</v>
      </c>
      <c r="AO77" s="0" t="n">
        <v>15.2877</v>
      </c>
      <c r="AP77" s="0" t="n">
        <v>12.4404</v>
      </c>
      <c r="AQ77" s="0" t="n">
        <v>8.4367</v>
      </c>
      <c r="AR77" s="0" t="n">
        <v>6.4175</v>
      </c>
      <c r="AS77" s="0" t="n">
        <v>6.2399</v>
      </c>
      <c r="AT77" s="0" t="n">
        <v>3.4437</v>
      </c>
      <c r="AU77" s="0" t="n">
        <v>2.2853</v>
      </c>
      <c r="AV77" s="0" t="n">
        <v>0.6735</v>
      </c>
      <c r="AW77" s="0" t="n">
        <v>0.6761</v>
      </c>
      <c r="AX77" s="0" t="n">
        <v>0.8978</v>
      </c>
      <c r="AY77" s="0" t="n">
        <v>0.1236</v>
      </c>
      <c r="AZ77" s="0" t="n">
        <v>0.1775</v>
      </c>
      <c r="BA77" s="0" t="n">
        <v>0.5613</v>
      </c>
      <c r="BB77" s="0" t="n">
        <v>0.1578</v>
      </c>
      <c r="BC77" s="0" t="n">
        <v>0.1648</v>
      </c>
      <c r="BD77" s="0" t="n">
        <v>0.0533</v>
      </c>
      <c r="BE77" s="0" t="n">
        <v>0.1432</v>
      </c>
      <c r="BF77" s="0" t="n">
        <v>0.0765</v>
      </c>
      <c r="BG77" s="0" t="n">
        <v>0.1684</v>
      </c>
      <c r="BH77" s="0" t="n">
        <v>0.0137</v>
      </c>
      <c r="BI77" s="0" t="n">
        <v>0.0565</v>
      </c>
      <c r="BJ77" s="0" t="n">
        <v>0.0069</v>
      </c>
      <c r="BK77" s="0" t="n">
        <v>0.0158</v>
      </c>
      <c r="BL77" s="0" t="n">
        <v>0.0179</v>
      </c>
      <c r="BM77" s="0" t="n">
        <v>0.1593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4.1428</v>
      </c>
      <c r="CP77" s="0" t="n">
        <v>4.8033</v>
      </c>
      <c r="CQ77" s="0" t="n">
        <v>8.0692</v>
      </c>
      <c r="CR77" s="0" t="n">
        <v>7.4205</v>
      </c>
      <c r="CS77" s="0" t="n">
        <v>7.3411</v>
      </c>
      <c r="CT77" s="0" t="n">
        <v>7.1098</v>
      </c>
      <c r="CU77" s="0" t="n">
        <v>8.6521</v>
      </c>
      <c r="CV77" s="0" t="n">
        <v>6.6987</v>
      </c>
      <c r="CW77" s="0" t="n">
        <v>6.9246</v>
      </c>
      <c r="CX77" s="0" t="n">
        <v>6.3603</v>
      </c>
      <c r="CY77" s="0" t="n">
        <v>4.9992</v>
      </c>
      <c r="CZ77" s="0" t="n">
        <v>5.0976</v>
      </c>
      <c r="DA77" s="0" t="n">
        <v>5.0803</v>
      </c>
      <c r="DB77" s="0" t="n">
        <v>5.1835</v>
      </c>
      <c r="DC77" s="0" t="n">
        <v>5.6494</v>
      </c>
      <c r="DD77" s="0" t="n">
        <v>5.3504</v>
      </c>
      <c r="DE77" s="0" t="n">
        <v>6.3956</v>
      </c>
      <c r="DF77" s="0" t="n">
        <v>7.7965</v>
      </c>
      <c r="DG77" s="0" t="n">
        <v>8.8112</v>
      </c>
      <c r="DH77" s="0" t="n">
        <v>8.8944</v>
      </c>
      <c r="DI77" s="0" t="n">
        <v>9.5439</v>
      </c>
      <c r="DJ77" s="0" t="n">
        <v>10.2837</v>
      </c>
      <c r="DK77" s="0" t="n">
        <v>9.8963</v>
      </c>
      <c r="DL77" s="0" t="n">
        <v>11.2175</v>
      </c>
      <c r="DM77" s="0" t="n">
        <v>12.1376</v>
      </c>
      <c r="DN77" s="0" t="n">
        <v>12.6113</v>
      </c>
      <c r="DO77" s="0" t="n">
        <v>13.3152</v>
      </c>
      <c r="DP77" s="0" t="n">
        <v>11.2739</v>
      </c>
      <c r="DQ77" s="0" t="n">
        <v>9.1183</v>
      </c>
      <c r="DR77" s="0" t="n">
        <v>7.3209</v>
      </c>
      <c r="DS77" s="0" t="n">
        <v>6.1475</v>
      </c>
      <c r="DT77" s="0" t="n">
        <v>4.2942</v>
      </c>
      <c r="DU77" s="0" t="n">
        <v>3.3809</v>
      </c>
      <c r="DV77" s="0" t="n">
        <v>3.3769</v>
      </c>
      <c r="DW77" s="0" t="n">
        <v>1.9208</v>
      </c>
      <c r="DX77" s="0" t="n">
        <v>1.3109</v>
      </c>
      <c r="DY77" s="0" t="n">
        <v>0.3954</v>
      </c>
      <c r="DZ77" s="0" t="n">
        <v>0.4073</v>
      </c>
      <c r="EA77" s="0" t="n">
        <v>0.5567</v>
      </c>
      <c r="EB77" s="0" t="n">
        <v>0.0787</v>
      </c>
      <c r="EC77" s="0" t="n">
        <v>0.1159</v>
      </c>
      <c r="ED77" s="0" t="n">
        <v>0.3724</v>
      </c>
      <c r="EE77" s="0" t="n">
        <v>0.1077</v>
      </c>
      <c r="EF77" s="0" t="n">
        <v>0.1145</v>
      </c>
      <c r="EG77" s="0" t="n">
        <v>0.038</v>
      </c>
      <c r="EH77" s="0" t="n">
        <v>0.1042</v>
      </c>
      <c r="EI77" s="0" t="n">
        <v>0.0574</v>
      </c>
      <c r="EJ77" s="0" t="n">
        <v>0.1283</v>
      </c>
      <c r="EK77" s="0" t="n">
        <v>0.0107</v>
      </c>
      <c r="EL77" s="0" t="n">
        <v>0.0445</v>
      </c>
      <c r="EM77" s="0" t="n">
        <v>0.0056</v>
      </c>
      <c r="EN77" s="0" t="n">
        <v>0.0131</v>
      </c>
      <c r="EO77" s="0" t="n">
        <v>0.015</v>
      </c>
      <c r="EP77" s="0" t="n">
        <v>0.137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0</v>
      </c>
      <c r="EY77" s="0" t="n">
        <v>0</v>
      </c>
      <c r="EZ77" s="0" t="n">
        <v>0</v>
      </c>
      <c r="FA77" s="0" t="n">
        <v>0</v>
      </c>
      <c r="FB77" s="0" t="n">
        <v>0</v>
      </c>
      <c r="FC77" s="0" t="n">
        <v>0</v>
      </c>
      <c r="FD77" s="0" t="n">
        <v>0</v>
      </c>
      <c r="FE77" s="0" t="n">
        <v>0</v>
      </c>
      <c r="FF77" s="0" t="n">
        <v>0</v>
      </c>
      <c r="FG77" s="0" t="n">
        <v>0</v>
      </c>
      <c r="FH77" s="0" t="n">
        <v>0</v>
      </c>
      <c r="FI77" s="0" t="n">
        <v>0</v>
      </c>
      <c r="FJ77" s="0" t="n">
        <v>0</v>
      </c>
      <c r="FK77" s="0" t="n">
        <v>0</v>
      </c>
      <c r="FL77" s="0" t="n">
        <v>0</v>
      </c>
      <c r="FM77" s="0" t="n">
        <v>0</v>
      </c>
      <c r="FN77" s="0" t="n">
        <v>0</v>
      </c>
      <c r="FO77" s="0" t="n">
        <v>0</v>
      </c>
      <c r="FP77" s="0" t="n">
        <v>0</v>
      </c>
    </row>
    <row r="78" customFormat="false" ht="13.8" hidden="false" customHeight="false" outlineLevel="0" collapsed="false">
      <c r="A78" s="2" t="s">
        <v>319</v>
      </c>
      <c r="B78" s="0" t="s">
        <v>173</v>
      </c>
      <c r="C78" s="0" t="n">
        <v>199</v>
      </c>
      <c r="D78" s="0" t="s">
        <v>320</v>
      </c>
      <c r="F78" s="0" t="n">
        <v>1.5208</v>
      </c>
      <c r="G78" s="0" t="n">
        <v>2459.5198</v>
      </c>
      <c r="H78" s="0" t="n">
        <v>182.6212</v>
      </c>
      <c r="I78" s="0" t="n">
        <v>573.7215</v>
      </c>
      <c r="J78" s="0" t="n">
        <v>0.7169</v>
      </c>
      <c r="K78" s="0" t="n">
        <v>0</v>
      </c>
      <c r="L78" s="0" t="n">
        <v>13.0355</v>
      </c>
      <c r="M78" s="0" t="n">
        <v>31.6824</v>
      </c>
      <c r="N78" s="0" t="n">
        <v>191.3546</v>
      </c>
      <c r="O78" s="0" t="n">
        <v>242.1964</v>
      </c>
      <c r="P78" s="0" t="n">
        <v>227.9966</v>
      </c>
      <c r="Q78" s="0" t="n">
        <v>346.7838</v>
      </c>
      <c r="R78" s="0" t="n">
        <v>169.8685</v>
      </c>
      <c r="S78" s="0" t="n">
        <v>149.145</v>
      </c>
      <c r="T78" s="0" t="n">
        <v>113.4371</v>
      </c>
      <c r="U78" s="0" t="n">
        <v>139.2104</v>
      </c>
      <c r="V78" s="0" t="n">
        <v>66.9717</v>
      </c>
      <c r="W78" s="0" t="n">
        <v>83.7903</v>
      </c>
      <c r="X78" s="0" t="n">
        <v>53.6818</v>
      </c>
      <c r="Y78" s="0" t="n">
        <v>34.742</v>
      </c>
      <c r="Z78" s="0" t="n">
        <v>50.7366</v>
      </c>
      <c r="AA78" s="0" t="n">
        <v>40.3207</v>
      </c>
      <c r="AB78" s="0" t="n">
        <v>34.3118</v>
      </c>
      <c r="AC78" s="0" t="n">
        <v>16.8014</v>
      </c>
      <c r="AD78" s="0" t="n">
        <v>22.1626</v>
      </c>
      <c r="AE78" s="0" t="n">
        <v>21.9425</v>
      </c>
      <c r="AF78" s="0" t="n">
        <v>27.31</v>
      </c>
      <c r="AG78" s="0" t="n">
        <v>18.3704</v>
      </c>
      <c r="AH78" s="0" t="n">
        <v>11.7342</v>
      </c>
      <c r="AI78" s="0" t="n">
        <v>15.0858</v>
      </c>
      <c r="AJ78" s="0" t="n">
        <v>9.7733</v>
      </c>
      <c r="AK78" s="0" t="n">
        <v>12.6398</v>
      </c>
      <c r="AL78" s="0" t="n">
        <v>11.1801</v>
      </c>
      <c r="AM78" s="0" t="n">
        <v>11.4187</v>
      </c>
      <c r="AN78" s="0" t="n">
        <v>15.9958</v>
      </c>
      <c r="AO78" s="0" t="n">
        <v>17.1439</v>
      </c>
      <c r="AP78" s="0" t="n">
        <v>11.9255</v>
      </c>
      <c r="AQ78" s="0" t="n">
        <v>10.1229</v>
      </c>
      <c r="AR78" s="0" t="n">
        <v>12.1889</v>
      </c>
      <c r="AS78" s="0" t="n">
        <v>15.3975</v>
      </c>
      <c r="AT78" s="0" t="n">
        <v>13.9032</v>
      </c>
      <c r="AU78" s="0" t="n">
        <v>16.582</v>
      </c>
      <c r="AV78" s="0" t="n">
        <v>6.8467</v>
      </c>
      <c r="AW78" s="0" t="n">
        <v>12.4772</v>
      </c>
      <c r="AX78" s="0" t="n">
        <v>15.2373</v>
      </c>
      <c r="AY78" s="0" t="n">
        <v>14.6983</v>
      </c>
      <c r="AZ78" s="0" t="n">
        <v>15.0028</v>
      </c>
      <c r="BA78" s="0" t="n">
        <v>11.8195</v>
      </c>
      <c r="BB78" s="0" t="n">
        <v>17.1329</v>
      </c>
      <c r="BC78" s="0" t="n">
        <v>12.3102</v>
      </c>
      <c r="BD78" s="0" t="n">
        <v>12.0162</v>
      </c>
      <c r="BE78" s="0" t="n">
        <v>8.7459</v>
      </c>
      <c r="BF78" s="0" t="n">
        <v>8.0097</v>
      </c>
      <c r="BG78" s="0" t="n">
        <v>7.9985</v>
      </c>
      <c r="BH78" s="0" t="n">
        <v>7.9394</v>
      </c>
      <c r="BI78" s="0" t="n">
        <v>6.0296</v>
      </c>
      <c r="BJ78" s="0" t="n">
        <v>3.7614</v>
      </c>
      <c r="BK78" s="0" t="n">
        <v>3.8885</v>
      </c>
      <c r="BL78" s="0" t="n">
        <v>2.1094</v>
      </c>
      <c r="BM78" s="0" t="n">
        <v>2.437</v>
      </c>
      <c r="BN78" s="0" t="n">
        <v>1.3123</v>
      </c>
      <c r="BO78" s="0" t="n">
        <v>1.1942</v>
      </c>
      <c r="BP78" s="0" t="n">
        <v>0.7675</v>
      </c>
      <c r="BQ78" s="0" t="n">
        <v>0.7433</v>
      </c>
      <c r="BR78" s="0" t="n">
        <v>0.5989</v>
      </c>
      <c r="BS78" s="0" t="n">
        <v>0.2555</v>
      </c>
      <c r="BT78" s="0" t="n">
        <v>0.6261</v>
      </c>
      <c r="BU78" s="0" t="n">
        <v>0.3352</v>
      </c>
      <c r="BV78" s="0" t="n">
        <v>0.5236</v>
      </c>
      <c r="BW78" s="0" t="n">
        <v>0.2274</v>
      </c>
      <c r="BX78" s="0" t="n">
        <v>0.421</v>
      </c>
      <c r="BY78" s="0" t="n">
        <v>0.3533</v>
      </c>
      <c r="BZ78" s="0" t="n">
        <v>0.2476</v>
      </c>
      <c r="CA78" s="0" t="n">
        <v>0.2306</v>
      </c>
      <c r="CB78" s="0" t="n">
        <v>0.6475</v>
      </c>
      <c r="CC78" s="0" t="n">
        <v>0.0196</v>
      </c>
      <c r="CD78" s="0" t="n">
        <v>0.0132</v>
      </c>
      <c r="CE78" s="0" t="n">
        <v>0.0127</v>
      </c>
      <c r="CF78" s="0" t="n">
        <v>0.0206</v>
      </c>
      <c r="CG78" s="0" t="n">
        <v>0.1782</v>
      </c>
      <c r="CH78" s="0" t="n">
        <v>0.1905</v>
      </c>
      <c r="CI78" s="0" t="n">
        <v>0</v>
      </c>
      <c r="CJ78" s="0" t="n">
        <v>0.0767</v>
      </c>
      <c r="CK78" s="0" t="n">
        <v>0</v>
      </c>
      <c r="CL78" s="0" t="n">
        <v>0</v>
      </c>
      <c r="CM78" s="0" t="n">
        <v>0.3083</v>
      </c>
      <c r="CN78" s="0" t="n">
        <v>0</v>
      </c>
      <c r="CO78" s="0" t="n">
        <v>0.3577</v>
      </c>
      <c r="CP78" s="0" t="n">
        <v>1.2596</v>
      </c>
      <c r="CQ78" s="0" t="n">
        <v>10.7657</v>
      </c>
      <c r="CR78" s="0" t="n">
        <v>17.1633</v>
      </c>
      <c r="CS78" s="0" t="n">
        <v>19.0213</v>
      </c>
      <c r="CT78" s="0" t="n">
        <v>34.9282</v>
      </c>
      <c r="CU78" s="0" t="n">
        <v>20.2196</v>
      </c>
      <c r="CV78" s="0" t="n">
        <v>19.9508</v>
      </c>
      <c r="CW78" s="0" t="n">
        <v>16.6695</v>
      </c>
      <c r="CX78" s="0" t="n">
        <v>23.0289</v>
      </c>
      <c r="CY78" s="0" t="n">
        <v>12.1394</v>
      </c>
      <c r="CZ78" s="0" t="n">
        <v>16.4598</v>
      </c>
      <c r="DA78" s="0" t="n">
        <v>11.5647</v>
      </c>
      <c r="DB78" s="0" t="n">
        <v>7.871</v>
      </c>
      <c r="DC78" s="0" t="n">
        <v>12.2815</v>
      </c>
      <c r="DD78" s="0" t="n">
        <v>10.4165</v>
      </c>
      <c r="DE78" s="0" t="n">
        <v>9.4562</v>
      </c>
      <c r="DF78" s="0" t="n">
        <v>4.886</v>
      </c>
      <c r="DG78" s="0" t="n">
        <v>6.7464</v>
      </c>
      <c r="DH78" s="0" t="n">
        <v>7.0332</v>
      </c>
      <c r="DI78" s="0" t="n">
        <v>9.2811</v>
      </c>
      <c r="DJ78" s="0" t="n">
        <v>6.5649</v>
      </c>
      <c r="DK78" s="0" t="n">
        <v>4.3173</v>
      </c>
      <c r="DL78" s="0" t="n">
        <v>5.7878</v>
      </c>
      <c r="DM78" s="0" t="n">
        <v>3.9103</v>
      </c>
      <c r="DN78" s="0" t="n">
        <v>5.2746</v>
      </c>
      <c r="DO78" s="0" t="n">
        <v>4.8495</v>
      </c>
      <c r="DP78" s="0" t="n">
        <v>5.0905</v>
      </c>
      <c r="DQ78" s="0" t="n">
        <v>7.3867</v>
      </c>
      <c r="DR78" s="0" t="n">
        <v>8.2274</v>
      </c>
      <c r="DS78" s="0" t="n">
        <v>5.9155</v>
      </c>
      <c r="DT78" s="0" t="n">
        <v>5.1686</v>
      </c>
      <c r="DU78" s="0" t="n">
        <v>6.3971</v>
      </c>
      <c r="DV78" s="0" t="n">
        <v>8.3247</v>
      </c>
      <c r="DW78" s="0" t="n">
        <v>7.7312</v>
      </c>
      <c r="DX78" s="0" t="n">
        <v>9.524</v>
      </c>
      <c r="DY78" s="0" t="n">
        <v>4.0331</v>
      </c>
      <c r="DZ78" s="0" t="n">
        <v>7.5203</v>
      </c>
      <c r="EA78" s="0" t="n">
        <v>9.46</v>
      </c>
      <c r="EB78" s="0" t="n">
        <v>9.374</v>
      </c>
      <c r="EC78" s="0" t="n">
        <v>9.8106</v>
      </c>
      <c r="ED78" s="0" t="n">
        <v>7.8608</v>
      </c>
      <c r="EE78" s="0" t="n">
        <v>11.6742</v>
      </c>
      <c r="EF78" s="0" t="n">
        <v>8.6226</v>
      </c>
      <c r="EG78" s="0" t="n">
        <v>8.6193</v>
      </c>
      <c r="EH78" s="0" t="n">
        <v>6.4009</v>
      </c>
      <c r="EI78" s="0" t="n">
        <v>5.9628</v>
      </c>
      <c r="EJ78" s="0" t="n">
        <v>6.0897</v>
      </c>
      <c r="EK78" s="0" t="n">
        <v>6.1692</v>
      </c>
      <c r="EL78" s="0" t="n">
        <v>4.7896</v>
      </c>
      <c r="EM78" s="0" t="n">
        <v>3.0307</v>
      </c>
      <c r="EN78" s="0" t="n">
        <v>3.2035</v>
      </c>
      <c r="EO78" s="0" t="n">
        <v>1.7736</v>
      </c>
      <c r="EP78" s="0" t="n">
        <v>2.0833</v>
      </c>
      <c r="EQ78" s="0" t="n">
        <v>1.1458</v>
      </c>
      <c r="ER78" s="0" t="n">
        <v>1.0565</v>
      </c>
      <c r="ES78" s="0" t="n">
        <v>0.6924</v>
      </c>
      <c r="ET78" s="0" t="n">
        <v>0.6809</v>
      </c>
      <c r="EU78" s="0" t="n">
        <v>0.5601</v>
      </c>
      <c r="EV78" s="0" t="n">
        <v>0.2427</v>
      </c>
      <c r="EW78" s="0" t="n">
        <v>0.6064</v>
      </c>
      <c r="EX78" s="0" t="n">
        <v>0.3278</v>
      </c>
      <c r="EY78" s="0" t="n">
        <v>0.5219</v>
      </c>
      <c r="EZ78" s="0" t="n">
        <v>0.2307</v>
      </c>
      <c r="FA78" s="0" t="n">
        <v>0.4342</v>
      </c>
      <c r="FB78" s="0" t="n">
        <v>0.3672</v>
      </c>
      <c r="FC78" s="0" t="n">
        <v>0.2628</v>
      </c>
      <c r="FD78" s="0" t="n">
        <v>0.2482</v>
      </c>
      <c r="FE78" s="0" t="n">
        <v>0.7044</v>
      </c>
      <c r="FF78" s="0" t="n">
        <v>0.0217</v>
      </c>
      <c r="FG78" s="0" t="n">
        <v>0.0149</v>
      </c>
      <c r="FH78" s="0" t="n">
        <v>0.0144</v>
      </c>
      <c r="FI78" s="0" t="n">
        <v>0.0239</v>
      </c>
      <c r="FJ78" s="0" t="n">
        <v>0.2099</v>
      </c>
      <c r="FK78" s="0" t="n">
        <v>0.2266</v>
      </c>
      <c r="FL78" s="0" t="n">
        <v>0</v>
      </c>
      <c r="FM78" s="0" t="n">
        <v>0.0938</v>
      </c>
      <c r="FN78" s="0" t="n">
        <v>0</v>
      </c>
      <c r="FO78" s="0" t="n">
        <v>0</v>
      </c>
      <c r="FP78" s="0" t="n">
        <v>0.4153</v>
      </c>
    </row>
    <row r="79" customFormat="false" ht="13.8" hidden="false" customHeight="false" outlineLevel="0" collapsed="false">
      <c r="A79" s="2" t="s">
        <v>321</v>
      </c>
      <c r="B79" s="0" t="s">
        <v>173</v>
      </c>
      <c r="C79" s="0" t="n">
        <v>120</v>
      </c>
      <c r="D79" s="0" t="s">
        <v>322</v>
      </c>
      <c r="E79" s="0" t="e">
        <f aca="false">VLOOKUP(A79,[1]RHIZOMES!$A$1:$B$1048576,2,0)</f>
        <v>#N/A</v>
      </c>
      <c r="G79" s="0" t="n">
        <v>1394.4635</v>
      </c>
      <c r="H79" s="0" t="n">
        <v>113.5409</v>
      </c>
      <c r="I79" s="0" t="n">
        <v>356.6992</v>
      </c>
      <c r="J79" s="0" t="n">
        <v>0.78235</v>
      </c>
      <c r="K79" s="0" t="n">
        <v>0.0132</v>
      </c>
      <c r="L79" s="0" t="n">
        <v>16.1959</v>
      </c>
      <c r="M79" s="0" t="n">
        <v>24.8732</v>
      </c>
      <c r="N79" s="0" t="n">
        <v>141.0354</v>
      </c>
      <c r="O79" s="0" t="n">
        <v>110.5241</v>
      </c>
      <c r="P79" s="0" t="n">
        <v>111.31</v>
      </c>
      <c r="Q79" s="0" t="n">
        <v>154.7469</v>
      </c>
      <c r="R79" s="0" t="n">
        <v>81.5422</v>
      </c>
      <c r="S79" s="0" t="n">
        <v>79.883</v>
      </c>
      <c r="T79" s="0" t="n">
        <v>72.2413</v>
      </c>
      <c r="U79" s="0" t="n">
        <v>83.2658</v>
      </c>
      <c r="V79" s="0" t="n">
        <v>28.7718</v>
      </c>
      <c r="W79" s="0" t="n">
        <v>43.0855</v>
      </c>
      <c r="X79" s="0" t="n">
        <v>24.1709</v>
      </c>
      <c r="Y79" s="0" t="n">
        <v>13.8275</v>
      </c>
      <c r="Z79" s="0" t="n">
        <v>14.9389</v>
      </c>
      <c r="AA79" s="0" t="n">
        <v>17.5602</v>
      </c>
      <c r="AB79" s="0" t="n">
        <v>20.7646</v>
      </c>
      <c r="AC79" s="0" t="n">
        <v>11.7719</v>
      </c>
      <c r="AD79" s="0" t="n">
        <v>15.1812</v>
      </c>
      <c r="AE79" s="0" t="n">
        <v>6.8899</v>
      </c>
      <c r="AF79" s="0" t="n">
        <v>8.5142</v>
      </c>
      <c r="AG79" s="0" t="n">
        <v>3.7114</v>
      </c>
      <c r="AH79" s="0" t="n">
        <v>9.5556</v>
      </c>
      <c r="AI79" s="0" t="n">
        <v>13.6337</v>
      </c>
      <c r="AJ79" s="0" t="n">
        <v>7.3809</v>
      </c>
      <c r="AK79" s="0" t="n">
        <v>12.2343</v>
      </c>
      <c r="AL79" s="0" t="n">
        <v>7.6731</v>
      </c>
      <c r="AM79" s="0" t="n">
        <v>14.3229</v>
      </c>
      <c r="AN79" s="0" t="n">
        <v>19.2383</v>
      </c>
      <c r="AO79" s="0" t="n">
        <v>21.0146</v>
      </c>
      <c r="AP79" s="0" t="n">
        <v>15.2817</v>
      </c>
      <c r="AQ79" s="0" t="n">
        <v>16.4705</v>
      </c>
      <c r="AR79" s="0" t="n">
        <v>14.5336</v>
      </c>
      <c r="AS79" s="0" t="n">
        <v>9.8699</v>
      </c>
      <c r="AT79" s="0" t="n">
        <v>12.2948</v>
      </c>
      <c r="AU79" s="0" t="n">
        <v>15.0486</v>
      </c>
      <c r="AV79" s="0" t="n">
        <v>8.0794</v>
      </c>
      <c r="AW79" s="0" t="n">
        <v>13.2461</v>
      </c>
      <c r="AX79" s="0" t="n">
        <v>19.5885</v>
      </c>
      <c r="AY79" s="0" t="n">
        <v>11.9598</v>
      </c>
      <c r="AZ79" s="0" t="n">
        <v>18.6589</v>
      </c>
      <c r="BA79" s="0" t="n">
        <v>8.1684</v>
      </c>
      <c r="BB79" s="0" t="n">
        <v>10.9871</v>
      </c>
      <c r="BC79" s="0" t="n">
        <v>7.196</v>
      </c>
      <c r="BD79" s="0" t="n">
        <v>3.7375</v>
      </c>
      <c r="BE79" s="0" t="n">
        <v>3.5932</v>
      </c>
      <c r="BF79" s="0" t="n">
        <v>2.5757</v>
      </c>
      <c r="BG79" s="0" t="n">
        <v>2.1873</v>
      </c>
      <c r="BH79" s="0" t="n">
        <v>1.8906</v>
      </c>
      <c r="BI79" s="0" t="n">
        <v>2.0735</v>
      </c>
      <c r="BJ79" s="0" t="n">
        <v>0.6792</v>
      </c>
      <c r="BK79" s="0" t="n">
        <v>1.1526</v>
      </c>
      <c r="BL79" s="0" t="n">
        <v>0.5028</v>
      </c>
      <c r="BM79" s="0" t="n">
        <v>0.2638</v>
      </c>
      <c r="BN79" s="0" t="n">
        <v>0.8197</v>
      </c>
      <c r="BO79" s="0" t="n">
        <v>1.1435</v>
      </c>
      <c r="BP79" s="0" t="n">
        <v>0.3652</v>
      </c>
      <c r="BQ79" s="0" t="n">
        <v>0.4035</v>
      </c>
      <c r="BR79" s="0" t="n">
        <v>0.0889</v>
      </c>
      <c r="BS79" s="0" t="n">
        <v>0.0672</v>
      </c>
      <c r="BT79" s="0" t="n">
        <v>0.1173</v>
      </c>
      <c r="BU79" s="0" t="n">
        <v>0.0386</v>
      </c>
      <c r="BV79" s="0" t="n">
        <v>0.0201</v>
      </c>
      <c r="BW79" s="0" t="n">
        <v>0.0566</v>
      </c>
      <c r="BX79" s="0" t="n">
        <v>0.075</v>
      </c>
      <c r="BY79" s="0" t="n">
        <v>0.0159</v>
      </c>
      <c r="BZ79" s="0" t="n">
        <v>0.0338</v>
      </c>
      <c r="CA79" s="0" t="n">
        <v>0.0201</v>
      </c>
      <c r="CB79" s="0" t="n">
        <v>0.027</v>
      </c>
      <c r="CC79" s="0" t="n">
        <v>0.0338</v>
      </c>
      <c r="CD79" s="0" t="n">
        <v>0.0338</v>
      </c>
      <c r="CE79" s="0" t="n">
        <v>0.0497</v>
      </c>
      <c r="CF79" s="0" t="n">
        <v>0.0127</v>
      </c>
      <c r="CG79" s="0" t="n">
        <v>0.0137</v>
      </c>
      <c r="CH79" s="0" t="n">
        <v>0.0227</v>
      </c>
      <c r="CI79" s="0" t="n">
        <v>0.018</v>
      </c>
      <c r="CJ79" s="0" t="n">
        <v>0</v>
      </c>
      <c r="CK79" s="0" t="n">
        <v>0</v>
      </c>
      <c r="CL79" s="0" t="n">
        <v>0</v>
      </c>
      <c r="CM79" s="0" t="n">
        <v>0.35</v>
      </c>
      <c r="CN79" s="0" t="n">
        <v>0.0002</v>
      </c>
      <c r="CO79" s="0" t="n">
        <v>0.4095</v>
      </c>
      <c r="CP79" s="0" t="n">
        <v>1.0285</v>
      </c>
      <c r="CQ79" s="0" t="n">
        <v>7.8206</v>
      </c>
      <c r="CR79" s="0" t="n">
        <v>8.009</v>
      </c>
      <c r="CS79" s="0" t="n">
        <v>9.4426</v>
      </c>
      <c r="CT79" s="0" t="n">
        <v>15.5807</v>
      </c>
      <c r="CU79" s="0" t="n">
        <v>9.7037</v>
      </c>
      <c r="CV79" s="0" t="n">
        <v>10.6257</v>
      </c>
      <c r="CW79" s="0" t="n">
        <v>10.598</v>
      </c>
      <c r="CX79" s="0" t="n">
        <v>13.8225</v>
      </c>
      <c r="CY79" s="0" t="n">
        <v>5.2253</v>
      </c>
      <c r="CZ79" s="0" t="n">
        <v>8.4287</v>
      </c>
      <c r="DA79" s="0" t="n">
        <v>5.2099</v>
      </c>
      <c r="DB79" s="0" t="n">
        <v>3.1329</v>
      </c>
      <c r="DC79" s="0" t="n">
        <v>3.6165</v>
      </c>
      <c r="DD79" s="0" t="n">
        <v>4.5317</v>
      </c>
      <c r="DE79" s="0" t="n">
        <v>5.7424</v>
      </c>
      <c r="DF79" s="0" t="n">
        <v>3.4258</v>
      </c>
      <c r="DG79" s="0" t="n">
        <v>4.6191</v>
      </c>
      <c r="DH79" s="0" t="n">
        <v>2.2064</v>
      </c>
      <c r="DI79" s="0" t="n">
        <v>2.888</v>
      </c>
      <c r="DJ79" s="0" t="n">
        <v>1.3242</v>
      </c>
      <c r="DK79" s="0" t="n">
        <v>3.5075</v>
      </c>
      <c r="DL79" s="0" t="n">
        <v>5.2884</v>
      </c>
      <c r="DM79" s="0" t="n">
        <v>2.9504</v>
      </c>
      <c r="DN79" s="0" t="n">
        <v>5.093</v>
      </c>
      <c r="DO79" s="0" t="n">
        <v>3.3313</v>
      </c>
      <c r="DP79" s="0" t="n">
        <v>6.4079</v>
      </c>
      <c r="DQ79" s="0" t="n">
        <v>8.9108</v>
      </c>
      <c r="DR79" s="0" t="n">
        <v>10.1175</v>
      </c>
      <c r="DS79" s="0" t="n">
        <v>7.538</v>
      </c>
      <c r="DT79" s="0" t="n">
        <v>8.3826</v>
      </c>
      <c r="DU79" s="0" t="n">
        <v>7.6519</v>
      </c>
      <c r="DV79" s="0" t="n">
        <v>5.3354</v>
      </c>
      <c r="DW79" s="0" t="n">
        <v>6.8267</v>
      </c>
      <c r="DX79" s="0" t="n">
        <v>8.6301</v>
      </c>
      <c r="DY79" s="0" t="n">
        <v>4.7775</v>
      </c>
      <c r="DZ79" s="0" t="n">
        <v>7.9725</v>
      </c>
      <c r="EA79" s="0" t="n">
        <v>12.1704</v>
      </c>
      <c r="EB79" s="0" t="n">
        <v>7.6282</v>
      </c>
      <c r="EC79" s="0" t="n">
        <v>12.1964</v>
      </c>
      <c r="ED79" s="0" t="n">
        <v>5.4267</v>
      </c>
      <c r="EE79" s="0" t="n">
        <v>7.4715</v>
      </c>
      <c r="EF79" s="0" t="n">
        <v>5.0378</v>
      </c>
      <c r="EG79" s="0" t="n">
        <v>2.6841</v>
      </c>
      <c r="EH79" s="0" t="n">
        <v>2.6238</v>
      </c>
      <c r="EI79" s="0" t="n">
        <v>1.9141</v>
      </c>
      <c r="EJ79" s="0" t="n">
        <v>1.6606</v>
      </c>
      <c r="EK79" s="0" t="n">
        <v>1.4704</v>
      </c>
      <c r="EL79" s="0" t="n">
        <v>1.6472</v>
      </c>
      <c r="EM79" s="0" t="n">
        <v>0.5486</v>
      </c>
      <c r="EN79" s="0" t="n">
        <v>0.9515</v>
      </c>
      <c r="EO79" s="0" t="n">
        <v>0.4234</v>
      </c>
      <c r="EP79" s="0" t="n">
        <v>0.2257</v>
      </c>
      <c r="EQ79" s="0" t="n">
        <v>0.7155</v>
      </c>
      <c r="ER79" s="0" t="n">
        <v>1.0167</v>
      </c>
      <c r="ES79" s="0" t="n">
        <v>0.329</v>
      </c>
      <c r="ET79" s="0" t="n">
        <v>0.3699</v>
      </c>
      <c r="EU79" s="0" t="n">
        <v>0.0829</v>
      </c>
      <c r="EV79" s="0" t="n">
        <v>0.0638</v>
      </c>
      <c r="EW79" s="0" t="n">
        <v>0.1129</v>
      </c>
      <c r="EX79" s="0" t="n">
        <v>0.038</v>
      </c>
      <c r="EY79" s="0" t="n">
        <v>0.0199</v>
      </c>
      <c r="EZ79" s="0" t="n">
        <v>0.0573</v>
      </c>
      <c r="FA79" s="0" t="n">
        <v>0.0771</v>
      </c>
      <c r="FB79" s="0" t="n">
        <v>0.0165</v>
      </c>
      <c r="FC79" s="0" t="n">
        <v>0.0359</v>
      </c>
      <c r="FD79" s="0" t="n">
        <v>0.0217</v>
      </c>
      <c r="FE79" s="0" t="n">
        <v>0.0295</v>
      </c>
      <c r="FF79" s="0" t="n">
        <v>0.0376</v>
      </c>
      <c r="FG79" s="0" t="n">
        <v>0.0381</v>
      </c>
      <c r="FH79" s="0" t="n">
        <v>0.0566</v>
      </c>
      <c r="FI79" s="0" t="n">
        <v>0.0146</v>
      </c>
      <c r="FJ79" s="0" t="n">
        <v>0.0161</v>
      </c>
      <c r="FK79" s="0" t="n">
        <v>0.0271</v>
      </c>
      <c r="FL79" s="0" t="n">
        <v>0.0215</v>
      </c>
      <c r="FM79" s="0" t="n">
        <v>0</v>
      </c>
      <c r="FN79" s="0" t="n">
        <v>0</v>
      </c>
      <c r="FO79" s="0" t="n">
        <v>0</v>
      </c>
      <c r="FP79" s="0" t="n">
        <v>0.5341</v>
      </c>
    </row>
    <row r="80" customFormat="false" ht="13.8" hidden="false" customHeight="false" outlineLevel="0" collapsed="false">
      <c r="A80" s="2" t="s">
        <v>323</v>
      </c>
      <c r="B80" s="0" t="s">
        <v>176</v>
      </c>
      <c r="C80" s="0" t="n">
        <v>359</v>
      </c>
      <c r="D80" s="0" t="s">
        <v>324</v>
      </c>
      <c r="G80" s="0" t="n">
        <v>2422.1081</v>
      </c>
      <c r="H80" s="0" t="n">
        <v>143.3741</v>
      </c>
      <c r="I80" s="0" t="n">
        <v>450.4227</v>
      </c>
      <c r="J80" s="0" t="n">
        <v>0.589675</v>
      </c>
      <c r="K80" s="0" t="n">
        <v>0.0063</v>
      </c>
      <c r="L80" s="0" t="n">
        <v>206.7749</v>
      </c>
      <c r="M80" s="0" t="n">
        <v>181.4232</v>
      </c>
      <c r="N80" s="0" t="n">
        <v>277.6008</v>
      </c>
      <c r="O80" s="0" t="n">
        <v>256.082</v>
      </c>
      <c r="P80" s="0" t="n">
        <v>188.9615</v>
      </c>
      <c r="Q80" s="0" t="n">
        <v>116.6952</v>
      </c>
      <c r="R80" s="0" t="n">
        <v>114.0643</v>
      </c>
      <c r="S80" s="0" t="n">
        <v>70.963</v>
      </c>
      <c r="T80" s="0" t="n">
        <v>67.5265</v>
      </c>
      <c r="U80" s="0" t="n">
        <v>56.9084</v>
      </c>
      <c r="V80" s="0" t="n">
        <v>53.5255</v>
      </c>
      <c r="W80" s="0" t="n">
        <v>61.1791</v>
      </c>
      <c r="X80" s="0" t="n">
        <v>73.5391</v>
      </c>
      <c r="Y80" s="0" t="n">
        <v>57.3745</v>
      </c>
      <c r="Z80" s="0" t="n">
        <v>45.3598</v>
      </c>
      <c r="AA80" s="0" t="n">
        <v>38.8984</v>
      </c>
      <c r="AB80" s="0" t="n">
        <v>33.8591</v>
      </c>
      <c r="AC80" s="0" t="n">
        <v>33.563</v>
      </c>
      <c r="AD80" s="0" t="n">
        <v>33.2754</v>
      </c>
      <c r="AE80" s="0" t="n">
        <v>29.979</v>
      </c>
      <c r="AF80" s="0" t="n">
        <v>27.3369</v>
      </c>
      <c r="AG80" s="0" t="n">
        <v>27.4676</v>
      </c>
      <c r="AH80" s="0" t="n">
        <v>25.4006</v>
      </c>
      <c r="AI80" s="0" t="n">
        <v>26.3609</v>
      </c>
      <c r="AJ80" s="0" t="n">
        <v>21.858</v>
      </c>
      <c r="AK80" s="0" t="n">
        <v>21.8904</v>
      </c>
      <c r="AL80" s="0" t="n">
        <v>20.1183</v>
      </c>
      <c r="AM80" s="0" t="n">
        <v>15.5277</v>
      </c>
      <c r="AN80" s="0" t="n">
        <v>19.1508</v>
      </c>
      <c r="AO80" s="0" t="n">
        <v>23.5581</v>
      </c>
      <c r="AP80" s="0" t="n">
        <v>24.4652</v>
      </c>
      <c r="AQ80" s="0" t="n">
        <v>23.0934</v>
      </c>
      <c r="AR80" s="0" t="n">
        <v>25.5412</v>
      </c>
      <c r="AS80" s="0" t="n">
        <v>21.9978</v>
      </c>
      <c r="AT80" s="0" t="n">
        <v>20.6039</v>
      </c>
      <c r="AU80" s="0" t="n">
        <v>13.4511</v>
      </c>
      <c r="AV80" s="0" t="n">
        <v>10.2117</v>
      </c>
      <c r="AW80" s="0" t="n">
        <v>8.2991</v>
      </c>
      <c r="AX80" s="0" t="n">
        <v>5.3304</v>
      </c>
      <c r="AY80" s="0" t="n">
        <v>6.8706</v>
      </c>
      <c r="AZ80" s="0" t="n">
        <v>4.4565</v>
      </c>
      <c r="BA80" s="0" t="n">
        <v>5.5852</v>
      </c>
      <c r="BB80" s="0" t="n">
        <v>4.4008</v>
      </c>
      <c r="BC80" s="0" t="n">
        <v>2.6199</v>
      </c>
      <c r="BD80" s="0" t="n">
        <v>2.4377</v>
      </c>
      <c r="BE80" s="0" t="n">
        <v>2.1119</v>
      </c>
      <c r="BF80" s="0" t="n">
        <v>2.2232</v>
      </c>
      <c r="BG80" s="0" t="n">
        <v>3.3397</v>
      </c>
      <c r="BH80" s="0" t="n">
        <v>1.6844</v>
      </c>
      <c r="BI80" s="0" t="n">
        <v>1.5985</v>
      </c>
      <c r="BJ80" s="0" t="n">
        <v>1.8135</v>
      </c>
      <c r="BK80" s="0" t="n">
        <v>0.924</v>
      </c>
      <c r="BL80" s="0" t="n">
        <v>0.2306</v>
      </c>
      <c r="BM80" s="0" t="n">
        <v>0.2314</v>
      </c>
      <c r="BN80" s="0" t="n">
        <v>0.1104</v>
      </c>
      <c r="BO80" s="0" t="n">
        <v>0.532</v>
      </c>
      <c r="BP80" s="0" t="n">
        <v>0.019</v>
      </c>
      <c r="BQ80" s="0" t="n">
        <v>0.0127</v>
      </c>
      <c r="BR80" s="0" t="n">
        <v>0.2139</v>
      </c>
      <c r="BS80" s="0" t="n">
        <v>0.0322</v>
      </c>
      <c r="BT80" s="0" t="n">
        <v>0.0127</v>
      </c>
      <c r="BU80" s="0" t="n">
        <v>0.0555</v>
      </c>
      <c r="BV80" s="0" t="n">
        <v>0.16</v>
      </c>
      <c r="BW80" s="0" t="n">
        <v>0.0322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0.0914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0.0797</v>
      </c>
      <c r="CN80" s="0" t="n">
        <v>0.0001</v>
      </c>
      <c r="CO80" s="0" t="n">
        <v>5.3996</v>
      </c>
      <c r="CP80" s="0" t="n">
        <v>7.0325</v>
      </c>
      <c r="CQ80" s="0" t="n">
        <v>15.3427</v>
      </c>
      <c r="CR80" s="0" t="n">
        <v>17.874</v>
      </c>
      <c r="CS80" s="0" t="n">
        <v>16.1676</v>
      </c>
      <c r="CT80" s="0" t="n">
        <v>11.8741</v>
      </c>
      <c r="CU80" s="0" t="n">
        <v>13.4273</v>
      </c>
      <c r="CV80" s="0" t="n">
        <v>9.4915</v>
      </c>
      <c r="CW80" s="0" t="n">
        <v>10.0358</v>
      </c>
      <c r="CX80" s="0" t="n">
        <v>9.3802</v>
      </c>
      <c r="CY80" s="0" t="n">
        <v>9.6997</v>
      </c>
      <c r="CZ80" s="0" t="n">
        <v>12.0277</v>
      </c>
      <c r="DA80" s="0" t="n">
        <v>15.6132</v>
      </c>
      <c r="DB80" s="0" t="n">
        <v>13.043</v>
      </c>
      <c r="DC80" s="0" t="n">
        <v>11.0485</v>
      </c>
      <c r="DD80" s="0" t="n">
        <v>10.0687</v>
      </c>
      <c r="DE80" s="0" t="n">
        <v>9.3043</v>
      </c>
      <c r="DF80" s="0" t="n">
        <v>9.742</v>
      </c>
      <c r="DG80" s="0" t="n">
        <v>10.1795</v>
      </c>
      <c r="DH80" s="0" t="n">
        <v>9.6543</v>
      </c>
      <c r="DI80" s="0" t="n">
        <v>9.2393</v>
      </c>
      <c r="DJ80" s="0" t="n">
        <v>9.6897</v>
      </c>
      <c r="DK80" s="0" t="n">
        <v>9.3814</v>
      </c>
      <c r="DL80" s="0" t="n">
        <v>10.1553</v>
      </c>
      <c r="DM80" s="0" t="n">
        <v>8.7474</v>
      </c>
      <c r="DN80" s="0" t="n">
        <v>9.1115</v>
      </c>
      <c r="DO80" s="0" t="n">
        <v>8.6992</v>
      </c>
      <c r="DP80" s="0" t="n">
        <v>6.9492</v>
      </c>
      <c r="DQ80" s="0" t="n">
        <v>8.8885</v>
      </c>
      <c r="DR80" s="0" t="n">
        <v>11.2866</v>
      </c>
      <c r="DS80" s="0" t="n">
        <v>12.1156</v>
      </c>
      <c r="DT80" s="0" t="n">
        <v>11.7999</v>
      </c>
      <c r="DU80" s="0" t="n">
        <v>13.4503</v>
      </c>
      <c r="DV80" s="0" t="n">
        <v>11.9142</v>
      </c>
      <c r="DW80" s="0" t="n">
        <v>11.4876</v>
      </c>
      <c r="DX80" s="0" t="n">
        <v>7.7062</v>
      </c>
      <c r="DY80" s="0" t="n">
        <v>6.0133</v>
      </c>
      <c r="DZ80" s="0" t="n">
        <v>5.0184</v>
      </c>
      <c r="EA80" s="0" t="n">
        <v>3.312</v>
      </c>
      <c r="EB80" s="0" t="n">
        <v>4.3702</v>
      </c>
      <c r="EC80" s="0" t="n">
        <v>2.9056</v>
      </c>
      <c r="ED80" s="0" t="n">
        <v>3.7284</v>
      </c>
      <c r="EE80" s="0" t="n">
        <v>3.0003</v>
      </c>
      <c r="EF80" s="0" t="n">
        <v>1.8317</v>
      </c>
      <c r="EG80" s="0" t="n">
        <v>1.7389</v>
      </c>
      <c r="EH80" s="0" t="n">
        <v>1.545</v>
      </c>
      <c r="EI80" s="0" t="n">
        <v>1.6569</v>
      </c>
      <c r="EJ80" s="0" t="n">
        <v>2.5491</v>
      </c>
      <c r="EK80" s="0" t="n">
        <v>1.31</v>
      </c>
      <c r="EL80" s="0" t="n">
        <v>1.2661</v>
      </c>
      <c r="EM80" s="0" t="n">
        <v>1.4643</v>
      </c>
      <c r="EN80" s="0" t="n">
        <v>0.7606</v>
      </c>
      <c r="EO80" s="0" t="n">
        <v>0.1945</v>
      </c>
      <c r="EP80" s="0" t="n">
        <v>0.1987</v>
      </c>
      <c r="EQ80" s="0" t="n">
        <v>0.0967</v>
      </c>
      <c r="ER80" s="0" t="n">
        <v>0.4759</v>
      </c>
      <c r="ES80" s="0" t="n">
        <v>0.0171</v>
      </c>
      <c r="ET80" s="0" t="n">
        <v>0.0116</v>
      </c>
      <c r="EU80" s="0" t="n">
        <v>0.2</v>
      </c>
      <c r="EV80" s="0" t="n">
        <v>0.0307</v>
      </c>
      <c r="EW80" s="0" t="n">
        <v>0.0122</v>
      </c>
      <c r="EX80" s="0" t="n">
        <v>0.0542</v>
      </c>
      <c r="EY80" s="0" t="n">
        <v>0.1591</v>
      </c>
      <c r="EZ80" s="0" t="n">
        <v>0.0327</v>
      </c>
      <c r="FA80" s="0" t="n">
        <v>0</v>
      </c>
      <c r="FB80" s="0" t="n">
        <v>0</v>
      </c>
      <c r="FC80" s="0" t="n">
        <v>0</v>
      </c>
      <c r="FD80" s="0" t="n">
        <v>0</v>
      </c>
      <c r="FE80" s="0" t="n">
        <v>0</v>
      </c>
      <c r="FF80" s="0" t="n">
        <v>0</v>
      </c>
      <c r="FG80" s="0" t="n">
        <v>0</v>
      </c>
      <c r="FH80" s="0" t="n">
        <v>0</v>
      </c>
      <c r="FI80" s="0" t="n">
        <v>0</v>
      </c>
      <c r="FJ80" s="0" t="n">
        <v>0.1073</v>
      </c>
      <c r="FK80" s="0" t="n">
        <v>0</v>
      </c>
      <c r="FL80" s="0" t="n">
        <v>0</v>
      </c>
      <c r="FM80" s="0" t="n">
        <v>0</v>
      </c>
      <c r="FN80" s="0" t="n">
        <v>0</v>
      </c>
      <c r="FO80" s="0" t="n">
        <v>0</v>
      </c>
      <c r="FP80" s="0" t="n">
        <v>0.1425</v>
      </c>
    </row>
    <row r="81" customFormat="false" ht="13.8" hidden="false" customHeight="false" outlineLevel="0" collapsed="false">
      <c r="A81" s="2" t="s">
        <v>325</v>
      </c>
      <c r="B81" s="0" t="s">
        <v>173</v>
      </c>
      <c r="C81" s="0" t="n">
        <v>67</v>
      </c>
      <c r="D81" s="0" t="s">
        <v>326</v>
      </c>
      <c r="F81" s="0" t="n">
        <v>2.4004</v>
      </c>
      <c r="G81" s="0" t="n">
        <v>1506.1021</v>
      </c>
      <c r="H81" s="0" t="n">
        <v>117.7966</v>
      </c>
      <c r="I81" s="0" t="n">
        <v>370.0689</v>
      </c>
      <c r="J81" s="0" t="n">
        <v>0.7773</v>
      </c>
      <c r="K81" s="0" t="n">
        <v>0</v>
      </c>
      <c r="L81" s="0" t="n">
        <v>169.148</v>
      </c>
      <c r="M81" s="0" t="n">
        <v>217.6753</v>
      </c>
      <c r="N81" s="0" t="n">
        <v>117.4608</v>
      </c>
      <c r="O81" s="0" t="n">
        <v>0.2073</v>
      </c>
      <c r="P81" s="0" t="n">
        <v>110.4977</v>
      </c>
      <c r="Q81" s="0" t="n">
        <v>35.9498</v>
      </c>
      <c r="R81" s="0" t="n">
        <v>48.7104</v>
      </c>
      <c r="S81" s="0" t="n">
        <v>36.0072</v>
      </c>
      <c r="T81" s="0" t="n">
        <v>4.8628</v>
      </c>
      <c r="U81" s="0" t="n">
        <v>31.2522</v>
      </c>
      <c r="V81" s="0" t="n">
        <v>31.4041</v>
      </c>
      <c r="W81" s="0" t="n">
        <v>19.8082</v>
      </c>
      <c r="X81" s="0" t="n">
        <v>25.429</v>
      </c>
      <c r="Y81" s="0" t="n">
        <v>23.5837</v>
      </c>
      <c r="Z81" s="0" t="n">
        <v>20.2877</v>
      </c>
      <c r="AA81" s="0" t="n">
        <v>16.6017</v>
      </c>
      <c r="AB81" s="0" t="n">
        <v>28.4158</v>
      </c>
      <c r="AC81" s="0" t="n">
        <v>10.7617</v>
      </c>
      <c r="AD81" s="0" t="n">
        <v>32.4204</v>
      </c>
      <c r="AE81" s="0" t="n">
        <v>15.8909</v>
      </c>
      <c r="AF81" s="0" t="n">
        <v>33.8812</v>
      </c>
      <c r="AG81" s="0" t="n">
        <v>14.8991</v>
      </c>
      <c r="AH81" s="0" t="n">
        <v>29.403</v>
      </c>
      <c r="AI81" s="0" t="n">
        <v>35.2482</v>
      </c>
      <c r="AJ81" s="0" t="n">
        <v>9.0847</v>
      </c>
      <c r="AK81" s="0" t="n">
        <v>59.2988</v>
      </c>
      <c r="AL81" s="0" t="n">
        <v>46.3052</v>
      </c>
      <c r="AM81" s="0" t="n">
        <v>25.0981</v>
      </c>
      <c r="AN81" s="0" t="n">
        <v>18.9145</v>
      </c>
      <c r="AO81" s="0" t="n">
        <v>43.9863</v>
      </c>
      <c r="AP81" s="0" t="n">
        <v>20.7535</v>
      </c>
      <c r="AQ81" s="0" t="n">
        <v>29.9913</v>
      </c>
      <c r="AR81" s="0" t="n">
        <v>22.928</v>
      </c>
      <c r="AS81" s="0" t="n">
        <v>16.1657</v>
      </c>
      <c r="AT81" s="0" t="n">
        <v>22.9478</v>
      </c>
      <c r="AU81" s="0" t="n">
        <v>18.3349</v>
      </c>
      <c r="AV81" s="0" t="n">
        <v>1.3412</v>
      </c>
      <c r="AW81" s="0" t="n">
        <v>10.0117</v>
      </c>
      <c r="AX81" s="0" t="n">
        <v>7.7937</v>
      </c>
      <c r="AY81" s="0" t="n">
        <v>6.9827</v>
      </c>
      <c r="AZ81" s="0" t="n">
        <v>5.3518</v>
      </c>
      <c r="BA81" s="0" t="n">
        <v>3.7536</v>
      </c>
      <c r="BB81" s="0" t="n">
        <v>4.5322</v>
      </c>
      <c r="BC81" s="0" t="n">
        <v>4.4939</v>
      </c>
      <c r="BD81" s="0" t="n">
        <v>1.8294</v>
      </c>
      <c r="BE81" s="0" t="n">
        <v>2.8685</v>
      </c>
      <c r="BF81" s="0" t="n">
        <v>1.026</v>
      </c>
      <c r="BG81" s="0" t="n">
        <v>2.5325</v>
      </c>
      <c r="BH81" s="0" t="n">
        <v>1.3055</v>
      </c>
      <c r="BI81" s="0" t="n">
        <v>0.3976</v>
      </c>
      <c r="BJ81" s="0" t="n">
        <v>0.4897</v>
      </c>
      <c r="BK81" s="0" t="n">
        <v>1.1882</v>
      </c>
      <c r="BL81" s="0" t="n">
        <v>0.4415</v>
      </c>
      <c r="BM81" s="0" t="n">
        <v>0.0979</v>
      </c>
      <c r="BN81" s="0" t="n">
        <v>0.8996</v>
      </c>
      <c r="BO81" s="0" t="n">
        <v>0.7142</v>
      </c>
      <c r="BP81" s="0" t="n">
        <v>0.1693</v>
      </c>
      <c r="BQ81" s="0" t="n">
        <v>0.046</v>
      </c>
      <c r="BR81" s="0" t="n">
        <v>0.0936</v>
      </c>
      <c r="BS81" s="0" t="n">
        <v>0.1555</v>
      </c>
      <c r="BT81" s="0" t="n">
        <v>0.231</v>
      </c>
      <c r="BU81" s="0" t="n">
        <v>0.0624</v>
      </c>
      <c r="BV81" s="0" t="n">
        <v>0.175</v>
      </c>
      <c r="BW81" s="0" t="n">
        <v>0.1549</v>
      </c>
      <c r="BX81" s="0" t="n">
        <v>0.3853</v>
      </c>
      <c r="BY81" s="0" t="n">
        <v>0.0291</v>
      </c>
      <c r="BZ81" s="0" t="n">
        <v>0.1338</v>
      </c>
      <c r="CA81" s="0" t="n">
        <v>0.1147</v>
      </c>
      <c r="CB81" s="0" t="n">
        <v>0.3947</v>
      </c>
      <c r="CC81" s="0" t="n">
        <v>0.1976</v>
      </c>
      <c r="CD81" s="0" t="n">
        <v>0.0466</v>
      </c>
      <c r="CE81" s="0" t="n">
        <v>0.055</v>
      </c>
      <c r="CF81" s="0" t="n">
        <v>0.1174</v>
      </c>
      <c r="CG81" s="0" t="n">
        <v>0.0545</v>
      </c>
      <c r="CH81" s="0" t="n">
        <v>0</v>
      </c>
      <c r="CI81" s="0" t="n">
        <v>0.0513</v>
      </c>
      <c r="CJ81" s="0" t="n">
        <v>0.119</v>
      </c>
      <c r="CK81" s="0" t="n">
        <v>0.0328</v>
      </c>
      <c r="CL81" s="0" t="n">
        <v>0.0835</v>
      </c>
      <c r="CM81" s="0" t="n">
        <v>0.4142</v>
      </c>
      <c r="CN81" s="0" t="n">
        <v>0</v>
      </c>
      <c r="CO81" s="0" t="n">
        <v>3.6492</v>
      </c>
      <c r="CP81" s="0" t="n">
        <v>9.2043</v>
      </c>
      <c r="CQ81" s="0" t="n">
        <v>7.1652</v>
      </c>
      <c r="CR81" s="0" t="n">
        <v>0.0143</v>
      </c>
      <c r="CS81" s="0" t="n">
        <v>9.1901</v>
      </c>
      <c r="CT81" s="0" t="n">
        <v>3.6504</v>
      </c>
      <c r="CU81" s="0" t="n">
        <v>5.6836</v>
      </c>
      <c r="CV81" s="0" t="n">
        <v>5.0012</v>
      </c>
      <c r="CW81" s="0" t="n">
        <v>0.7031</v>
      </c>
      <c r="CX81" s="0" t="n">
        <v>5.0826</v>
      </c>
      <c r="CY81" s="0" t="n">
        <v>5.7426</v>
      </c>
      <c r="CZ81" s="0" t="n">
        <v>3.9336</v>
      </c>
      <c r="DA81" s="0" t="n">
        <v>5.3481</v>
      </c>
      <c r="DB81" s="0" t="n">
        <v>5.3619</v>
      </c>
      <c r="DC81" s="0" t="n">
        <v>4.9826</v>
      </c>
      <c r="DD81" s="0" t="n">
        <v>4.2435</v>
      </c>
      <c r="DE81" s="0" t="n">
        <v>7.8014</v>
      </c>
      <c r="DF81" s="0" t="n">
        <v>3.112</v>
      </c>
      <c r="DG81" s="0" t="n">
        <v>9.8538</v>
      </c>
      <c r="DH81" s="0" t="n">
        <v>5.1089</v>
      </c>
      <c r="DI81" s="0" t="n">
        <v>11.5316</v>
      </c>
      <c r="DJ81" s="0" t="n">
        <v>5.2853</v>
      </c>
      <c r="DK81" s="0" t="n">
        <v>10.8494</v>
      </c>
      <c r="DL81" s="0" t="n">
        <v>13.729</v>
      </c>
      <c r="DM81" s="0" t="n">
        <v>3.6128</v>
      </c>
      <c r="DN81" s="0" t="n">
        <v>24.6793</v>
      </c>
      <c r="DO81" s="0" t="n">
        <v>20.1809</v>
      </c>
      <c r="DP81" s="0" t="n">
        <v>11.3937</v>
      </c>
      <c r="DQ81" s="0" t="n">
        <v>8.704</v>
      </c>
      <c r="DR81" s="0" t="n">
        <v>21.0402</v>
      </c>
      <c r="DS81" s="0" t="n">
        <v>10.3009</v>
      </c>
      <c r="DT81" s="0" t="n">
        <v>15.3287</v>
      </c>
      <c r="DU81" s="0" t="n">
        <v>12.1151</v>
      </c>
      <c r="DV81" s="0" t="n">
        <v>8.683</v>
      </c>
      <c r="DW81" s="0" t="n">
        <v>12.7536</v>
      </c>
      <c r="DX81" s="0" t="n">
        <v>10.5816</v>
      </c>
      <c r="DY81" s="0" t="n">
        <v>0.7947</v>
      </c>
      <c r="DZ81" s="0" t="n">
        <v>5.9953</v>
      </c>
      <c r="EA81" s="0" t="n">
        <v>4.8326</v>
      </c>
      <c r="EB81" s="0" t="n">
        <v>4.4667</v>
      </c>
      <c r="EC81" s="0" t="n">
        <v>3.4876</v>
      </c>
      <c r="ED81" s="0" t="n">
        <v>2.4972</v>
      </c>
      <c r="EE81" s="0" t="n">
        <v>3.0899</v>
      </c>
      <c r="EF81" s="0" t="n">
        <v>3.1489</v>
      </c>
      <c r="EG81" s="0" t="n">
        <v>1.3109</v>
      </c>
      <c r="EH81" s="0" t="n">
        <v>2.0913</v>
      </c>
      <c r="EI81" s="0" t="n">
        <v>0.7629</v>
      </c>
      <c r="EJ81" s="0" t="n">
        <v>1.9274</v>
      </c>
      <c r="EK81" s="0" t="n">
        <v>1.0205</v>
      </c>
      <c r="EL81" s="0" t="n">
        <v>0.3166</v>
      </c>
      <c r="EM81" s="0" t="n">
        <v>0.3946</v>
      </c>
      <c r="EN81" s="0" t="n">
        <v>0.9745</v>
      </c>
      <c r="EO81" s="0" t="n">
        <v>0.3723</v>
      </c>
      <c r="EP81" s="0" t="n">
        <v>0.0837</v>
      </c>
      <c r="EQ81" s="0" t="n">
        <v>0.7842</v>
      </c>
      <c r="ER81" s="0" t="n">
        <v>0.6343</v>
      </c>
      <c r="ES81" s="0" t="n">
        <v>0.1525</v>
      </c>
      <c r="ET81" s="0" t="n">
        <v>0.0423</v>
      </c>
      <c r="EU81" s="0" t="n">
        <v>0.087</v>
      </c>
      <c r="EV81" s="0" t="n">
        <v>0.148</v>
      </c>
      <c r="EW81" s="0" t="n">
        <v>0.2233</v>
      </c>
      <c r="EX81" s="0" t="n">
        <v>0.0612</v>
      </c>
      <c r="EY81" s="0" t="n">
        <v>0.1737</v>
      </c>
      <c r="EZ81" s="0" t="n">
        <v>0.157</v>
      </c>
      <c r="FA81" s="0" t="n">
        <v>0.3983</v>
      </c>
      <c r="FB81" s="0" t="n">
        <v>0.0302</v>
      </c>
      <c r="FC81" s="0" t="n">
        <v>0.1414</v>
      </c>
      <c r="FD81" s="0" t="n">
        <v>0.1237</v>
      </c>
      <c r="FE81" s="0" t="n">
        <v>0.4331</v>
      </c>
      <c r="FF81" s="0" t="n">
        <v>0.2184</v>
      </c>
      <c r="FG81" s="0" t="n">
        <v>0.0522</v>
      </c>
      <c r="FH81" s="0" t="n">
        <v>0.0625</v>
      </c>
      <c r="FI81" s="0" t="n">
        <v>0.1358</v>
      </c>
      <c r="FJ81" s="0" t="n">
        <v>0.0641</v>
      </c>
      <c r="FK81" s="0" t="n">
        <v>0</v>
      </c>
      <c r="FL81" s="0" t="n">
        <v>0.0614</v>
      </c>
      <c r="FM81" s="0" t="n">
        <v>0.1448</v>
      </c>
      <c r="FN81" s="0" t="n">
        <v>0.0406</v>
      </c>
      <c r="FO81" s="0" t="n">
        <v>0.1039</v>
      </c>
      <c r="FP81" s="0" t="n">
        <v>0.5422</v>
      </c>
    </row>
    <row r="82" customFormat="false" ht="13.8" hidden="false" customHeight="false" outlineLevel="0" collapsed="false">
      <c r="A82" s="2" t="s">
        <v>327</v>
      </c>
      <c r="B82" s="0" t="s">
        <v>173</v>
      </c>
      <c r="C82" s="0" t="n">
        <v>54</v>
      </c>
      <c r="D82" s="0" t="s">
        <v>328</v>
      </c>
      <c r="G82" s="0" t="n">
        <v>1395.1917</v>
      </c>
      <c r="H82" s="0" t="n">
        <v>120.73</v>
      </c>
      <c r="I82" s="0" t="n">
        <v>379.2844</v>
      </c>
      <c r="J82" s="0" t="n">
        <v>0.8777</v>
      </c>
      <c r="K82" s="0" t="n">
        <v>0.3693</v>
      </c>
      <c r="L82" s="0" t="n">
        <v>95.6304</v>
      </c>
      <c r="M82" s="0" t="n">
        <v>78.6706</v>
      </c>
      <c r="N82" s="0" t="n">
        <v>116.9106</v>
      </c>
      <c r="O82" s="0" t="n">
        <v>108.2907</v>
      </c>
      <c r="P82" s="0" t="n">
        <v>75.5339</v>
      </c>
      <c r="Q82" s="0" t="n">
        <v>55.4758</v>
      </c>
      <c r="R82" s="0" t="n">
        <v>64.2756</v>
      </c>
      <c r="S82" s="0" t="n">
        <v>36.1871</v>
      </c>
      <c r="T82" s="0" t="n">
        <v>35.2571</v>
      </c>
      <c r="U82" s="0" t="n">
        <v>32.0903</v>
      </c>
      <c r="V82" s="0" t="n">
        <v>28.6228</v>
      </c>
      <c r="W82" s="0" t="n">
        <v>25.4143</v>
      </c>
      <c r="X82" s="0" t="n">
        <v>21.2397</v>
      </c>
      <c r="Y82" s="0" t="n">
        <v>19.3193</v>
      </c>
      <c r="Z82" s="0" t="n">
        <v>16.177</v>
      </c>
      <c r="AA82" s="0" t="n">
        <v>13.1651</v>
      </c>
      <c r="AB82" s="0" t="n">
        <v>11.26</v>
      </c>
      <c r="AC82" s="0" t="n">
        <v>15.0882</v>
      </c>
      <c r="AD82" s="0" t="n">
        <v>14.2614</v>
      </c>
      <c r="AE82" s="0" t="n">
        <v>13.9654</v>
      </c>
      <c r="AF82" s="0" t="n">
        <v>18.149</v>
      </c>
      <c r="AG82" s="0" t="n">
        <v>15.4737</v>
      </c>
      <c r="AH82" s="0" t="n">
        <v>12.9735</v>
      </c>
      <c r="AI82" s="0" t="n">
        <v>12.4962</v>
      </c>
      <c r="AJ82" s="0" t="n">
        <v>16.8897</v>
      </c>
      <c r="AK82" s="0" t="n">
        <v>22.0034</v>
      </c>
      <c r="AL82" s="0" t="n">
        <v>21.7172</v>
      </c>
      <c r="AM82" s="0" t="n">
        <v>21.6443</v>
      </c>
      <c r="AN82" s="0" t="n">
        <v>20.1441</v>
      </c>
      <c r="AO82" s="0" t="n">
        <v>25.2425</v>
      </c>
      <c r="AP82" s="0" t="n">
        <v>26.9835</v>
      </c>
      <c r="AQ82" s="0" t="n">
        <v>30.2486</v>
      </c>
      <c r="AR82" s="0" t="n">
        <v>38.0906</v>
      </c>
      <c r="AS82" s="0" t="n">
        <v>33.9385</v>
      </c>
      <c r="AT82" s="0" t="n">
        <v>41.6515</v>
      </c>
      <c r="AU82" s="0" t="n">
        <v>35.1101</v>
      </c>
      <c r="AV82" s="0" t="n">
        <v>25.3741</v>
      </c>
      <c r="AW82" s="0" t="n">
        <v>19.3708</v>
      </c>
      <c r="AX82" s="0" t="n">
        <v>17.4693</v>
      </c>
      <c r="AY82" s="0" t="n">
        <v>16.6687</v>
      </c>
      <c r="AZ82" s="0" t="n">
        <v>12.531</v>
      </c>
      <c r="BA82" s="0" t="n">
        <v>9.7924</v>
      </c>
      <c r="BB82" s="0" t="n">
        <v>6.2179</v>
      </c>
      <c r="BC82" s="0" t="n">
        <v>4.3023</v>
      </c>
      <c r="BD82" s="0" t="n">
        <v>3.6763</v>
      </c>
      <c r="BE82" s="0" t="n">
        <v>2.6766</v>
      </c>
      <c r="BF82" s="0" t="n">
        <v>1.9437</v>
      </c>
      <c r="BG82" s="0" t="n">
        <v>1.2078</v>
      </c>
      <c r="BH82" s="0" t="n">
        <v>0.946</v>
      </c>
      <c r="BI82" s="0" t="n">
        <v>0.4853</v>
      </c>
      <c r="BJ82" s="0" t="n">
        <v>0.5059</v>
      </c>
      <c r="BK82" s="0" t="n">
        <v>0.2863</v>
      </c>
      <c r="BL82" s="0" t="n">
        <v>0.2227</v>
      </c>
      <c r="BM82" s="0" t="n">
        <v>0.2006</v>
      </c>
      <c r="BN82" s="0" t="n">
        <v>0.3275</v>
      </c>
      <c r="BO82" s="0" t="n">
        <v>0.0786</v>
      </c>
      <c r="BP82" s="0" t="n">
        <v>0.046</v>
      </c>
      <c r="BQ82" s="0" t="n">
        <v>0.0137</v>
      </c>
      <c r="BR82" s="0" t="n">
        <v>0.0522</v>
      </c>
      <c r="BS82" s="0" t="n">
        <v>0.0871</v>
      </c>
      <c r="BT82" s="0" t="n">
        <v>0.1552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0.0407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0</v>
      </c>
      <c r="CM82" s="0" t="n">
        <v>0</v>
      </c>
      <c r="CN82" s="0" t="n">
        <v>0.005</v>
      </c>
      <c r="CO82" s="0" t="n">
        <v>2.4811</v>
      </c>
      <c r="CP82" s="0" t="n">
        <v>3.0389</v>
      </c>
      <c r="CQ82" s="0" t="n">
        <v>6.4409</v>
      </c>
      <c r="CR82" s="0" t="n">
        <v>7.5838</v>
      </c>
      <c r="CS82" s="0" t="n">
        <v>6.4898</v>
      </c>
      <c r="CT82" s="0" t="n">
        <v>5.6642</v>
      </c>
      <c r="CU82" s="0" t="n">
        <v>7.5846</v>
      </c>
      <c r="CV82" s="0" t="n">
        <v>4.81</v>
      </c>
      <c r="CW82" s="0" t="n">
        <v>5.2467</v>
      </c>
      <c r="CX82" s="0" t="n">
        <v>5.2797</v>
      </c>
      <c r="CY82" s="0" t="n">
        <v>5.1868</v>
      </c>
      <c r="CZ82" s="0" t="n">
        <v>4.9642</v>
      </c>
      <c r="DA82" s="0" t="n">
        <v>4.4967</v>
      </c>
      <c r="DB82" s="0" t="n">
        <v>4.397</v>
      </c>
      <c r="DC82" s="0" t="n">
        <v>3.9443</v>
      </c>
      <c r="DD82" s="0" t="n">
        <v>3.4092</v>
      </c>
      <c r="DE82" s="0" t="n">
        <v>3.0912</v>
      </c>
      <c r="DF82" s="0" t="n">
        <v>4.3765</v>
      </c>
      <c r="DG82" s="0" t="n">
        <v>4.3657</v>
      </c>
      <c r="DH82" s="0" t="n">
        <v>4.5005</v>
      </c>
      <c r="DI82" s="0" t="n">
        <v>6.1454</v>
      </c>
      <c r="DJ82" s="0" t="n">
        <v>5.458</v>
      </c>
      <c r="DK82" s="0" t="n">
        <v>4.8024</v>
      </c>
      <c r="DL82" s="0" t="n">
        <v>4.8167</v>
      </c>
      <c r="DM82" s="0" t="n">
        <v>6.76</v>
      </c>
      <c r="DN82" s="0" t="n">
        <v>9.1627</v>
      </c>
      <c r="DO82" s="0" t="n">
        <v>9.389</v>
      </c>
      <c r="DP82" s="0" t="n">
        <v>9.693</v>
      </c>
      <c r="DQ82" s="0" t="n">
        <v>9.3272</v>
      </c>
      <c r="DR82" s="0" t="n">
        <v>12.1006</v>
      </c>
      <c r="DS82" s="0" t="n">
        <v>13.3588</v>
      </c>
      <c r="DT82" s="0" t="n">
        <v>15.4251</v>
      </c>
      <c r="DU82" s="0" t="n">
        <v>20.0619</v>
      </c>
      <c r="DV82" s="0" t="n">
        <v>18.3946</v>
      </c>
      <c r="DW82" s="0" t="n">
        <v>23.2294</v>
      </c>
      <c r="DX82" s="0" t="n">
        <v>20.1519</v>
      </c>
      <c r="DY82" s="0" t="n">
        <v>14.9453</v>
      </c>
      <c r="DZ82" s="0" t="n">
        <v>11.6861</v>
      </c>
      <c r="EA82" s="0" t="n">
        <v>10.8312</v>
      </c>
      <c r="EB82" s="0" t="n">
        <v>10.6195</v>
      </c>
      <c r="EC82" s="0" t="n">
        <v>8.163</v>
      </c>
      <c r="ED82" s="0" t="n">
        <v>6.533</v>
      </c>
      <c r="EE82" s="0" t="n">
        <v>4.2508</v>
      </c>
      <c r="EF82" s="0" t="n">
        <v>3.0062</v>
      </c>
      <c r="EG82" s="0" t="n">
        <v>2.6334</v>
      </c>
      <c r="EH82" s="0" t="n">
        <v>1.9568</v>
      </c>
      <c r="EI82" s="0" t="n">
        <v>1.4467</v>
      </c>
      <c r="EJ82" s="0" t="n">
        <v>0.921</v>
      </c>
      <c r="EK82" s="0" t="n">
        <v>0.7384</v>
      </c>
      <c r="EL82" s="0" t="n">
        <v>0.3851</v>
      </c>
      <c r="EM82" s="0" t="n">
        <v>0.4076</v>
      </c>
      <c r="EN82" s="0" t="n">
        <v>0.2359</v>
      </c>
      <c r="EO82" s="0" t="n">
        <v>0.1867</v>
      </c>
      <c r="EP82" s="0" t="n">
        <v>0.1717</v>
      </c>
      <c r="EQ82" s="0" t="n">
        <v>0.285</v>
      </c>
      <c r="ER82" s="0" t="n">
        <v>0.07</v>
      </c>
      <c r="ES82" s="0" t="n">
        <v>0.0415</v>
      </c>
      <c r="ET82" s="0" t="n">
        <v>0.0126</v>
      </c>
      <c r="EU82" s="0" t="n">
        <v>0.0489</v>
      </c>
      <c r="EV82" s="0" t="n">
        <v>0.0826</v>
      </c>
      <c r="EW82" s="0" t="n">
        <v>0.1509</v>
      </c>
      <c r="EX82" s="0" t="n">
        <v>0</v>
      </c>
      <c r="EY82" s="0" t="n">
        <v>0</v>
      </c>
      <c r="EZ82" s="0" t="n">
        <v>0</v>
      </c>
      <c r="FA82" s="0" t="n">
        <v>0</v>
      </c>
      <c r="FB82" s="0" t="n">
        <v>0</v>
      </c>
      <c r="FC82" s="0" t="n">
        <v>0.0434</v>
      </c>
      <c r="FD82" s="0" t="n">
        <v>0</v>
      </c>
      <c r="FE82" s="0" t="n">
        <v>0</v>
      </c>
      <c r="FF82" s="0" t="n">
        <v>0</v>
      </c>
      <c r="FG82" s="0" t="n">
        <v>0</v>
      </c>
      <c r="FH82" s="0" t="n">
        <v>0</v>
      </c>
      <c r="FI82" s="0" t="n">
        <v>0</v>
      </c>
      <c r="FJ82" s="0" t="n">
        <v>0</v>
      </c>
      <c r="FK82" s="0" t="n">
        <v>0</v>
      </c>
      <c r="FL82" s="0" t="n">
        <v>0</v>
      </c>
      <c r="FM82" s="0" t="n">
        <v>0</v>
      </c>
      <c r="FN82" s="0" t="n">
        <v>0</v>
      </c>
      <c r="FO82" s="0" t="n">
        <v>0</v>
      </c>
      <c r="FP82" s="0" t="n">
        <v>0</v>
      </c>
    </row>
    <row r="83" customFormat="false" ht="13.8" hidden="false" customHeight="false" outlineLevel="0" collapsed="false">
      <c r="A83" s="2" t="s">
        <v>329</v>
      </c>
      <c r="B83" s="0" t="s">
        <v>173</v>
      </c>
      <c r="C83" s="0" t="n">
        <v>4</v>
      </c>
      <c r="D83" s="0" t="s">
        <v>330</v>
      </c>
      <c r="G83" s="0" t="n">
        <v>3659.9678</v>
      </c>
      <c r="H83" s="0" t="n">
        <v>227.4565</v>
      </c>
      <c r="I83" s="0" t="n">
        <v>714.5757</v>
      </c>
      <c r="J83" s="0" t="n">
        <v>0.5487</v>
      </c>
      <c r="K83" s="0" t="n">
        <v>0</v>
      </c>
      <c r="L83" s="0" t="n">
        <v>337.6989</v>
      </c>
      <c r="M83" s="0" t="n">
        <v>349.5732</v>
      </c>
      <c r="N83" s="0" t="n">
        <v>525.0395</v>
      </c>
      <c r="O83" s="0" t="n">
        <v>384.8472</v>
      </c>
      <c r="P83" s="0" t="n">
        <v>265.6302</v>
      </c>
      <c r="Q83" s="0" t="n">
        <v>152.4993</v>
      </c>
      <c r="R83" s="0" t="n">
        <v>138.5493</v>
      </c>
      <c r="S83" s="0" t="n">
        <v>87.8345</v>
      </c>
      <c r="T83" s="0" t="n">
        <v>81.9336</v>
      </c>
      <c r="U83" s="0" t="n">
        <v>70.2151</v>
      </c>
      <c r="V83" s="0" t="n">
        <v>57.8832</v>
      </c>
      <c r="W83" s="0" t="n">
        <v>55.548</v>
      </c>
      <c r="X83" s="0" t="n">
        <v>59.7079</v>
      </c>
      <c r="Y83" s="0" t="n">
        <v>50.029</v>
      </c>
      <c r="Z83" s="0" t="n">
        <v>44.5497</v>
      </c>
      <c r="AA83" s="0" t="n">
        <v>42.5074</v>
      </c>
      <c r="AB83" s="0" t="n">
        <v>39.4076</v>
      </c>
      <c r="AC83" s="0" t="n">
        <v>37.8774</v>
      </c>
      <c r="AD83" s="0" t="n">
        <v>37.9713</v>
      </c>
      <c r="AE83" s="0" t="n">
        <v>38.9225</v>
      </c>
      <c r="AF83" s="0" t="n">
        <v>38.8297</v>
      </c>
      <c r="AG83" s="0" t="n">
        <v>35.9044</v>
      </c>
      <c r="AH83" s="0" t="n">
        <v>37.2127</v>
      </c>
      <c r="AI83" s="0" t="n">
        <v>36.1291</v>
      </c>
      <c r="AJ83" s="0" t="n">
        <v>44.4886</v>
      </c>
      <c r="AK83" s="0" t="n">
        <v>53.6322</v>
      </c>
      <c r="AL83" s="0" t="n">
        <v>47.5502</v>
      </c>
      <c r="AM83" s="0" t="n">
        <v>44.7018</v>
      </c>
      <c r="AN83" s="0" t="n">
        <v>41.8231</v>
      </c>
      <c r="AO83" s="0" t="n">
        <v>46.7266</v>
      </c>
      <c r="AP83" s="0" t="n">
        <v>43.8825</v>
      </c>
      <c r="AQ83" s="0" t="n">
        <v>42.3457</v>
      </c>
      <c r="AR83" s="0" t="n">
        <v>45.5535</v>
      </c>
      <c r="AS83" s="0" t="n">
        <v>42.1174</v>
      </c>
      <c r="AT83" s="0" t="n">
        <v>40.1234</v>
      </c>
      <c r="AU83" s="0" t="n">
        <v>36.1262</v>
      </c>
      <c r="AV83" s="0" t="n">
        <v>20.662</v>
      </c>
      <c r="AW83" s="0" t="n">
        <v>20.7401</v>
      </c>
      <c r="AX83" s="0" t="n">
        <v>20.1045</v>
      </c>
      <c r="AY83" s="0" t="n">
        <v>13.9296</v>
      </c>
      <c r="AZ83" s="0" t="n">
        <v>8.6174</v>
      </c>
      <c r="BA83" s="0" t="n">
        <v>9.2513</v>
      </c>
      <c r="BB83" s="0" t="n">
        <v>5.1816</v>
      </c>
      <c r="BC83" s="0" t="n">
        <v>3.5751</v>
      </c>
      <c r="BD83" s="0" t="n">
        <v>3.3102</v>
      </c>
      <c r="BE83" s="0" t="n">
        <v>2.3606</v>
      </c>
      <c r="BF83" s="0" t="n">
        <v>1.2555</v>
      </c>
      <c r="BG83" s="0" t="n">
        <v>2.6294</v>
      </c>
      <c r="BH83" s="0" t="n">
        <v>1.2803</v>
      </c>
      <c r="BI83" s="0" t="n">
        <v>2.0067</v>
      </c>
      <c r="BJ83" s="0" t="n">
        <v>1.5763</v>
      </c>
      <c r="BK83" s="0" t="n">
        <v>1.2161</v>
      </c>
      <c r="BL83" s="0" t="n">
        <v>0.8719</v>
      </c>
      <c r="BM83" s="0" t="n">
        <v>0.7798</v>
      </c>
      <c r="BN83" s="0" t="n">
        <v>0.3697</v>
      </c>
      <c r="BO83" s="0" t="n">
        <v>0.2031</v>
      </c>
      <c r="BP83" s="0" t="n">
        <v>0.507</v>
      </c>
      <c r="BQ83" s="0" t="n">
        <v>0.1819</v>
      </c>
      <c r="BR83" s="0" t="n">
        <v>0.3007</v>
      </c>
      <c r="BS83" s="0" t="n">
        <v>0.0196</v>
      </c>
      <c r="BT83" s="0" t="n">
        <v>0.1798</v>
      </c>
      <c r="BU83" s="0" t="n">
        <v>0.1698</v>
      </c>
      <c r="BV83" s="0" t="n">
        <v>0.1268</v>
      </c>
      <c r="BW83" s="0" t="n">
        <v>0.0745</v>
      </c>
      <c r="BX83" s="0" t="n">
        <v>0.0513</v>
      </c>
      <c r="BY83" s="0" t="n">
        <v>0.0656</v>
      </c>
      <c r="BZ83" s="0" t="n">
        <v>0.2038</v>
      </c>
      <c r="CA83" s="0" t="n">
        <v>0.0862</v>
      </c>
      <c r="CB83" s="0" t="n">
        <v>0.0201</v>
      </c>
      <c r="CC83" s="0" t="n">
        <v>0.0064</v>
      </c>
      <c r="CD83" s="0" t="n">
        <v>0.0318</v>
      </c>
      <c r="CE83" s="0" t="n">
        <v>0.0333</v>
      </c>
      <c r="CF83" s="0" t="n">
        <v>0.0883</v>
      </c>
      <c r="CG83" s="0" t="n">
        <v>0.0709</v>
      </c>
      <c r="CH83" s="0" t="n">
        <v>0.1127</v>
      </c>
      <c r="CI83" s="0" t="n">
        <v>0.0592</v>
      </c>
      <c r="CJ83" s="0" t="n">
        <v>0.0545</v>
      </c>
      <c r="CK83" s="0" t="n">
        <v>0.0825</v>
      </c>
      <c r="CL83" s="0" t="n">
        <v>0.027</v>
      </c>
      <c r="CM83" s="0" t="n">
        <v>0.8693</v>
      </c>
      <c r="CN83" s="0" t="n">
        <v>0</v>
      </c>
      <c r="CO83" s="0" t="n">
        <v>8.9205</v>
      </c>
      <c r="CP83" s="0" t="n">
        <v>13.5919</v>
      </c>
      <c r="CQ83" s="0" t="n">
        <v>28.831</v>
      </c>
      <c r="CR83" s="0" t="n">
        <v>26.7608</v>
      </c>
      <c r="CS83" s="0" t="n">
        <v>22.7425</v>
      </c>
      <c r="CT83" s="0" t="n">
        <v>15.5024</v>
      </c>
      <c r="CU83" s="0" t="n">
        <v>16.3209</v>
      </c>
      <c r="CV83" s="0" t="n">
        <v>11.74</v>
      </c>
      <c r="CW83" s="0" t="n">
        <v>12.167</v>
      </c>
      <c r="CX83" s="0" t="n">
        <v>11.5413</v>
      </c>
      <c r="CY83" s="0" t="n">
        <v>10.4768</v>
      </c>
      <c r="CZ83" s="0" t="n">
        <v>10.9273</v>
      </c>
      <c r="DA83" s="0" t="n">
        <v>12.633</v>
      </c>
      <c r="DB83" s="0" t="n">
        <v>11.3782</v>
      </c>
      <c r="DC83" s="0" t="n">
        <v>10.8651</v>
      </c>
      <c r="DD83" s="0" t="n">
        <v>11.0055</v>
      </c>
      <c r="DE83" s="0" t="n">
        <v>10.821</v>
      </c>
      <c r="DF83" s="0" t="n">
        <v>10.9888</v>
      </c>
      <c r="DG83" s="0" t="n">
        <v>11.6236</v>
      </c>
      <c r="DH83" s="0" t="n">
        <v>12.535</v>
      </c>
      <c r="DI83" s="0" t="n">
        <v>13.1314</v>
      </c>
      <c r="DJ83" s="0" t="n">
        <v>12.66</v>
      </c>
      <c r="DK83" s="0" t="n">
        <v>13.7558</v>
      </c>
      <c r="DL83" s="0" t="n">
        <v>13.9307</v>
      </c>
      <c r="DM83" s="0" t="n">
        <v>17.7869</v>
      </c>
      <c r="DN83" s="0" t="n">
        <v>22.3263</v>
      </c>
      <c r="DO83" s="0" t="n">
        <v>20.5579</v>
      </c>
      <c r="DP83" s="0" t="n">
        <v>19.9857</v>
      </c>
      <c r="DQ83" s="0" t="n">
        <v>19.365</v>
      </c>
      <c r="DR83" s="0" t="n">
        <v>22.4135</v>
      </c>
      <c r="DS83" s="0" t="n">
        <v>21.7317</v>
      </c>
      <c r="DT83" s="0" t="n">
        <v>21.5996</v>
      </c>
      <c r="DU83" s="0" t="n">
        <v>23.9559</v>
      </c>
      <c r="DV83" s="0" t="n">
        <v>22.8054</v>
      </c>
      <c r="DW83" s="0" t="n">
        <v>22.3683</v>
      </c>
      <c r="DX83" s="0" t="n">
        <v>20.7257</v>
      </c>
      <c r="DY83" s="0" t="n">
        <v>12.1541</v>
      </c>
      <c r="DZ83" s="0" t="n">
        <v>12.5441</v>
      </c>
      <c r="EA83" s="0" t="n">
        <v>12.4581</v>
      </c>
      <c r="EB83" s="0" t="n">
        <v>8.8699</v>
      </c>
      <c r="EC83" s="0" t="n">
        <v>5.6081</v>
      </c>
      <c r="ED83" s="0" t="n">
        <v>6.1722</v>
      </c>
      <c r="EE83" s="0" t="n">
        <v>3.5367</v>
      </c>
      <c r="EF83" s="0" t="n">
        <v>2.5012</v>
      </c>
      <c r="EG83" s="0" t="n">
        <v>2.3649</v>
      </c>
      <c r="EH83" s="0" t="n">
        <v>1.7251</v>
      </c>
      <c r="EI83" s="0" t="n">
        <v>0.9362</v>
      </c>
      <c r="EJ83" s="0" t="n">
        <v>2.0048</v>
      </c>
      <c r="EK83" s="0" t="n">
        <v>0.9961</v>
      </c>
      <c r="EL83" s="0" t="n">
        <v>1.5924</v>
      </c>
      <c r="EM83" s="0" t="n">
        <v>1.2733</v>
      </c>
      <c r="EN83" s="0" t="n">
        <v>1.005</v>
      </c>
      <c r="EO83" s="0" t="n">
        <v>0.7341</v>
      </c>
      <c r="EP83" s="0" t="n">
        <v>0.6671</v>
      </c>
      <c r="EQ83" s="0" t="n">
        <v>0.3228</v>
      </c>
      <c r="ER83" s="0" t="n">
        <v>0.1797</v>
      </c>
      <c r="ES83" s="0" t="n">
        <v>0.4559</v>
      </c>
      <c r="ET83" s="0" t="n">
        <v>0.1662</v>
      </c>
      <c r="EU83" s="0" t="n">
        <v>0.2819</v>
      </c>
      <c r="EV83" s="0" t="n">
        <v>0.0187</v>
      </c>
      <c r="EW83" s="0" t="n">
        <v>0.1726</v>
      </c>
      <c r="EX83" s="0" t="n">
        <v>0.167</v>
      </c>
      <c r="EY83" s="0" t="n">
        <v>0.1272</v>
      </c>
      <c r="EZ83" s="0" t="n">
        <v>0.0754</v>
      </c>
      <c r="FA83" s="0" t="n">
        <v>0.0527</v>
      </c>
      <c r="FB83" s="0" t="n">
        <v>0.0687</v>
      </c>
      <c r="FC83" s="0" t="n">
        <v>0.2151</v>
      </c>
      <c r="FD83" s="0" t="n">
        <v>0.0928</v>
      </c>
      <c r="FE83" s="0" t="n">
        <v>0.022</v>
      </c>
      <c r="FF83" s="0" t="n">
        <v>0.007</v>
      </c>
      <c r="FG83" s="0" t="n">
        <v>0.0356</v>
      </c>
      <c r="FH83" s="0" t="n">
        <v>0.0379</v>
      </c>
      <c r="FI83" s="0" t="n">
        <v>0.1016</v>
      </c>
      <c r="FJ83" s="0" t="n">
        <v>0.0831</v>
      </c>
      <c r="FK83" s="0" t="n">
        <v>0.134</v>
      </c>
      <c r="FL83" s="0" t="n">
        <v>0.071</v>
      </c>
      <c r="FM83" s="0" t="n">
        <v>0.0663</v>
      </c>
      <c r="FN83" s="0" t="n">
        <v>0.1021</v>
      </c>
      <c r="FO83" s="0" t="n">
        <v>0.0335</v>
      </c>
      <c r="FP83" s="0" t="n">
        <v>1.1653</v>
      </c>
    </row>
    <row r="84" customFormat="false" ht="13.8" hidden="false" customHeight="false" outlineLevel="0" collapsed="false">
      <c r="A84" s="2" t="s">
        <v>331</v>
      </c>
      <c r="B84" s="0" t="s">
        <v>176</v>
      </c>
      <c r="C84" s="0" t="n">
        <v>210</v>
      </c>
      <c r="D84" s="0" t="s">
        <v>332</v>
      </c>
      <c r="F84" s="0" t="n">
        <v>3.5119</v>
      </c>
      <c r="G84" s="0" t="n">
        <v>1919.1888</v>
      </c>
      <c r="H84" s="0" t="n">
        <v>177.2153</v>
      </c>
      <c r="I84" s="0" t="n">
        <v>556.7385</v>
      </c>
      <c r="J84" s="0" t="n">
        <v>0.92445</v>
      </c>
      <c r="K84" s="0" t="n">
        <v>0</v>
      </c>
      <c r="L84" s="0" t="n">
        <v>164.7559</v>
      </c>
      <c r="M84" s="0" t="n">
        <v>194.25</v>
      </c>
      <c r="N84" s="0" t="n">
        <v>134.316</v>
      </c>
      <c r="O84" s="0" t="n">
        <v>0.3582</v>
      </c>
      <c r="P84" s="0" t="n">
        <v>133.5866</v>
      </c>
      <c r="Q84" s="0" t="n">
        <v>58.2055</v>
      </c>
      <c r="R84" s="0" t="n">
        <v>84.9467</v>
      </c>
      <c r="S84" s="0" t="n">
        <v>53.1506</v>
      </c>
      <c r="T84" s="0" t="n">
        <v>9.1982</v>
      </c>
      <c r="U84" s="0" t="n">
        <v>49.4993</v>
      </c>
      <c r="V84" s="0" t="n">
        <v>42.8525</v>
      </c>
      <c r="W84" s="0" t="n">
        <v>29.6636</v>
      </c>
      <c r="X84" s="0" t="n">
        <v>33.4485</v>
      </c>
      <c r="Y84" s="0" t="n">
        <v>36.1952</v>
      </c>
      <c r="Z84" s="0" t="n">
        <v>32.6431</v>
      </c>
      <c r="AA84" s="0" t="n">
        <v>20.8441</v>
      </c>
      <c r="AB84" s="0" t="n">
        <v>31.0677</v>
      </c>
      <c r="AC84" s="0" t="n">
        <v>12.1237</v>
      </c>
      <c r="AD84" s="0" t="n">
        <v>32.2321</v>
      </c>
      <c r="AE84" s="0" t="n">
        <v>17.0106</v>
      </c>
      <c r="AF84" s="0" t="n">
        <v>39.5308</v>
      </c>
      <c r="AG84" s="0" t="n">
        <v>13.2967</v>
      </c>
      <c r="AH84" s="0" t="n">
        <v>31.1665</v>
      </c>
      <c r="AI84" s="0" t="n">
        <v>44.5887</v>
      </c>
      <c r="AJ84" s="0" t="n">
        <v>9.4787</v>
      </c>
      <c r="AK84" s="0" t="n">
        <v>56.3204</v>
      </c>
      <c r="AL84" s="0" t="n">
        <v>51.2096</v>
      </c>
      <c r="AM84" s="0" t="n">
        <v>30.6103</v>
      </c>
      <c r="AN84" s="0" t="n">
        <v>26.1953</v>
      </c>
      <c r="AO84" s="0" t="n">
        <v>46.7758</v>
      </c>
      <c r="AP84" s="0" t="n">
        <v>28.4314</v>
      </c>
      <c r="AQ84" s="0" t="n">
        <v>39.2967</v>
      </c>
      <c r="AR84" s="0" t="n">
        <v>27.3272</v>
      </c>
      <c r="AS84" s="0" t="n">
        <v>34.381</v>
      </c>
      <c r="AT84" s="0" t="n">
        <v>49.3867</v>
      </c>
      <c r="AU84" s="0" t="n">
        <v>42.8187</v>
      </c>
      <c r="AV84" s="0" t="n">
        <v>3.3944</v>
      </c>
      <c r="AW84" s="0" t="n">
        <v>28.8138</v>
      </c>
      <c r="AX84" s="0" t="n">
        <v>28.9278</v>
      </c>
      <c r="AY84" s="0" t="n">
        <v>15.4178</v>
      </c>
      <c r="AZ84" s="0" t="n">
        <v>11.4449</v>
      </c>
      <c r="BA84" s="0" t="n">
        <v>10.6889</v>
      </c>
      <c r="BB84" s="0" t="n">
        <v>13.6178</v>
      </c>
      <c r="BC84" s="0" t="n">
        <v>6.784</v>
      </c>
      <c r="BD84" s="0" t="n">
        <v>2.9313</v>
      </c>
      <c r="BE84" s="0" t="n">
        <v>6.0072</v>
      </c>
      <c r="BF84" s="0" t="n">
        <v>1.6499</v>
      </c>
      <c r="BG84" s="0" t="n">
        <v>5.0168</v>
      </c>
      <c r="BH84" s="0" t="n">
        <v>3.995</v>
      </c>
      <c r="BI84" s="0" t="n">
        <v>0.6305</v>
      </c>
      <c r="BJ84" s="0" t="n">
        <v>2.7647</v>
      </c>
      <c r="BK84" s="0" t="n">
        <v>2.7568</v>
      </c>
      <c r="BL84" s="0" t="n">
        <v>3.0241</v>
      </c>
      <c r="BM84" s="0" t="n">
        <v>1.3432</v>
      </c>
      <c r="BN84" s="0" t="n">
        <v>3.8839</v>
      </c>
      <c r="BO84" s="0" t="n">
        <v>2.1546</v>
      </c>
      <c r="BP84" s="0" t="n">
        <v>2.109</v>
      </c>
      <c r="BQ84" s="0" t="n">
        <v>0.789</v>
      </c>
      <c r="BR84" s="0" t="n">
        <v>1.8589</v>
      </c>
      <c r="BS84" s="0" t="n">
        <v>1.3209</v>
      </c>
      <c r="BT84" s="0" t="n">
        <v>1.545</v>
      </c>
      <c r="BU84" s="0" t="n">
        <v>0.9833</v>
      </c>
      <c r="BV84" s="0" t="n">
        <v>1.6783</v>
      </c>
      <c r="BW84" s="0" t="n">
        <v>1.1214</v>
      </c>
      <c r="BX84" s="0" t="n">
        <v>0.939</v>
      </c>
      <c r="BY84" s="0" t="n">
        <v>0.3327</v>
      </c>
      <c r="BZ84" s="0" t="n">
        <v>0.9996</v>
      </c>
      <c r="CA84" s="0" t="n">
        <v>1.1554</v>
      </c>
      <c r="CB84" s="0" t="n">
        <v>0.3629</v>
      </c>
      <c r="CC84" s="0" t="n">
        <v>0.2089</v>
      </c>
      <c r="CD84" s="0" t="n">
        <v>1.3451</v>
      </c>
      <c r="CE84" s="0" t="n">
        <v>0.3002</v>
      </c>
      <c r="CF84" s="0" t="n">
        <v>0.4123</v>
      </c>
      <c r="CG84" s="0" t="n">
        <v>0.3548</v>
      </c>
      <c r="CH84" s="0" t="n">
        <v>0.0069</v>
      </c>
      <c r="CI84" s="0" t="n">
        <v>0.2317</v>
      </c>
      <c r="CJ84" s="0" t="n">
        <v>0.5002</v>
      </c>
      <c r="CK84" s="0" t="n">
        <v>0.2438</v>
      </c>
      <c r="CL84" s="0" t="n">
        <v>0.0745</v>
      </c>
      <c r="CM84" s="0" t="n">
        <v>3.3538</v>
      </c>
      <c r="CN84" s="0" t="n">
        <v>0</v>
      </c>
      <c r="CO84" s="0" t="n">
        <v>3.5264</v>
      </c>
      <c r="CP84" s="0" t="n">
        <v>8.2239</v>
      </c>
      <c r="CQ84" s="0" t="n">
        <v>8.2119</v>
      </c>
      <c r="CR84" s="0" t="n">
        <v>0.0248</v>
      </c>
      <c r="CS84" s="0" t="n">
        <v>11.0994</v>
      </c>
      <c r="CT84" s="0" t="n">
        <v>5.9065</v>
      </c>
      <c r="CU84" s="0" t="n">
        <v>9.9585</v>
      </c>
      <c r="CV84" s="0" t="n">
        <v>7.3802</v>
      </c>
      <c r="CW84" s="0" t="n">
        <v>1.3299</v>
      </c>
      <c r="CX84" s="0" t="n">
        <v>8.0392</v>
      </c>
      <c r="CY84" s="0" t="n">
        <v>7.8378</v>
      </c>
      <c r="CZ84" s="0" t="n">
        <v>5.8833</v>
      </c>
      <c r="DA84" s="0" t="n">
        <v>7.0528</v>
      </c>
      <c r="DB84" s="0" t="n">
        <v>8.2315</v>
      </c>
      <c r="DC84" s="0" t="n">
        <v>8.0228</v>
      </c>
      <c r="DD84" s="0" t="n">
        <v>5.3273</v>
      </c>
      <c r="DE84" s="0" t="n">
        <v>8.5081</v>
      </c>
      <c r="DF84" s="0" t="n">
        <v>3.5058</v>
      </c>
      <c r="DG84" s="0" t="n">
        <v>9.8027</v>
      </c>
      <c r="DH84" s="0" t="n">
        <v>5.4706</v>
      </c>
      <c r="DI84" s="0" t="n">
        <v>13.4877</v>
      </c>
      <c r="DJ84" s="0" t="n">
        <v>4.7189</v>
      </c>
      <c r="DK84" s="0" t="n">
        <v>11.5036</v>
      </c>
      <c r="DL84" s="0" t="n">
        <v>17.3702</v>
      </c>
      <c r="DM84" s="0" t="n">
        <v>3.7765</v>
      </c>
      <c r="DN84" s="0" t="n">
        <v>23.426</v>
      </c>
      <c r="DO84" s="0" t="n">
        <v>22.3206</v>
      </c>
      <c r="DP84" s="0" t="n">
        <v>13.8957</v>
      </c>
      <c r="DQ84" s="0" t="n">
        <v>12.0488</v>
      </c>
      <c r="DR84" s="0" t="n">
        <v>22.3729</v>
      </c>
      <c r="DS84" s="0" t="n">
        <v>14.1186</v>
      </c>
      <c r="DT84" s="0" t="n">
        <v>20.1195</v>
      </c>
      <c r="DU84" s="0" t="n">
        <v>14.4177</v>
      </c>
      <c r="DV84" s="0" t="n">
        <v>18.4666</v>
      </c>
      <c r="DW84" s="0" t="n">
        <v>27.4826</v>
      </c>
      <c r="DX84" s="0" t="n">
        <v>24.7178</v>
      </c>
      <c r="DY84" s="0" t="n">
        <v>2.0112</v>
      </c>
      <c r="DZ84" s="0" t="n">
        <v>17.2542</v>
      </c>
      <c r="EA84" s="0" t="n">
        <v>17.9283</v>
      </c>
      <c r="EB84" s="0" t="n">
        <v>9.8582</v>
      </c>
      <c r="EC84" s="0" t="n">
        <v>7.4648</v>
      </c>
      <c r="ED84" s="0" t="n">
        <v>7.099</v>
      </c>
      <c r="EE84" s="0" t="n">
        <v>9.2904</v>
      </c>
      <c r="EF84" s="0" t="n">
        <v>4.758</v>
      </c>
      <c r="EG84" s="0" t="n">
        <v>2.0995</v>
      </c>
      <c r="EH84" s="0" t="n">
        <v>4.391</v>
      </c>
      <c r="EI84" s="0" t="n">
        <v>1.2268</v>
      </c>
      <c r="EJ84" s="0" t="n">
        <v>3.8183</v>
      </c>
      <c r="EK84" s="0" t="n">
        <v>3.1269</v>
      </c>
      <c r="EL84" s="0" t="n">
        <v>0.5023</v>
      </c>
      <c r="EM84" s="0" t="n">
        <v>2.2277</v>
      </c>
      <c r="EN84" s="0" t="n">
        <v>2.2731</v>
      </c>
      <c r="EO84" s="0" t="n">
        <v>2.5583</v>
      </c>
      <c r="EP84" s="0" t="n">
        <v>1.1487</v>
      </c>
      <c r="EQ84" s="0" t="n">
        <v>3.3837</v>
      </c>
      <c r="ER84" s="0" t="n">
        <v>1.9136</v>
      </c>
      <c r="ES84" s="0" t="n">
        <v>1.9015</v>
      </c>
      <c r="ET84" s="0" t="n">
        <v>0.7266</v>
      </c>
      <c r="EU84" s="0" t="n">
        <v>1.7316</v>
      </c>
      <c r="EV84" s="0" t="n">
        <v>1.254</v>
      </c>
      <c r="EW84" s="0" t="n">
        <v>1.498</v>
      </c>
      <c r="EX84" s="0" t="n">
        <v>0.9651</v>
      </c>
      <c r="EY84" s="0" t="n">
        <v>1.6707</v>
      </c>
      <c r="EZ84" s="0" t="n">
        <v>1.1367</v>
      </c>
      <c r="FA84" s="0" t="n">
        <v>0.9724</v>
      </c>
      <c r="FB84" s="0" t="n">
        <v>0.3462</v>
      </c>
      <c r="FC84" s="0" t="n">
        <v>1.0548</v>
      </c>
      <c r="FD84" s="0" t="n">
        <v>1.2456</v>
      </c>
      <c r="FE84" s="0" t="n">
        <v>0.3975</v>
      </c>
      <c r="FF84" s="0" t="n">
        <v>0.2301</v>
      </c>
      <c r="FG84" s="0" t="n">
        <v>1.5111</v>
      </c>
      <c r="FH84" s="0" t="n">
        <v>0.3411</v>
      </c>
      <c r="FI84" s="0" t="n">
        <v>0.4765</v>
      </c>
      <c r="FJ84" s="0" t="n">
        <v>0.4172</v>
      </c>
      <c r="FK84" s="0" t="n">
        <v>0.0081</v>
      </c>
      <c r="FL84" s="0" t="n">
        <v>0.2775</v>
      </c>
      <c r="FM84" s="0" t="n">
        <v>0.6096</v>
      </c>
      <c r="FN84" s="0" t="n">
        <v>0.3021</v>
      </c>
      <c r="FO84" s="0" t="n">
        <v>0.0927</v>
      </c>
      <c r="FP84" s="0" t="n">
        <v>4.5488</v>
      </c>
    </row>
    <row r="85" customFormat="false" ht="13.8" hidden="false" customHeight="false" outlineLevel="0" collapsed="false">
      <c r="A85" s="2" t="s">
        <v>333</v>
      </c>
      <c r="B85" s="0" t="s">
        <v>176</v>
      </c>
      <c r="C85" s="0" t="n">
        <v>308</v>
      </c>
      <c r="D85" s="0" t="s">
        <v>334</v>
      </c>
      <c r="G85" s="0" t="n">
        <v>2176.4377</v>
      </c>
      <c r="H85" s="0" t="n">
        <v>144.8518</v>
      </c>
      <c r="I85" s="0" t="n">
        <v>455.0651</v>
      </c>
      <c r="J85" s="0" t="n">
        <v>0.6903</v>
      </c>
      <c r="K85" s="0" t="n">
        <v>0.0646</v>
      </c>
      <c r="L85" s="0" t="n">
        <v>262.4817</v>
      </c>
      <c r="M85" s="0" t="n">
        <v>223.1719</v>
      </c>
      <c r="N85" s="0" t="n">
        <v>229.9886</v>
      </c>
      <c r="O85" s="0" t="n">
        <v>168.6677</v>
      </c>
      <c r="P85" s="0" t="n">
        <v>129.1938</v>
      </c>
      <c r="Q85" s="0" t="n">
        <v>90.9585</v>
      </c>
      <c r="R85" s="0" t="n">
        <v>82.4174</v>
      </c>
      <c r="S85" s="0" t="n">
        <v>46.7575</v>
      </c>
      <c r="T85" s="0" t="n">
        <v>45.0113</v>
      </c>
      <c r="U85" s="0" t="n">
        <v>45.4808</v>
      </c>
      <c r="V85" s="0" t="n">
        <v>38.8839</v>
      </c>
      <c r="W85" s="0" t="n">
        <v>39.0763</v>
      </c>
      <c r="X85" s="0" t="n">
        <v>36.5031</v>
      </c>
      <c r="Y85" s="0" t="n">
        <v>28.6063</v>
      </c>
      <c r="Z85" s="0" t="n">
        <v>20.5662</v>
      </c>
      <c r="AA85" s="0" t="n">
        <v>16.4155</v>
      </c>
      <c r="AB85" s="0" t="n">
        <v>23.6446</v>
      </c>
      <c r="AC85" s="0" t="n">
        <v>18.3704</v>
      </c>
      <c r="AD85" s="0" t="n">
        <v>23.564</v>
      </c>
      <c r="AE85" s="0" t="n">
        <v>23.7414</v>
      </c>
      <c r="AF85" s="0" t="n">
        <v>23.9765</v>
      </c>
      <c r="AG85" s="0" t="n">
        <v>22.6939</v>
      </c>
      <c r="AH85" s="0" t="n">
        <v>23.0712</v>
      </c>
      <c r="AI85" s="0" t="n">
        <v>24.5627</v>
      </c>
      <c r="AJ85" s="0" t="n">
        <v>30.2151</v>
      </c>
      <c r="AK85" s="0" t="n">
        <v>38.0412</v>
      </c>
      <c r="AL85" s="0" t="n">
        <v>35.0264</v>
      </c>
      <c r="AM85" s="0" t="n">
        <v>37.4463</v>
      </c>
      <c r="AN85" s="0" t="n">
        <v>47.3858</v>
      </c>
      <c r="AO85" s="0" t="n">
        <v>47.6344</v>
      </c>
      <c r="AP85" s="0" t="n">
        <v>42.1364</v>
      </c>
      <c r="AQ85" s="0" t="n">
        <v>34.1428</v>
      </c>
      <c r="AR85" s="0" t="n">
        <v>28.8147</v>
      </c>
      <c r="AS85" s="0" t="n">
        <v>28.5863</v>
      </c>
      <c r="AT85" s="0" t="n">
        <v>27.179</v>
      </c>
      <c r="AU85" s="0" t="n">
        <v>20.1512</v>
      </c>
      <c r="AV85" s="0" t="n">
        <v>15.301</v>
      </c>
      <c r="AW85" s="0" t="n">
        <v>12.9581</v>
      </c>
      <c r="AX85" s="0" t="n">
        <v>13.5406</v>
      </c>
      <c r="AY85" s="0" t="n">
        <v>6.8205</v>
      </c>
      <c r="AZ85" s="0" t="n">
        <v>6.7507</v>
      </c>
      <c r="BA85" s="0" t="n">
        <v>3.1566</v>
      </c>
      <c r="BB85" s="0" t="n">
        <v>2.4588</v>
      </c>
      <c r="BC85" s="0" t="n">
        <v>2.4078</v>
      </c>
      <c r="BD85" s="0" t="n">
        <v>1.8834</v>
      </c>
      <c r="BE85" s="0" t="n">
        <v>0.7348</v>
      </c>
      <c r="BF85" s="0" t="n">
        <v>0.7337</v>
      </c>
      <c r="BG85" s="0" t="n">
        <v>0.7814</v>
      </c>
      <c r="BH85" s="0" t="n">
        <v>0.6417</v>
      </c>
      <c r="BI85" s="0" t="n">
        <v>0.5816</v>
      </c>
      <c r="BJ85" s="0" t="n">
        <v>0.4075</v>
      </c>
      <c r="BK85" s="0" t="n">
        <v>0.1696</v>
      </c>
      <c r="BL85" s="0" t="n">
        <v>0.3011</v>
      </c>
      <c r="BM85" s="0" t="n">
        <v>0.0681</v>
      </c>
      <c r="BN85" s="0" t="n">
        <v>0.0486</v>
      </c>
      <c r="BO85" s="0" t="n">
        <v>0.2296</v>
      </c>
      <c r="BP85" s="0" t="n">
        <v>0.0296</v>
      </c>
      <c r="BQ85" s="0" t="n">
        <v>0.3101</v>
      </c>
      <c r="BR85" s="0" t="n">
        <v>0.16</v>
      </c>
      <c r="BS85" s="0" t="n">
        <v>0.1262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  <c r="CL85" s="0" t="n">
        <v>0</v>
      </c>
      <c r="CM85" s="0" t="n">
        <v>0</v>
      </c>
      <c r="CN85" s="0" t="n">
        <v>0.0007</v>
      </c>
      <c r="CO85" s="0" t="n">
        <v>6.7161</v>
      </c>
      <c r="CP85" s="0" t="n">
        <v>8.7519</v>
      </c>
      <c r="CQ85" s="0" t="n">
        <v>12.6382</v>
      </c>
      <c r="CR85" s="0" t="n">
        <v>11.7661</v>
      </c>
      <c r="CS85" s="0" t="n">
        <v>11.0916</v>
      </c>
      <c r="CT85" s="0" t="n">
        <v>9.2668</v>
      </c>
      <c r="CU85" s="0" t="n">
        <v>9.6806</v>
      </c>
      <c r="CV85" s="0" t="n">
        <v>6.2178</v>
      </c>
      <c r="CW85" s="0" t="n">
        <v>6.7145</v>
      </c>
      <c r="CX85" s="0" t="n">
        <v>7.4779</v>
      </c>
      <c r="CY85" s="0" t="n">
        <v>7.0377</v>
      </c>
      <c r="CZ85" s="0" t="n">
        <v>7.6737</v>
      </c>
      <c r="DA85" s="0" t="n">
        <v>7.734</v>
      </c>
      <c r="DB85" s="0" t="n">
        <v>6.5046</v>
      </c>
      <c r="DC85" s="0" t="n">
        <v>5.014</v>
      </c>
      <c r="DD85" s="0" t="n">
        <v>4.2504</v>
      </c>
      <c r="DE85" s="0" t="n">
        <v>6.5047</v>
      </c>
      <c r="DF85" s="0" t="n">
        <v>5.332</v>
      </c>
      <c r="DG85" s="0" t="n">
        <v>7.2167</v>
      </c>
      <c r="DH85" s="0" t="n">
        <v>7.6488</v>
      </c>
      <c r="DI85" s="0" t="n">
        <v>8.1036</v>
      </c>
      <c r="DJ85" s="0" t="n">
        <v>8.0275</v>
      </c>
      <c r="DK85" s="0" t="n">
        <v>8.5127</v>
      </c>
      <c r="DL85" s="0" t="n">
        <v>9.4536</v>
      </c>
      <c r="DM85" s="0" t="n">
        <v>12.0995</v>
      </c>
      <c r="DN85" s="0" t="n">
        <v>15.825</v>
      </c>
      <c r="DO85" s="0" t="n">
        <v>15.1453</v>
      </c>
      <c r="DP85" s="0" t="n">
        <v>16.7694</v>
      </c>
      <c r="DQ85" s="0" t="n">
        <v>21.9722</v>
      </c>
      <c r="DR85" s="0" t="n">
        <v>22.7988</v>
      </c>
      <c r="DS85" s="0" t="n">
        <v>20.8479</v>
      </c>
      <c r="DT85" s="0" t="n">
        <v>17.4185</v>
      </c>
      <c r="DU85" s="0" t="n">
        <v>15.1635</v>
      </c>
      <c r="DV85" s="0" t="n">
        <v>15.4801</v>
      </c>
      <c r="DW85" s="0" t="n">
        <v>15.1424</v>
      </c>
      <c r="DX85" s="0" t="n">
        <v>11.5657</v>
      </c>
      <c r="DY85" s="0" t="n">
        <v>9.0044</v>
      </c>
      <c r="DZ85" s="0" t="n">
        <v>7.8297</v>
      </c>
      <c r="EA85" s="0" t="n">
        <v>8.4038</v>
      </c>
      <c r="EB85" s="0" t="n">
        <v>4.336</v>
      </c>
      <c r="EC85" s="0" t="n">
        <v>4.3909</v>
      </c>
      <c r="ED85" s="0" t="n">
        <v>2.1095</v>
      </c>
      <c r="EE85" s="0" t="n">
        <v>1.6787</v>
      </c>
      <c r="EF85" s="0" t="n">
        <v>1.6838</v>
      </c>
      <c r="EG85" s="0" t="n">
        <v>1.3459</v>
      </c>
      <c r="EH85" s="0" t="n">
        <v>0.5371</v>
      </c>
      <c r="EI85" s="0" t="n">
        <v>0.549</v>
      </c>
      <c r="EJ85" s="0" t="n">
        <v>0.5937</v>
      </c>
      <c r="EK85" s="0" t="n">
        <v>0.5003</v>
      </c>
      <c r="EL85" s="0" t="n">
        <v>0.4619</v>
      </c>
      <c r="EM85" s="0" t="n">
        <v>0.329</v>
      </c>
      <c r="EN85" s="0" t="n">
        <v>0.1396</v>
      </c>
      <c r="EO85" s="0" t="n">
        <v>0.2524</v>
      </c>
      <c r="EP85" s="0" t="n">
        <v>0.0584</v>
      </c>
      <c r="EQ85" s="0" t="n">
        <v>0.0424</v>
      </c>
      <c r="ER85" s="0" t="n">
        <v>0.2034</v>
      </c>
      <c r="ES85" s="0" t="n">
        <v>0.0268</v>
      </c>
      <c r="ET85" s="0" t="n">
        <v>0.2844</v>
      </c>
      <c r="EU85" s="0" t="n">
        <v>0.1492</v>
      </c>
      <c r="EV85" s="0" t="n">
        <v>0.1192</v>
      </c>
      <c r="EW85" s="0" t="n">
        <v>0</v>
      </c>
      <c r="EX85" s="0" t="n">
        <v>0</v>
      </c>
      <c r="EY85" s="0" t="n">
        <v>0</v>
      </c>
      <c r="EZ85" s="0" t="n">
        <v>0</v>
      </c>
      <c r="FA85" s="0" t="n">
        <v>0</v>
      </c>
      <c r="FB85" s="0" t="n">
        <v>0</v>
      </c>
      <c r="FC85" s="0" t="n">
        <v>0</v>
      </c>
      <c r="FD85" s="0" t="n">
        <v>0</v>
      </c>
      <c r="FE85" s="0" t="n">
        <v>0</v>
      </c>
      <c r="FF85" s="0" t="n">
        <v>0</v>
      </c>
      <c r="FG85" s="0" t="n">
        <v>0</v>
      </c>
      <c r="FH85" s="0" t="n">
        <v>0</v>
      </c>
      <c r="FI85" s="0" t="n">
        <v>0</v>
      </c>
      <c r="FJ85" s="0" t="n">
        <v>0</v>
      </c>
      <c r="FK85" s="0" t="n">
        <v>0</v>
      </c>
      <c r="FL85" s="0" t="n">
        <v>0</v>
      </c>
      <c r="FM85" s="0" t="n">
        <v>0</v>
      </c>
      <c r="FN85" s="0" t="n">
        <v>0</v>
      </c>
      <c r="FO85" s="0" t="n">
        <v>0</v>
      </c>
      <c r="FP85" s="0" t="n">
        <v>0</v>
      </c>
    </row>
    <row r="86" customFormat="false" ht="13.8" hidden="false" customHeight="false" outlineLevel="0" collapsed="false">
      <c r="A86" s="2" t="s">
        <v>335</v>
      </c>
      <c r="B86" s="0" t="s">
        <v>173</v>
      </c>
      <c r="C86" s="0" t="n">
        <v>94</v>
      </c>
      <c r="D86" s="0" t="s">
        <v>336</v>
      </c>
      <c r="G86" s="0" t="n">
        <v>1425.8271</v>
      </c>
      <c r="H86" s="0" t="n">
        <v>132.6501</v>
      </c>
      <c r="I86" s="0" t="n">
        <v>416.7328</v>
      </c>
      <c r="J86" s="0" t="n">
        <v>0.93045</v>
      </c>
      <c r="K86" s="0" t="n">
        <v>0</v>
      </c>
      <c r="L86" s="0" t="n">
        <v>90.2289</v>
      </c>
      <c r="M86" s="0" t="n">
        <v>61.9193</v>
      </c>
      <c r="N86" s="0" t="n">
        <v>74.7221</v>
      </c>
      <c r="O86" s="0" t="n">
        <v>51.2373</v>
      </c>
      <c r="P86" s="0" t="n">
        <v>37.3231</v>
      </c>
      <c r="Q86" s="0" t="n">
        <v>28.1097</v>
      </c>
      <c r="R86" s="0" t="n">
        <v>32.4794</v>
      </c>
      <c r="S86" s="0" t="n">
        <v>27.9131</v>
      </c>
      <c r="T86" s="0" t="n">
        <v>25.0174</v>
      </c>
      <c r="U86" s="0" t="n">
        <v>29.1039</v>
      </c>
      <c r="V86" s="0" t="n">
        <v>34.0901</v>
      </c>
      <c r="W86" s="0" t="n">
        <v>34.9764</v>
      </c>
      <c r="X86" s="0" t="n">
        <v>38.0115</v>
      </c>
      <c r="Y86" s="0" t="n">
        <v>34.7289</v>
      </c>
      <c r="Z86" s="0" t="n">
        <v>25.7952</v>
      </c>
      <c r="AA86" s="0" t="n">
        <v>32.6474</v>
      </c>
      <c r="AB86" s="0" t="n">
        <v>38.2272</v>
      </c>
      <c r="AC86" s="0" t="n">
        <v>35.9357</v>
      </c>
      <c r="AD86" s="0" t="n">
        <v>37.1283</v>
      </c>
      <c r="AE86" s="0" t="n">
        <v>32.78</v>
      </c>
      <c r="AF86" s="0" t="n">
        <v>31.3681</v>
      </c>
      <c r="AG86" s="0" t="n">
        <v>32.9331</v>
      </c>
      <c r="AH86" s="0" t="n">
        <v>35.2922</v>
      </c>
      <c r="AI86" s="0" t="n">
        <v>37.7942</v>
      </c>
      <c r="AJ86" s="0" t="n">
        <v>40.2705</v>
      </c>
      <c r="AK86" s="0" t="n">
        <v>45.0535</v>
      </c>
      <c r="AL86" s="0" t="n">
        <v>51.1946</v>
      </c>
      <c r="AM86" s="0" t="n">
        <v>46.3269</v>
      </c>
      <c r="AN86" s="0" t="n">
        <v>47.437</v>
      </c>
      <c r="AO86" s="0" t="n">
        <v>46.156</v>
      </c>
      <c r="AP86" s="0" t="n">
        <v>35.4606</v>
      </c>
      <c r="AQ86" s="0" t="n">
        <v>35.7289</v>
      </c>
      <c r="AR86" s="0" t="n">
        <v>29.2886</v>
      </c>
      <c r="AS86" s="0" t="n">
        <v>25.4865</v>
      </c>
      <c r="AT86" s="0" t="n">
        <v>21.6244</v>
      </c>
      <c r="AU86" s="0" t="n">
        <v>18.4119</v>
      </c>
      <c r="AV86" s="0" t="n">
        <v>9.456</v>
      </c>
      <c r="AW86" s="0" t="n">
        <v>8.0787</v>
      </c>
      <c r="AX86" s="0" t="n">
        <v>8.9711</v>
      </c>
      <c r="AY86" s="0" t="n">
        <v>5.9376</v>
      </c>
      <c r="AZ86" s="0" t="n">
        <v>3.2331</v>
      </c>
      <c r="BA86" s="0" t="n">
        <v>2.2728</v>
      </c>
      <c r="BB86" s="0" t="n">
        <v>1.7626</v>
      </c>
      <c r="BC86" s="0" t="n">
        <v>1.4105</v>
      </c>
      <c r="BD86" s="0" t="n">
        <v>0.6125</v>
      </c>
      <c r="BE86" s="0" t="n">
        <v>0.1671</v>
      </c>
      <c r="BF86" s="0" t="n">
        <v>0.1375</v>
      </c>
      <c r="BG86" s="0" t="n">
        <v>0.3505</v>
      </c>
      <c r="BH86" s="0" t="n">
        <v>0.0201</v>
      </c>
      <c r="BI86" s="0" t="n">
        <v>0.1221</v>
      </c>
      <c r="BJ86" s="0" t="n">
        <v>0.093</v>
      </c>
      <c r="BK86" s="0" t="n">
        <v>0.1486</v>
      </c>
      <c r="BL86" s="0" t="n">
        <v>0</v>
      </c>
      <c r="BM86" s="0" t="n">
        <v>0.0064</v>
      </c>
      <c r="BN86" s="0" t="n">
        <v>0.0064</v>
      </c>
      <c r="BO86" s="0" t="n">
        <v>0.0925</v>
      </c>
      <c r="BP86" s="0" t="n">
        <v>0.0217</v>
      </c>
      <c r="BQ86" s="0" t="n">
        <v>0.0069</v>
      </c>
      <c r="BR86" s="0" t="n">
        <v>0.1597</v>
      </c>
      <c r="BS86" s="0" t="n">
        <v>0.0153</v>
      </c>
      <c r="BT86" s="0" t="n">
        <v>0.027</v>
      </c>
      <c r="BU86" s="0" t="n">
        <v>0.0191</v>
      </c>
      <c r="BV86" s="0" t="n">
        <v>0.0064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2.3497</v>
      </c>
      <c r="CP86" s="0" t="n">
        <v>2.3817</v>
      </c>
      <c r="CQ86" s="0" t="n">
        <v>4.0959</v>
      </c>
      <c r="CR86" s="0" t="n">
        <v>3.5614</v>
      </c>
      <c r="CS86" s="0" t="n">
        <v>3.2048</v>
      </c>
      <c r="CT86" s="0" t="n">
        <v>2.8757</v>
      </c>
      <c r="CU86" s="0" t="n">
        <v>3.83</v>
      </c>
      <c r="CV86" s="0" t="n">
        <v>3.7304</v>
      </c>
      <c r="CW86" s="0" t="n">
        <v>3.7206</v>
      </c>
      <c r="CX86" s="0" t="n">
        <v>4.8</v>
      </c>
      <c r="CY86" s="0" t="n">
        <v>6.1782</v>
      </c>
      <c r="CZ86" s="0" t="n">
        <v>6.8751</v>
      </c>
      <c r="DA86" s="0" t="n">
        <v>8.0595</v>
      </c>
      <c r="DB86" s="0" t="n">
        <v>7.9143</v>
      </c>
      <c r="DC86" s="0" t="n">
        <v>6.2759</v>
      </c>
      <c r="DD86" s="0" t="n">
        <v>8.4634</v>
      </c>
      <c r="DE86" s="0" t="n">
        <v>10.5133</v>
      </c>
      <c r="DF86" s="0" t="n">
        <v>10.4479</v>
      </c>
      <c r="DG86" s="0" t="n">
        <v>11.3497</v>
      </c>
      <c r="DH86" s="0" t="n">
        <v>10.5546</v>
      </c>
      <c r="DI86" s="0" t="n">
        <v>10.6118</v>
      </c>
      <c r="DJ86" s="0" t="n">
        <v>11.6328</v>
      </c>
      <c r="DK86" s="0" t="n">
        <v>13.0426</v>
      </c>
      <c r="DL86" s="0" t="n">
        <v>14.5528</v>
      </c>
      <c r="DM86" s="0" t="n">
        <v>16.1158</v>
      </c>
      <c r="DN86" s="0" t="n">
        <v>18.7616</v>
      </c>
      <c r="DO86" s="0" t="n">
        <v>22.1593</v>
      </c>
      <c r="DP86" s="0" t="n">
        <v>20.7309</v>
      </c>
      <c r="DQ86" s="0" t="n">
        <v>21.9511</v>
      </c>
      <c r="DR86" s="0" t="n">
        <v>22.1066</v>
      </c>
      <c r="DS86" s="0" t="n">
        <v>17.5538</v>
      </c>
      <c r="DT86" s="0" t="n">
        <v>18.2189</v>
      </c>
      <c r="DU86" s="0" t="n">
        <v>15.4101</v>
      </c>
      <c r="DV86" s="0" t="n">
        <v>13.7897</v>
      </c>
      <c r="DW86" s="0" t="n">
        <v>12.0625</v>
      </c>
      <c r="DX86" s="0" t="n">
        <v>10.5441</v>
      </c>
      <c r="DY86" s="0" t="n">
        <v>5.5667</v>
      </c>
      <c r="DZ86" s="0" t="n">
        <v>4.8758</v>
      </c>
      <c r="EA86" s="0" t="n">
        <v>5.5604</v>
      </c>
      <c r="EB86" s="0" t="n">
        <v>3.7762</v>
      </c>
      <c r="EC86" s="0" t="n">
        <v>2.1008</v>
      </c>
      <c r="ED86" s="0" t="n">
        <v>1.5136</v>
      </c>
      <c r="EE86" s="0" t="n">
        <v>1.2033</v>
      </c>
      <c r="EF86" s="0" t="n">
        <v>0.9876</v>
      </c>
      <c r="EG86" s="0" t="n">
        <v>0.4373</v>
      </c>
      <c r="EH86" s="0" t="n">
        <v>0.1218</v>
      </c>
      <c r="EI86" s="0" t="n">
        <v>0.1027</v>
      </c>
      <c r="EJ86" s="0" t="n">
        <v>0.2664</v>
      </c>
      <c r="EK86" s="0" t="n">
        <v>0.0156</v>
      </c>
      <c r="EL86" s="0" t="n">
        <v>0.0972</v>
      </c>
      <c r="EM86" s="0" t="n">
        <v>0.0755</v>
      </c>
      <c r="EN86" s="0" t="n">
        <v>0.1218</v>
      </c>
      <c r="EO86" s="0" t="n">
        <v>0</v>
      </c>
      <c r="EP86" s="0" t="n">
        <v>0.0054</v>
      </c>
      <c r="EQ86" s="0" t="n">
        <v>0.0056</v>
      </c>
      <c r="ER86" s="0" t="n">
        <v>0.0822</v>
      </c>
      <c r="ES86" s="0" t="n">
        <v>0.0196</v>
      </c>
      <c r="ET86" s="0" t="n">
        <v>0.0063</v>
      </c>
      <c r="EU86" s="0" t="n">
        <v>0.1494</v>
      </c>
      <c r="EV86" s="0" t="n">
        <v>0.0146</v>
      </c>
      <c r="EW86" s="0" t="n">
        <v>0.0261</v>
      </c>
      <c r="EX86" s="0" t="n">
        <v>0.0187</v>
      </c>
      <c r="EY86" s="0" t="n">
        <v>0.0063</v>
      </c>
      <c r="EZ86" s="0" t="n">
        <v>0</v>
      </c>
      <c r="FA86" s="0" t="n">
        <v>0</v>
      </c>
      <c r="FB86" s="0" t="n">
        <v>0</v>
      </c>
      <c r="FC86" s="0" t="n">
        <v>0</v>
      </c>
      <c r="FD86" s="0" t="n">
        <v>0</v>
      </c>
      <c r="FE86" s="0" t="n">
        <v>0</v>
      </c>
      <c r="FF86" s="0" t="n">
        <v>0</v>
      </c>
      <c r="FG86" s="0" t="n">
        <v>0</v>
      </c>
      <c r="FH86" s="0" t="n">
        <v>0</v>
      </c>
      <c r="FI86" s="0" t="n">
        <v>0</v>
      </c>
      <c r="FJ86" s="0" t="n">
        <v>0</v>
      </c>
      <c r="FK86" s="0" t="n">
        <v>0</v>
      </c>
      <c r="FL86" s="0" t="n">
        <v>0</v>
      </c>
      <c r="FM86" s="0" t="n">
        <v>0</v>
      </c>
      <c r="FN86" s="0" t="n">
        <v>0</v>
      </c>
      <c r="FO86" s="0" t="n">
        <v>0</v>
      </c>
      <c r="FP86" s="0" t="n">
        <v>0</v>
      </c>
    </row>
    <row r="87" customFormat="false" ht="13.8" hidden="false" customHeight="false" outlineLevel="0" collapsed="false">
      <c r="A87" s="2" t="s">
        <v>337</v>
      </c>
      <c r="B87" s="0" t="s">
        <v>173</v>
      </c>
      <c r="C87" s="0" t="n">
        <v>63</v>
      </c>
      <c r="D87" s="0" t="s">
        <v>338</v>
      </c>
      <c r="G87" s="0" t="n">
        <v>2620.6762</v>
      </c>
      <c r="H87" s="0" t="n">
        <v>162.8105</v>
      </c>
      <c r="I87" s="0" t="n">
        <v>511.4841</v>
      </c>
      <c r="J87" s="0" t="n">
        <v>0.567175</v>
      </c>
      <c r="K87" s="0" t="n">
        <v>0</v>
      </c>
      <c r="L87" s="0" t="n">
        <v>217.4205</v>
      </c>
      <c r="M87" s="0" t="n">
        <v>195.0518</v>
      </c>
      <c r="N87" s="0" t="n">
        <v>302.8139</v>
      </c>
      <c r="O87" s="0" t="n">
        <v>238.908</v>
      </c>
      <c r="P87" s="0" t="n">
        <v>190.7153</v>
      </c>
      <c r="Q87" s="0" t="n">
        <v>133.7726</v>
      </c>
      <c r="R87" s="0" t="n">
        <v>137.1864</v>
      </c>
      <c r="S87" s="0" t="n">
        <v>81.7146</v>
      </c>
      <c r="T87" s="0" t="n">
        <v>76.4845</v>
      </c>
      <c r="U87" s="0" t="n">
        <v>59.8894</v>
      </c>
      <c r="V87" s="0" t="n">
        <v>56.7133</v>
      </c>
      <c r="W87" s="0" t="n">
        <v>49.7786</v>
      </c>
      <c r="X87" s="0" t="n">
        <v>49.3144</v>
      </c>
      <c r="Y87" s="0" t="n">
        <v>39.6628</v>
      </c>
      <c r="Z87" s="0" t="n">
        <v>33.3441</v>
      </c>
      <c r="AA87" s="0" t="n">
        <v>32.0555</v>
      </c>
      <c r="AB87" s="0" t="n">
        <v>33.8241</v>
      </c>
      <c r="AC87" s="0" t="n">
        <v>35.0297</v>
      </c>
      <c r="AD87" s="0" t="n">
        <v>40.1006</v>
      </c>
      <c r="AE87" s="0" t="n">
        <v>34.7409</v>
      </c>
      <c r="AF87" s="0" t="n">
        <v>36.3285</v>
      </c>
      <c r="AG87" s="0" t="n">
        <v>35.7419</v>
      </c>
      <c r="AH87" s="0" t="n">
        <v>32.0385</v>
      </c>
      <c r="AI87" s="0" t="n">
        <v>37.8959</v>
      </c>
      <c r="AJ87" s="0" t="n">
        <v>45.2938</v>
      </c>
      <c r="AK87" s="0" t="n">
        <v>49.8949</v>
      </c>
      <c r="AL87" s="0" t="n">
        <v>38.7886</v>
      </c>
      <c r="AM87" s="0" t="n">
        <v>40.0473</v>
      </c>
      <c r="AN87" s="0" t="n">
        <v>35.6109</v>
      </c>
      <c r="AO87" s="0" t="n">
        <v>32.0909</v>
      </c>
      <c r="AP87" s="0" t="n">
        <v>34.0608</v>
      </c>
      <c r="AQ87" s="0" t="n">
        <v>25.3424</v>
      </c>
      <c r="AR87" s="0" t="n">
        <v>23.8692</v>
      </c>
      <c r="AS87" s="0" t="n">
        <v>24.1206</v>
      </c>
      <c r="AT87" s="0" t="n">
        <v>18.725</v>
      </c>
      <c r="AU87" s="0" t="n">
        <v>15.9848</v>
      </c>
      <c r="AV87" s="0" t="n">
        <v>15.195</v>
      </c>
      <c r="AW87" s="0" t="n">
        <v>6.6052</v>
      </c>
      <c r="AX87" s="0" t="n">
        <v>6.3169</v>
      </c>
      <c r="AY87" s="0" t="n">
        <v>3.4827</v>
      </c>
      <c r="AZ87" s="0" t="n">
        <v>2.9495</v>
      </c>
      <c r="BA87" s="0" t="n">
        <v>2.5018</v>
      </c>
      <c r="BB87" s="0" t="n">
        <v>2.7673</v>
      </c>
      <c r="BC87" s="0" t="n">
        <v>2.0213</v>
      </c>
      <c r="BD87" s="0" t="n">
        <v>2.8589</v>
      </c>
      <c r="BE87" s="0" t="n">
        <v>1.2797</v>
      </c>
      <c r="BF87" s="0" t="n">
        <v>1.841</v>
      </c>
      <c r="BG87" s="0" t="n">
        <v>3.0927</v>
      </c>
      <c r="BH87" s="0" t="n">
        <v>1.29</v>
      </c>
      <c r="BI87" s="0" t="n">
        <v>0.4512</v>
      </c>
      <c r="BJ87" s="0" t="n">
        <v>0.2199</v>
      </c>
      <c r="BK87" s="0" t="n">
        <v>0.3661</v>
      </c>
      <c r="BL87" s="0" t="n">
        <v>0.3933</v>
      </c>
      <c r="BM87" s="0" t="n">
        <v>0.2037</v>
      </c>
      <c r="BN87" s="0" t="n">
        <v>0.3232</v>
      </c>
      <c r="BO87" s="0" t="n">
        <v>0.4769</v>
      </c>
      <c r="BP87" s="0" t="n">
        <v>0.0328</v>
      </c>
      <c r="BQ87" s="0" t="n">
        <v>0.0323</v>
      </c>
      <c r="BR87" s="0" t="n">
        <v>0.0069</v>
      </c>
      <c r="BS87" s="0" t="n">
        <v>0</v>
      </c>
      <c r="BT87" s="0" t="n">
        <v>0.0127</v>
      </c>
      <c r="BU87" s="0" t="n">
        <v>0.0264</v>
      </c>
      <c r="BV87" s="0" t="n">
        <v>0</v>
      </c>
      <c r="BW87" s="0" t="n">
        <v>0.0402</v>
      </c>
      <c r="BX87" s="0" t="n">
        <v>0.0227</v>
      </c>
      <c r="BY87" s="0" t="n">
        <v>0.036</v>
      </c>
      <c r="BZ87" s="0" t="n">
        <v>0.0159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5.7114</v>
      </c>
      <c r="CP87" s="0" t="n">
        <v>7.6076</v>
      </c>
      <c r="CQ87" s="0" t="n">
        <v>16.6567</v>
      </c>
      <c r="CR87" s="0" t="n">
        <v>16.6585</v>
      </c>
      <c r="CS87" s="0" t="n">
        <v>16.3673</v>
      </c>
      <c r="CT87" s="0" t="n">
        <v>13.6138</v>
      </c>
      <c r="CU87" s="0" t="n">
        <v>16.1558</v>
      </c>
      <c r="CV87" s="0" t="n">
        <v>10.9204</v>
      </c>
      <c r="CW87" s="0" t="n">
        <v>11.369</v>
      </c>
      <c r="CX87" s="0" t="n">
        <v>9.879</v>
      </c>
      <c r="CY87" s="0" t="n">
        <v>10.2635</v>
      </c>
      <c r="CZ87" s="0" t="n">
        <v>9.7596</v>
      </c>
      <c r="DA87" s="0" t="n">
        <v>10.4448</v>
      </c>
      <c r="DB87" s="0" t="n">
        <v>9.0266</v>
      </c>
      <c r="DC87" s="0" t="n">
        <v>8.127</v>
      </c>
      <c r="DD87" s="0" t="n">
        <v>8.2901</v>
      </c>
      <c r="DE87" s="0" t="n">
        <v>9.3084</v>
      </c>
      <c r="DF87" s="0" t="n">
        <v>10.1832</v>
      </c>
      <c r="DG87" s="0" t="n">
        <v>12.2736</v>
      </c>
      <c r="DH87" s="0" t="n">
        <v>11.1816</v>
      </c>
      <c r="DI87" s="0" t="n">
        <v>12.2673</v>
      </c>
      <c r="DJ87" s="0" t="n">
        <v>12.6282</v>
      </c>
      <c r="DK87" s="0" t="n">
        <v>11.8346</v>
      </c>
      <c r="DL87" s="0" t="n">
        <v>14.6115</v>
      </c>
      <c r="DM87" s="0" t="n">
        <v>18.1049</v>
      </c>
      <c r="DN87" s="0" t="n">
        <v>20.7765</v>
      </c>
      <c r="DO87" s="0" t="n">
        <v>16.7694</v>
      </c>
      <c r="DP87" s="0" t="n">
        <v>17.9273</v>
      </c>
      <c r="DQ87" s="0" t="n">
        <v>16.4782</v>
      </c>
      <c r="DR87" s="0" t="n">
        <v>15.3622</v>
      </c>
      <c r="DS87" s="0" t="n">
        <v>16.861</v>
      </c>
      <c r="DT87" s="0" t="n">
        <v>12.9315</v>
      </c>
      <c r="DU87" s="0" t="n">
        <v>12.5497</v>
      </c>
      <c r="DV87" s="0" t="n">
        <v>13.0632</v>
      </c>
      <c r="DW87" s="0" t="n">
        <v>10.4467</v>
      </c>
      <c r="DX87" s="0" t="n">
        <v>9.1785</v>
      </c>
      <c r="DY87" s="0" t="n">
        <v>8.9251</v>
      </c>
      <c r="DZ87" s="0" t="n">
        <v>3.9878</v>
      </c>
      <c r="EA87" s="0" t="n">
        <v>3.9162</v>
      </c>
      <c r="EB87" s="0" t="n">
        <v>2.2159</v>
      </c>
      <c r="EC87" s="0" t="n">
        <v>1.923</v>
      </c>
      <c r="ED87" s="0" t="n">
        <v>1.6735</v>
      </c>
      <c r="EE87" s="0" t="n">
        <v>1.8891</v>
      </c>
      <c r="EF87" s="0" t="n">
        <v>1.4138</v>
      </c>
      <c r="EG87" s="0" t="n">
        <v>2.0465</v>
      </c>
      <c r="EH87" s="0" t="n">
        <v>0.9319</v>
      </c>
      <c r="EI87" s="0" t="n">
        <v>1.3738</v>
      </c>
      <c r="EJ87" s="0" t="n">
        <v>2.3656</v>
      </c>
      <c r="EK87" s="0" t="n">
        <v>1.0043</v>
      </c>
      <c r="EL87" s="0" t="n">
        <v>0.3586</v>
      </c>
      <c r="EM87" s="0" t="n">
        <v>0.1776</v>
      </c>
      <c r="EN87" s="0" t="n">
        <v>0.302</v>
      </c>
      <c r="EO87" s="0" t="n">
        <v>0.331</v>
      </c>
      <c r="EP87" s="0" t="n">
        <v>0.1744</v>
      </c>
      <c r="EQ87" s="0" t="n">
        <v>0.2813</v>
      </c>
      <c r="ER87" s="0" t="n">
        <v>0.4237</v>
      </c>
      <c r="ES87" s="0" t="n">
        <v>0.0296</v>
      </c>
      <c r="ET87" s="0" t="n">
        <v>0.0297</v>
      </c>
      <c r="EU87" s="0" t="n">
        <v>0.0064</v>
      </c>
      <c r="EV87" s="0" t="n">
        <v>0</v>
      </c>
      <c r="EW87" s="0" t="n">
        <v>0.0123</v>
      </c>
      <c r="EX87" s="0" t="n">
        <v>0.0261</v>
      </c>
      <c r="EY87" s="0" t="n">
        <v>0</v>
      </c>
      <c r="EZ87" s="0" t="n">
        <v>0.0407</v>
      </c>
      <c r="FA87" s="0" t="n">
        <v>0.0235</v>
      </c>
      <c r="FB87" s="0" t="n">
        <v>0.0375</v>
      </c>
      <c r="FC87" s="0" t="n">
        <v>0.0168</v>
      </c>
      <c r="FD87" s="0" t="n">
        <v>0</v>
      </c>
      <c r="FE87" s="0" t="n">
        <v>0</v>
      </c>
      <c r="FF87" s="0" t="n">
        <v>0</v>
      </c>
      <c r="FG87" s="0" t="n">
        <v>0</v>
      </c>
      <c r="FH87" s="0" t="n">
        <v>0</v>
      </c>
      <c r="FI87" s="0" t="n">
        <v>0</v>
      </c>
      <c r="FJ87" s="0" t="n">
        <v>0</v>
      </c>
      <c r="FK87" s="0" t="n">
        <v>0</v>
      </c>
      <c r="FL87" s="0" t="n">
        <v>0</v>
      </c>
      <c r="FM87" s="0" t="n">
        <v>0</v>
      </c>
      <c r="FN87" s="0" t="n">
        <v>0</v>
      </c>
      <c r="FO87" s="0" t="n">
        <v>0</v>
      </c>
      <c r="FP87" s="0" t="n">
        <v>0</v>
      </c>
    </row>
    <row r="88" customFormat="false" ht="13.8" hidden="false" customHeight="false" outlineLevel="0" collapsed="false">
      <c r="A88" s="2" t="s">
        <v>339</v>
      </c>
      <c r="B88" s="0" t="s">
        <v>176</v>
      </c>
      <c r="C88" s="0" t="n">
        <v>293</v>
      </c>
      <c r="D88" s="0" t="s">
        <v>340</v>
      </c>
      <c r="G88" s="0" t="n">
        <v>1886.7433</v>
      </c>
      <c r="H88" s="0" t="n">
        <v>138.8977</v>
      </c>
      <c r="I88" s="0" t="n">
        <v>436.36</v>
      </c>
      <c r="J88" s="0" t="n">
        <v>0.7365</v>
      </c>
      <c r="K88" s="0" t="n">
        <v>0.0403</v>
      </c>
      <c r="L88" s="0" t="n">
        <v>108.6939</v>
      </c>
      <c r="M88" s="0" t="n">
        <v>109.2194</v>
      </c>
      <c r="N88" s="0" t="n">
        <v>191.148</v>
      </c>
      <c r="O88" s="0" t="n">
        <v>151.21</v>
      </c>
      <c r="P88" s="0" t="n">
        <v>115.5474</v>
      </c>
      <c r="Q88" s="0" t="n">
        <v>88.6035</v>
      </c>
      <c r="R88" s="0" t="n">
        <v>73.7226</v>
      </c>
      <c r="S88" s="0" t="n">
        <v>48.7175</v>
      </c>
      <c r="T88" s="0" t="n">
        <v>50.0052</v>
      </c>
      <c r="U88" s="0" t="n">
        <v>45.6476</v>
      </c>
      <c r="V88" s="0" t="n">
        <v>41.9964</v>
      </c>
      <c r="W88" s="0" t="n">
        <v>36.6993</v>
      </c>
      <c r="X88" s="0" t="n">
        <v>41.6412</v>
      </c>
      <c r="Y88" s="0" t="n">
        <v>34.911</v>
      </c>
      <c r="Z88" s="0" t="n">
        <v>31.7868</v>
      </c>
      <c r="AA88" s="0" t="n">
        <v>34.1541</v>
      </c>
      <c r="AB88" s="0" t="n">
        <v>28.5815</v>
      </c>
      <c r="AC88" s="0" t="n">
        <v>24.4529</v>
      </c>
      <c r="AD88" s="0" t="n">
        <v>27.8188</v>
      </c>
      <c r="AE88" s="0" t="n">
        <v>32.3079</v>
      </c>
      <c r="AF88" s="0" t="n">
        <v>34.225</v>
      </c>
      <c r="AG88" s="0" t="n">
        <v>37.4337</v>
      </c>
      <c r="AH88" s="0" t="n">
        <v>34.3495</v>
      </c>
      <c r="AI88" s="0" t="n">
        <v>36.7204</v>
      </c>
      <c r="AJ88" s="0" t="n">
        <v>42.8193</v>
      </c>
      <c r="AK88" s="0" t="n">
        <v>48.4939</v>
      </c>
      <c r="AL88" s="0" t="n">
        <v>52.2772</v>
      </c>
      <c r="AM88" s="0" t="n">
        <v>42.9894</v>
      </c>
      <c r="AN88" s="0" t="n">
        <v>34.4377</v>
      </c>
      <c r="AO88" s="0" t="n">
        <v>34.0639</v>
      </c>
      <c r="AP88" s="0" t="n">
        <v>28.1466</v>
      </c>
      <c r="AQ88" s="0" t="n">
        <v>27.8413</v>
      </c>
      <c r="AR88" s="0" t="n">
        <v>21.2868</v>
      </c>
      <c r="AS88" s="0" t="n">
        <v>23.6354</v>
      </c>
      <c r="AT88" s="0" t="n">
        <v>18.9375</v>
      </c>
      <c r="AU88" s="0" t="n">
        <v>12.1821</v>
      </c>
      <c r="AV88" s="0" t="n">
        <v>8.8498</v>
      </c>
      <c r="AW88" s="0" t="n">
        <v>5.8316</v>
      </c>
      <c r="AX88" s="0" t="n">
        <v>4.6795</v>
      </c>
      <c r="AY88" s="0" t="n">
        <v>3.2226</v>
      </c>
      <c r="AZ88" s="0" t="n">
        <v>2.2766</v>
      </c>
      <c r="BA88" s="0" t="n">
        <v>2.0029</v>
      </c>
      <c r="BB88" s="0" t="n">
        <v>1.7016</v>
      </c>
      <c r="BC88" s="0" t="n">
        <v>1.13</v>
      </c>
      <c r="BD88" s="0" t="n">
        <v>2.4474</v>
      </c>
      <c r="BE88" s="0" t="n">
        <v>1.6967</v>
      </c>
      <c r="BF88" s="0" t="n">
        <v>0.8756</v>
      </c>
      <c r="BG88" s="0" t="n">
        <v>1.2</v>
      </c>
      <c r="BH88" s="0" t="n">
        <v>0.7553</v>
      </c>
      <c r="BI88" s="0" t="n">
        <v>0.3534</v>
      </c>
      <c r="BJ88" s="0" t="n">
        <v>0.3391</v>
      </c>
      <c r="BK88" s="0" t="n">
        <v>0.5808</v>
      </c>
      <c r="BL88" s="0" t="n">
        <v>0.6982</v>
      </c>
      <c r="BM88" s="0" t="n">
        <v>0.2142</v>
      </c>
      <c r="BN88" s="0" t="n">
        <v>0.3794</v>
      </c>
      <c r="BO88" s="0" t="n">
        <v>0.0455</v>
      </c>
      <c r="BP88" s="0" t="n">
        <v>0.129</v>
      </c>
      <c r="BQ88" s="0" t="n">
        <v>0.0069</v>
      </c>
      <c r="BR88" s="0" t="n">
        <v>0</v>
      </c>
      <c r="BS88" s="0" t="n">
        <v>0.0206</v>
      </c>
      <c r="BT88" s="0" t="n">
        <v>0.0069</v>
      </c>
      <c r="BU88" s="0" t="n">
        <v>0.1533</v>
      </c>
      <c r="BV88" s="0" t="n">
        <v>0.0264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0</v>
      </c>
      <c r="CL88" s="0" t="n">
        <v>0</v>
      </c>
      <c r="CM88" s="0" t="n">
        <v>0</v>
      </c>
      <c r="CN88" s="0" t="n">
        <v>0.0005</v>
      </c>
      <c r="CO88" s="0" t="n">
        <v>2.8752</v>
      </c>
      <c r="CP88" s="0" t="n">
        <v>4.2468</v>
      </c>
      <c r="CQ88" s="0" t="n">
        <v>10.5427</v>
      </c>
      <c r="CR88" s="0" t="n">
        <v>10.5086</v>
      </c>
      <c r="CS88" s="0" t="n">
        <v>9.9616</v>
      </c>
      <c r="CT88" s="0" t="n">
        <v>9.0279</v>
      </c>
      <c r="CU88" s="0" t="n">
        <v>8.6988</v>
      </c>
      <c r="CV88" s="0" t="n">
        <v>6.5044</v>
      </c>
      <c r="CW88" s="0" t="n">
        <v>7.4422</v>
      </c>
      <c r="CX88" s="0" t="n">
        <v>7.5182</v>
      </c>
      <c r="CY88" s="0" t="n">
        <v>7.607</v>
      </c>
      <c r="CZ88" s="0" t="n">
        <v>7.2018</v>
      </c>
      <c r="DA88" s="0" t="n">
        <v>8.8242</v>
      </c>
      <c r="DB88" s="0" t="n">
        <v>7.9632</v>
      </c>
      <c r="DC88" s="0" t="n">
        <v>7.7536</v>
      </c>
      <c r="DD88" s="0" t="n">
        <v>8.8447</v>
      </c>
      <c r="DE88" s="0" t="n">
        <v>7.8478</v>
      </c>
      <c r="DF88" s="0" t="n">
        <v>7.1077</v>
      </c>
      <c r="DG88" s="0" t="n">
        <v>8.5107</v>
      </c>
      <c r="DH88" s="0" t="n">
        <v>10.4116</v>
      </c>
      <c r="DI88" s="0" t="n">
        <v>11.5638</v>
      </c>
      <c r="DJ88" s="0" t="n">
        <v>13.2233</v>
      </c>
      <c r="DK88" s="0" t="n">
        <v>12.6763</v>
      </c>
      <c r="DL88" s="0" t="n">
        <v>14.146</v>
      </c>
      <c r="DM88" s="0" t="n">
        <v>17.1382</v>
      </c>
      <c r="DN88" s="0" t="n">
        <v>20.2143</v>
      </c>
      <c r="DO88" s="0" t="n">
        <v>22.6019</v>
      </c>
      <c r="DP88" s="0" t="n">
        <v>19.231</v>
      </c>
      <c r="DQ88" s="0" t="n">
        <v>15.9488</v>
      </c>
      <c r="DR88" s="0" t="n">
        <v>16.3137</v>
      </c>
      <c r="DS88" s="0" t="n">
        <v>13.9185</v>
      </c>
      <c r="DT88" s="0" t="n">
        <v>14.206</v>
      </c>
      <c r="DU88" s="0" t="n">
        <v>11.1905</v>
      </c>
      <c r="DV88" s="0" t="n">
        <v>12.7969</v>
      </c>
      <c r="DW88" s="0" t="n">
        <v>10.5462</v>
      </c>
      <c r="DX88" s="0" t="n">
        <v>6.98</v>
      </c>
      <c r="DY88" s="0" t="n">
        <v>5.204</v>
      </c>
      <c r="DZ88" s="0" t="n">
        <v>3.5201</v>
      </c>
      <c r="EA88" s="0" t="n">
        <v>2.9033</v>
      </c>
      <c r="EB88" s="0" t="n">
        <v>2.0541</v>
      </c>
      <c r="EC88" s="0" t="n">
        <v>1.4819</v>
      </c>
      <c r="ED88" s="0" t="n">
        <v>1.3373</v>
      </c>
      <c r="EE88" s="0" t="n">
        <v>1.1614</v>
      </c>
      <c r="EF88" s="0" t="n">
        <v>0.7902</v>
      </c>
      <c r="EG88" s="0" t="n">
        <v>1.7498</v>
      </c>
      <c r="EH88" s="0" t="n">
        <v>1.2374</v>
      </c>
      <c r="EI88" s="0" t="n">
        <v>0.6524</v>
      </c>
      <c r="EJ88" s="0" t="n">
        <v>0.9134</v>
      </c>
      <c r="EK88" s="0" t="n">
        <v>0.5856</v>
      </c>
      <c r="EL88" s="0" t="n">
        <v>0.28</v>
      </c>
      <c r="EM88" s="0" t="n">
        <v>0.2741</v>
      </c>
      <c r="EN88" s="0" t="n">
        <v>0.48</v>
      </c>
      <c r="EO88" s="0" t="n">
        <v>0.5862</v>
      </c>
      <c r="EP88" s="0" t="n">
        <v>0.1827</v>
      </c>
      <c r="EQ88" s="0" t="n">
        <v>0.3299</v>
      </c>
      <c r="ER88" s="0" t="n">
        <v>0.0405</v>
      </c>
      <c r="ES88" s="0" t="n">
        <v>0.1156</v>
      </c>
      <c r="ET88" s="0" t="n">
        <v>0.0063</v>
      </c>
      <c r="EU88" s="0" t="n">
        <v>0</v>
      </c>
      <c r="EV88" s="0" t="n">
        <v>0.0195</v>
      </c>
      <c r="EW88" s="0" t="n">
        <v>0.0066</v>
      </c>
      <c r="EX88" s="0" t="n">
        <v>0.1504</v>
      </c>
      <c r="EY88" s="0" t="n">
        <v>0.0264</v>
      </c>
      <c r="EZ88" s="0" t="n">
        <v>0</v>
      </c>
      <c r="FA88" s="0" t="n">
        <v>0</v>
      </c>
      <c r="FB88" s="0" t="n">
        <v>0</v>
      </c>
      <c r="FC88" s="0" t="n">
        <v>0</v>
      </c>
      <c r="FD88" s="0" t="n">
        <v>0</v>
      </c>
      <c r="FE88" s="0" t="n">
        <v>0</v>
      </c>
      <c r="FF88" s="0" t="n">
        <v>0</v>
      </c>
      <c r="FG88" s="0" t="n">
        <v>0</v>
      </c>
      <c r="FH88" s="0" t="n">
        <v>0</v>
      </c>
      <c r="FI88" s="0" t="n">
        <v>0</v>
      </c>
      <c r="FJ88" s="0" t="n">
        <v>0</v>
      </c>
      <c r="FK88" s="0" t="n">
        <v>0</v>
      </c>
      <c r="FL88" s="0" t="n">
        <v>0</v>
      </c>
      <c r="FM88" s="0" t="n">
        <v>0</v>
      </c>
      <c r="FN88" s="0" t="n">
        <v>0</v>
      </c>
      <c r="FO88" s="0" t="n">
        <v>0</v>
      </c>
      <c r="FP88" s="0" t="n">
        <v>0</v>
      </c>
    </row>
    <row r="89" customFormat="false" ht="13.8" hidden="false" customHeight="false" outlineLevel="0" collapsed="false">
      <c r="A89" s="2" t="s">
        <v>341</v>
      </c>
      <c r="B89" s="0" t="s">
        <v>176</v>
      </c>
      <c r="C89" s="0" t="n">
        <v>218</v>
      </c>
      <c r="D89" s="0" t="s">
        <v>342</v>
      </c>
      <c r="E89" s="0" t="e">
        <f aca="false">VLOOKUP(A89,[1]RHIZOMES!$A$1:$B$1048576,2,0)</f>
        <v>#N/A</v>
      </c>
      <c r="F89" s="0" t="e">
        <f aca="false">VLOOKUP(A89,[1]ROOT!$A$1:$C$1048576,3,0)</f>
        <v>#N/A</v>
      </c>
      <c r="G89" s="0" t="n">
        <v>2383.6557</v>
      </c>
      <c r="H89" s="0" t="n">
        <v>264.434</v>
      </c>
      <c r="I89" s="0" t="n">
        <v>830.7439</v>
      </c>
      <c r="J89" s="0" t="n">
        <v>1.10173333333333</v>
      </c>
      <c r="K89" s="0" t="n">
        <v>0.0063</v>
      </c>
      <c r="L89" s="0" t="n">
        <v>7.8016</v>
      </c>
      <c r="M89" s="0" t="n">
        <v>16.7126</v>
      </c>
      <c r="N89" s="0" t="n">
        <v>87.1177</v>
      </c>
      <c r="O89" s="0" t="n">
        <v>125.0457</v>
      </c>
      <c r="P89" s="0" t="n">
        <v>105.6687</v>
      </c>
      <c r="Q89" s="0" t="n">
        <v>192.4078</v>
      </c>
      <c r="R89" s="0" t="n">
        <v>103.2345</v>
      </c>
      <c r="S89" s="0" t="n">
        <v>99.192</v>
      </c>
      <c r="T89" s="0" t="n">
        <v>92.5188</v>
      </c>
      <c r="U89" s="0" t="n">
        <v>133.5915</v>
      </c>
      <c r="V89" s="0" t="n">
        <v>58.4175</v>
      </c>
      <c r="W89" s="0" t="n">
        <v>108.2417</v>
      </c>
      <c r="X89" s="0" t="n">
        <v>77.8852</v>
      </c>
      <c r="Y89" s="0" t="n">
        <v>52.2197</v>
      </c>
      <c r="Z89" s="0" t="n">
        <v>61.5093</v>
      </c>
      <c r="AA89" s="0" t="n">
        <v>68.9414</v>
      </c>
      <c r="AB89" s="0" t="n">
        <v>59.0033</v>
      </c>
      <c r="AC89" s="0" t="n">
        <v>37.4174</v>
      </c>
      <c r="AD89" s="0" t="n">
        <v>57.3882</v>
      </c>
      <c r="AE89" s="0" t="n">
        <v>42.384</v>
      </c>
      <c r="AF89" s="0" t="n">
        <v>52.9472</v>
      </c>
      <c r="AG89" s="0" t="n">
        <v>23.4371</v>
      </c>
      <c r="AH89" s="0" t="n">
        <v>30.6512</v>
      </c>
      <c r="AI89" s="0" t="n">
        <v>35.6786</v>
      </c>
      <c r="AJ89" s="0" t="n">
        <v>19.6871</v>
      </c>
      <c r="AK89" s="0" t="n">
        <v>30.3878</v>
      </c>
      <c r="AL89" s="0" t="n">
        <v>20.7728</v>
      </c>
      <c r="AM89" s="0" t="n">
        <v>27.066</v>
      </c>
      <c r="AN89" s="0" t="n">
        <v>27.5557</v>
      </c>
      <c r="AO89" s="0" t="n">
        <v>26.8992</v>
      </c>
      <c r="AP89" s="0" t="n">
        <v>22.0339</v>
      </c>
      <c r="AQ89" s="0" t="n">
        <v>21.593</v>
      </c>
      <c r="AR89" s="0" t="n">
        <v>23.801</v>
      </c>
      <c r="AS89" s="0" t="n">
        <v>19.5701</v>
      </c>
      <c r="AT89" s="0" t="n">
        <v>28.8885</v>
      </c>
      <c r="AU89" s="0" t="n">
        <v>26.3594</v>
      </c>
      <c r="AV89" s="0" t="n">
        <v>20.496</v>
      </c>
      <c r="AW89" s="0" t="n">
        <v>23.4513</v>
      </c>
      <c r="AX89" s="0" t="n">
        <v>28.0608</v>
      </c>
      <c r="AY89" s="0" t="n">
        <v>22.4814</v>
      </c>
      <c r="AZ89" s="0" t="n">
        <v>23.3768</v>
      </c>
      <c r="BA89" s="0" t="n">
        <v>16.2979</v>
      </c>
      <c r="BB89" s="0" t="n">
        <v>29.1598</v>
      </c>
      <c r="BC89" s="0" t="n">
        <v>23.451</v>
      </c>
      <c r="BD89" s="0" t="n">
        <v>17.2396</v>
      </c>
      <c r="BE89" s="0" t="n">
        <v>18.9103</v>
      </c>
      <c r="BF89" s="0" t="n">
        <v>11.8914</v>
      </c>
      <c r="BG89" s="0" t="n">
        <v>14.1623</v>
      </c>
      <c r="BH89" s="0" t="n">
        <v>9.8742</v>
      </c>
      <c r="BI89" s="0" t="n">
        <v>9.0393</v>
      </c>
      <c r="BJ89" s="0" t="n">
        <v>10.9918</v>
      </c>
      <c r="BK89" s="0" t="n">
        <v>13.0499</v>
      </c>
      <c r="BL89" s="0" t="n">
        <v>5.0943</v>
      </c>
      <c r="BM89" s="0" t="n">
        <v>7.9082</v>
      </c>
      <c r="BN89" s="0" t="n">
        <v>6.4792</v>
      </c>
      <c r="BO89" s="0" t="n">
        <v>3.3931</v>
      </c>
      <c r="BP89" s="0" t="n">
        <v>4.4231</v>
      </c>
      <c r="BQ89" s="0" t="n">
        <v>3.3479</v>
      </c>
      <c r="BR89" s="0" t="n">
        <v>3.1117</v>
      </c>
      <c r="BS89" s="0" t="n">
        <v>2.7594</v>
      </c>
      <c r="BT89" s="0" t="n">
        <v>1.9087</v>
      </c>
      <c r="BU89" s="0" t="n">
        <v>3.0488</v>
      </c>
      <c r="BV89" s="0" t="n">
        <v>1.9237</v>
      </c>
      <c r="BW89" s="0" t="n">
        <v>1.2735</v>
      </c>
      <c r="BX89" s="0" t="n">
        <v>0.4847</v>
      </c>
      <c r="BY89" s="0" t="n">
        <v>1.0911</v>
      </c>
      <c r="BZ89" s="0" t="n">
        <v>1.0222</v>
      </c>
      <c r="CA89" s="0" t="n">
        <v>1.1018</v>
      </c>
      <c r="CB89" s="0" t="n">
        <v>1.5842</v>
      </c>
      <c r="CC89" s="0" t="n">
        <v>1.1374</v>
      </c>
      <c r="CD89" s="0" t="n">
        <v>1.1509</v>
      </c>
      <c r="CE89" s="0" t="n">
        <v>1.7221</v>
      </c>
      <c r="CF89" s="0" t="n">
        <v>0.5683</v>
      </c>
      <c r="CG89" s="0" t="n">
        <v>0.8111</v>
      </c>
      <c r="CH89" s="0" t="n">
        <v>1.0413</v>
      </c>
      <c r="CI89" s="0" t="n">
        <v>0.202</v>
      </c>
      <c r="CJ89" s="0" t="n">
        <v>0.4548</v>
      </c>
      <c r="CK89" s="0" t="n">
        <v>0.3252</v>
      </c>
      <c r="CL89" s="0" t="n">
        <v>0.3728</v>
      </c>
      <c r="CM89" s="0" t="n">
        <v>9.8571</v>
      </c>
      <c r="CN89" s="0" t="n">
        <v>0.0001</v>
      </c>
      <c r="CO89" s="0" t="n">
        <v>0.2137</v>
      </c>
      <c r="CP89" s="0" t="n">
        <v>0.653</v>
      </c>
      <c r="CQ89" s="0" t="n">
        <v>4.9585</v>
      </c>
      <c r="CR89" s="0" t="n">
        <v>8.9189</v>
      </c>
      <c r="CS89" s="0" t="n">
        <v>8.8899</v>
      </c>
      <c r="CT89" s="0" t="n">
        <v>19.4482</v>
      </c>
      <c r="CU89" s="0" t="n">
        <v>12.2976</v>
      </c>
      <c r="CV89" s="0" t="n">
        <v>13.1929</v>
      </c>
      <c r="CW89" s="0" t="n">
        <v>13.5868</v>
      </c>
      <c r="CX89" s="0" t="n">
        <v>22.221</v>
      </c>
      <c r="CY89" s="0" t="n">
        <v>10.6317</v>
      </c>
      <c r="CZ89" s="0" t="n">
        <v>21.1913</v>
      </c>
      <c r="DA89" s="0" t="n">
        <v>16.8292</v>
      </c>
      <c r="DB89" s="0" t="n">
        <v>11.8258</v>
      </c>
      <c r="DC89" s="0" t="n">
        <v>14.9082</v>
      </c>
      <c r="DD89" s="0" t="n">
        <v>17.7966</v>
      </c>
      <c r="DE89" s="0" t="n">
        <v>16.3164</v>
      </c>
      <c r="DF89" s="0" t="n">
        <v>10.8954</v>
      </c>
      <c r="DG89" s="0" t="n">
        <v>17.5606</v>
      </c>
      <c r="DH89" s="0" t="n">
        <v>13.576</v>
      </c>
      <c r="DI89" s="0" t="n">
        <v>17.9566</v>
      </c>
      <c r="DJ89" s="0" t="n">
        <v>8.3648</v>
      </c>
      <c r="DK89" s="0" t="n">
        <v>11.2598</v>
      </c>
      <c r="DL89" s="0" t="n">
        <v>13.8032</v>
      </c>
      <c r="DM89" s="0" t="n">
        <v>7.8825</v>
      </c>
      <c r="DN89" s="0" t="n">
        <v>12.6687</v>
      </c>
      <c r="DO89" s="0" t="n">
        <v>9.0013</v>
      </c>
      <c r="DP89" s="0" t="n">
        <v>12.0506</v>
      </c>
      <c r="DQ89" s="0" t="n">
        <v>12.7445</v>
      </c>
      <c r="DR89" s="0" t="n">
        <v>12.9415</v>
      </c>
      <c r="DS89" s="0" t="n">
        <v>10.8712</v>
      </c>
      <c r="DT89" s="0" t="n">
        <v>11.0035</v>
      </c>
      <c r="DU89" s="0" t="n">
        <v>12.5425</v>
      </c>
      <c r="DV89" s="0" t="n">
        <v>10.5903</v>
      </c>
      <c r="DW89" s="0" t="n">
        <v>16.0508</v>
      </c>
      <c r="DX89" s="0" t="n">
        <v>15.1358</v>
      </c>
      <c r="DY89" s="0" t="n">
        <v>12.1252</v>
      </c>
      <c r="DZ89" s="0" t="n">
        <v>14.1385</v>
      </c>
      <c r="EA89" s="0" t="n">
        <v>17.4451</v>
      </c>
      <c r="EB89" s="0" t="n">
        <v>14.3264</v>
      </c>
      <c r="EC89" s="0" t="n">
        <v>15.2732</v>
      </c>
      <c r="ED89" s="0" t="n">
        <v>10.8235</v>
      </c>
      <c r="EE89" s="0" t="n">
        <v>19.8438</v>
      </c>
      <c r="EF89" s="0" t="n">
        <v>16.4521</v>
      </c>
      <c r="EG89" s="0" t="n">
        <v>12.3774</v>
      </c>
      <c r="EH89" s="0" t="n">
        <v>13.8217</v>
      </c>
      <c r="EI89" s="0" t="n">
        <v>8.8546</v>
      </c>
      <c r="EJ89" s="0" t="n">
        <v>10.7697</v>
      </c>
      <c r="EK89" s="0" t="n">
        <v>7.6964</v>
      </c>
      <c r="EL89" s="0" t="n">
        <v>7.1749</v>
      </c>
      <c r="EM89" s="0" t="n">
        <v>8.8746</v>
      </c>
      <c r="EN89" s="0" t="n">
        <v>10.7823</v>
      </c>
      <c r="EO89" s="0" t="n">
        <v>4.2934</v>
      </c>
      <c r="EP89" s="0" t="n">
        <v>6.7596</v>
      </c>
      <c r="EQ89" s="0" t="n">
        <v>5.6562</v>
      </c>
      <c r="ER89" s="0" t="n">
        <v>3.0082</v>
      </c>
      <c r="ES89" s="0" t="n">
        <v>3.9904</v>
      </c>
      <c r="ET89" s="0" t="n">
        <v>3.0744</v>
      </c>
      <c r="EU89" s="0" t="n">
        <v>2.9003</v>
      </c>
      <c r="EV89" s="0" t="n">
        <v>2.6223</v>
      </c>
      <c r="EW89" s="0" t="n">
        <v>1.8458</v>
      </c>
      <c r="EX89" s="0" t="n">
        <v>2.9955</v>
      </c>
      <c r="EY89" s="0" t="n">
        <v>1.9128</v>
      </c>
      <c r="EZ89" s="0" t="n">
        <v>1.2918</v>
      </c>
      <c r="FA89" s="0" t="n">
        <v>0.5592</v>
      </c>
      <c r="FB89" s="0" t="n">
        <v>1.1364</v>
      </c>
      <c r="FC89" s="0" t="n">
        <v>1.081</v>
      </c>
      <c r="FD89" s="0" t="n">
        <v>1.1869</v>
      </c>
      <c r="FE89" s="0" t="n">
        <v>1.7239</v>
      </c>
      <c r="FF89" s="0" t="n">
        <v>1.2571</v>
      </c>
      <c r="FG89" s="0" t="n">
        <v>1.292</v>
      </c>
      <c r="FH89" s="0" t="n">
        <v>1.9605</v>
      </c>
      <c r="FI89" s="0" t="n">
        <v>0.6565</v>
      </c>
      <c r="FJ89" s="0" t="n">
        <v>0.9483</v>
      </c>
      <c r="FK89" s="0" t="n">
        <v>1.2376</v>
      </c>
      <c r="FL89" s="0" t="n">
        <v>0.2426</v>
      </c>
      <c r="FM89" s="0" t="n">
        <v>0.5533</v>
      </c>
      <c r="FN89" s="0" t="n">
        <v>0.4014</v>
      </c>
      <c r="FO89" s="0" t="n">
        <v>0.466</v>
      </c>
      <c r="FP89" s="0" t="n">
        <v>15.0464</v>
      </c>
    </row>
    <row r="90" customFormat="false" ht="13.8" hidden="false" customHeight="false" outlineLevel="0" collapsed="false">
      <c r="A90" s="2" t="s">
        <v>343</v>
      </c>
      <c r="B90" s="0" t="s">
        <v>173</v>
      </c>
      <c r="C90" s="0" t="n">
        <v>23</v>
      </c>
      <c r="D90" s="0" t="s">
        <v>344</v>
      </c>
      <c r="G90" s="0" t="n">
        <v>2144.343</v>
      </c>
      <c r="H90" s="0" t="n">
        <v>185.7322</v>
      </c>
      <c r="I90" s="0" t="n">
        <v>583.4946</v>
      </c>
      <c r="J90" s="0" t="n">
        <v>0.8589</v>
      </c>
      <c r="K90" s="0" t="n">
        <v>0</v>
      </c>
      <c r="L90" s="0" t="n">
        <v>145.4682</v>
      </c>
      <c r="M90" s="0" t="n">
        <v>132.5543</v>
      </c>
      <c r="N90" s="0" t="n">
        <v>196.9833</v>
      </c>
      <c r="O90" s="0" t="n">
        <v>166.008</v>
      </c>
      <c r="P90" s="0" t="n">
        <v>115.5061</v>
      </c>
      <c r="Q90" s="0" t="n">
        <v>78.8793</v>
      </c>
      <c r="R90" s="0" t="n">
        <v>79.5377</v>
      </c>
      <c r="S90" s="0" t="n">
        <v>50.0578</v>
      </c>
      <c r="T90" s="0" t="n">
        <v>55.4551</v>
      </c>
      <c r="U90" s="0" t="n">
        <v>56.3365</v>
      </c>
      <c r="V90" s="0" t="n">
        <v>49.7451</v>
      </c>
      <c r="W90" s="0" t="n">
        <v>41.7483</v>
      </c>
      <c r="X90" s="0" t="n">
        <v>41.065</v>
      </c>
      <c r="Y90" s="0" t="n">
        <v>33.9397</v>
      </c>
      <c r="Z90" s="0" t="n">
        <v>31.9939</v>
      </c>
      <c r="AA90" s="0" t="n">
        <v>26.0771</v>
      </c>
      <c r="AB90" s="0" t="n">
        <v>25.9239</v>
      </c>
      <c r="AC90" s="0" t="n">
        <v>23.2752</v>
      </c>
      <c r="AD90" s="0" t="n">
        <v>29.6579</v>
      </c>
      <c r="AE90" s="0" t="n">
        <v>27.2927</v>
      </c>
      <c r="AF90" s="0" t="n">
        <v>29.7935</v>
      </c>
      <c r="AG90" s="0" t="n">
        <v>25.9186</v>
      </c>
      <c r="AH90" s="0" t="n">
        <v>26.1522</v>
      </c>
      <c r="AI90" s="0" t="n">
        <v>22.0516</v>
      </c>
      <c r="AJ90" s="0" t="n">
        <v>27.3477</v>
      </c>
      <c r="AK90" s="0" t="n">
        <v>30.1294</v>
      </c>
      <c r="AL90" s="0" t="n">
        <v>27.8481</v>
      </c>
      <c r="AM90" s="0" t="n">
        <v>27.6009</v>
      </c>
      <c r="AN90" s="0" t="n">
        <v>26.9129</v>
      </c>
      <c r="AO90" s="0" t="n">
        <v>33.6806</v>
      </c>
      <c r="AP90" s="0" t="n">
        <v>34.7156</v>
      </c>
      <c r="AQ90" s="0" t="n">
        <v>36.1617</v>
      </c>
      <c r="AR90" s="0" t="n">
        <v>42.5252</v>
      </c>
      <c r="AS90" s="0" t="n">
        <v>43.4912</v>
      </c>
      <c r="AT90" s="0" t="n">
        <v>42.4498</v>
      </c>
      <c r="AU90" s="0" t="n">
        <v>49.0392</v>
      </c>
      <c r="AV90" s="0" t="n">
        <v>32.3521</v>
      </c>
      <c r="AW90" s="0" t="n">
        <v>21.5958</v>
      </c>
      <c r="AX90" s="0" t="n">
        <v>23.1533</v>
      </c>
      <c r="AY90" s="0" t="n">
        <v>19.7655</v>
      </c>
      <c r="AZ90" s="0" t="n">
        <v>17.6303</v>
      </c>
      <c r="BA90" s="0" t="n">
        <v>18.4284</v>
      </c>
      <c r="BB90" s="0" t="n">
        <v>16.5012</v>
      </c>
      <c r="BC90" s="0" t="n">
        <v>13.1462</v>
      </c>
      <c r="BD90" s="0" t="n">
        <v>7.2357</v>
      </c>
      <c r="BE90" s="0" t="n">
        <v>6.1381</v>
      </c>
      <c r="BF90" s="0" t="n">
        <v>3.5369</v>
      </c>
      <c r="BG90" s="0" t="n">
        <v>5.044</v>
      </c>
      <c r="BH90" s="0" t="n">
        <v>2.8265</v>
      </c>
      <c r="BI90" s="0" t="n">
        <v>3.1645</v>
      </c>
      <c r="BJ90" s="0" t="n">
        <v>2.2298</v>
      </c>
      <c r="BK90" s="0" t="n">
        <v>2.0465</v>
      </c>
      <c r="BL90" s="0" t="n">
        <v>2.1714</v>
      </c>
      <c r="BM90" s="0" t="n">
        <v>1.5405</v>
      </c>
      <c r="BN90" s="0" t="n">
        <v>1.1877</v>
      </c>
      <c r="BO90" s="0" t="n">
        <v>1.2449</v>
      </c>
      <c r="BP90" s="0" t="n">
        <v>1.0438</v>
      </c>
      <c r="BQ90" s="0" t="n">
        <v>0.5739</v>
      </c>
      <c r="BR90" s="0" t="n">
        <v>0.7394</v>
      </c>
      <c r="BS90" s="0" t="n">
        <v>0.736</v>
      </c>
      <c r="BT90" s="0" t="n">
        <v>0.1734</v>
      </c>
      <c r="BU90" s="0" t="n">
        <v>0.6432</v>
      </c>
      <c r="BV90" s="0" t="n">
        <v>0.6024</v>
      </c>
      <c r="BW90" s="0" t="n">
        <v>0.3045</v>
      </c>
      <c r="BX90" s="0" t="n">
        <v>0.0539</v>
      </c>
      <c r="BY90" s="0" t="n">
        <v>0.7025</v>
      </c>
      <c r="BZ90" s="0" t="n">
        <v>0.046</v>
      </c>
      <c r="CA90" s="0" t="n">
        <v>0.4397</v>
      </c>
      <c r="CB90" s="0" t="n">
        <v>0.3609</v>
      </c>
      <c r="CC90" s="0" t="n">
        <v>0.4282</v>
      </c>
      <c r="CD90" s="0" t="n">
        <v>0.0064</v>
      </c>
      <c r="CE90" s="0" t="n">
        <v>0.046</v>
      </c>
      <c r="CF90" s="0" t="n">
        <v>0.1316</v>
      </c>
      <c r="CG90" s="0" t="n">
        <v>0</v>
      </c>
      <c r="CH90" s="0" t="n">
        <v>0.5797</v>
      </c>
      <c r="CI90" s="0" t="n">
        <v>0.0201</v>
      </c>
      <c r="CJ90" s="0" t="n">
        <v>0.0264</v>
      </c>
      <c r="CK90" s="0" t="n">
        <v>0.1872</v>
      </c>
      <c r="CL90" s="0" t="n">
        <v>0.2068</v>
      </c>
      <c r="CM90" s="0" t="n">
        <v>1.0081</v>
      </c>
      <c r="CN90" s="0" t="n">
        <v>0</v>
      </c>
      <c r="CO90" s="0" t="n">
        <v>3.8311</v>
      </c>
      <c r="CP90" s="0" t="n">
        <v>5.1011</v>
      </c>
      <c r="CQ90" s="0" t="n">
        <v>10.8613</v>
      </c>
      <c r="CR90" s="0" t="n">
        <v>11.5196</v>
      </c>
      <c r="CS90" s="0" t="n">
        <v>9.9335</v>
      </c>
      <c r="CT90" s="0" t="n">
        <v>8.0342</v>
      </c>
      <c r="CU90" s="0" t="n">
        <v>9.3784</v>
      </c>
      <c r="CV90" s="0" t="n">
        <v>6.674</v>
      </c>
      <c r="CW90" s="0" t="n">
        <v>8.2726</v>
      </c>
      <c r="CX90" s="0" t="n">
        <v>9.2773</v>
      </c>
      <c r="CY90" s="0" t="n">
        <v>8.9959</v>
      </c>
      <c r="CZ90" s="0" t="n">
        <v>8.1866</v>
      </c>
      <c r="DA90" s="0" t="n">
        <v>8.7029</v>
      </c>
      <c r="DB90" s="0" t="n">
        <v>7.7311</v>
      </c>
      <c r="DC90" s="0" t="n">
        <v>7.7857</v>
      </c>
      <c r="DD90" s="0" t="n">
        <v>6.7665</v>
      </c>
      <c r="DE90" s="0" t="n">
        <v>7.1194</v>
      </c>
      <c r="DF90" s="0" t="n">
        <v>6.7776</v>
      </c>
      <c r="DG90" s="0" t="n">
        <v>9.0842</v>
      </c>
      <c r="DH90" s="0" t="n">
        <v>8.7921</v>
      </c>
      <c r="DI90" s="0" t="n">
        <v>10.0579</v>
      </c>
      <c r="DJ90" s="0" t="n">
        <v>9.1452</v>
      </c>
      <c r="DK90" s="0" t="n">
        <v>9.6613</v>
      </c>
      <c r="DL90" s="0" t="n">
        <v>8.4778</v>
      </c>
      <c r="DM90" s="0" t="n">
        <v>10.9415</v>
      </c>
      <c r="DN90" s="0" t="n">
        <v>12.5334</v>
      </c>
      <c r="DO90" s="0" t="n">
        <v>12.0522</v>
      </c>
      <c r="DP90" s="0" t="n">
        <v>12.355</v>
      </c>
      <c r="DQ90" s="0" t="n">
        <v>12.4652</v>
      </c>
      <c r="DR90" s="0" t="n">
        <v>16.1512</v>
      </c>
      <c r="DS90" s="0" t="n">
        <v>17.2122</v>
      </c>
      <c r="DT90" s="0" t="n">
        <v>18.4749</v>
      </c>
      <c r="DU90" s="0" t="n">
        <v>22.3867</v>
      </c>
      <c r="DV90" s="0" t="n">
        <v>23.5523</v>
      </c>
      <c r="DW90" s="0" t="n">
        <v>23.6878</v>
      </c>
      <c r="DX90" s="0" t="n">
        <v>28.1381</v>
      </c>
      <c r="DY90" s="0" t="n">
        <v>19.024</v>
      </c>
      <c r="DZ90" s="0" t="n">
        <v>13.0605</v>
      </c>
      <c r="EA90" s="0" t="n">
        <v>14.3566</v>
      </c>
      <c r="EB90" s="0" t="n">
        <v>12.5797</v>
      </c>
      <c r="EC90" s="0" t="n">
        <v>11.4867</v>
      </c>
      <c r="ED90" s="0" t="n">
        <v>12.2976</v>
      </c>
      <c r="EE90" s="0" t="n">
        <v>11.2597</v>
      </c>
      <c r="EF90" s="0" t="n">
        <v>9.1797</v>
      </c>
      <c r="EG90" s="0" t="n">
        <v>5.168</v>
      </c>
      <c r="EH90" s="0" t="n">
        <v>4.4809</v>
      </c>
      <c r="EI90" s="0" t="n">
        <v>2.6395</v>
      </c>
      <c r="EJ90" s="0" t="n">
        <v>3.838</v>
      </c>
      <c r="EK90" s="0" t="n">
        <v>2.1921</v>
      </c>
      <c r="EL90" s="0" t="n">
        <v>2.5117</v>
      </c>
      <c r="EM90" s="0" t="n">
        <v>1.8006</v>
      </c>
      <c r="EN90" s="0" t="n">
        <v>1.6885</v>
      </c>
      <c r="EO90" s="0" t="n">
        <v>1.8231</v>
      </c>
      <c r="EP90" s="0" t="n">
        <v>1.319</v>
      </c>
      <c r="EQ90" s="0" t="n">
        <v>1.0318</v>
      </c>
      <c r="ER90" s="0" t="n">
        <v>1.1071</v>
      </c>
      <c r="ES90" s="0" t="n">
        <v>0.9417</v>
      </c>
      <c r="ET90" s="0" t="n">
        <v>0.5263</v>
      </c>
      <c r="EU90" s="0" t="n">
        <v>0.6894</v>
      </c>
      <c r="EV90" s="0" t="n">
        <v>0.7017</v>
      </c>
      <c r="EW90" s="0" t="n">
        <v>0.1672</v>
      </c>
      <c r="EX90" s="0" t="n">
        <v>0.6307</v>
      </c>
      <c r="EY90" s="0" t="n">
        <v>0.5982</v>
      </c>
      <c r="EZ90" s="0" t="n">
        <v>0.3085</v>
      </c>
      <c r="FA90" s="0" t="n">
        <v>0.0557</v>
      </c>
      <c r="FB90" s="0" t="n">
        <v>0.7343</v>
      </c>
      <c r="FC90" s="0" t="n">
        <v>0.0487</v>
      </c>
      <c r="FD90" s="0" t="n">
        <v>0.4745</v>
      </c>
      <c r="FE90" s="0" t="n">
        <v>0.3961</v>
      </c>
      <c r="FF90" s="0" t="n">
        <v>0.4718</v>
      </c>
      <c r="FG90" s="0" t="n">
        <v>0.0071</v>
      </c>
      <c r="FH90" s="0" t="n">
        <v>0.0526</v>
      </c>
      <c r="FI90" s="0" t="n">
        <v>0.1527</v>
      </c>
      <c r="FJ90" s="0" t="n">
        <v>0</v>
      </c>
      <c r="FK90" s="0" t="n">
        <v>0.6904</v>
      </c>
      <c r="FL90" s="0" t="n">
        <v>0.0241</v>
      </c>
      <c r="FM90" s="0" t="n">
        <v>0.0322</v>
      </c>
      <c r="FN90" s="0" t="n">
        <v>0.2295</v>
      </c>
      <c r="FO90" s="0" t="n">
        <v>0.2594</v>
      </c>
      <c r="FP90" s="0" t="n">
        <v>1.4262</v>
      </c>
    </row>
    <row r="91" customFormat="false" ht="13.8" hidden="false" customHeight="false" outlineLevel="0" collapsed="false">
      <c r="A91" s="2" t="s">
        <v>345</v>
      </c>
      <c r="B91" s="0" t="s">
        <v>176</v>
      </c>
      <c r="C91" s="0" t="n">
        <v>347</v>
      </c>
      <c r="D91" s="0" t="s">
        <v>346</v>
      </c>
      <c r="G91" s="0" t="n">
        <v>1665.3148</v>
      </c>
      <c r="H91" s="0" t="n">
        <v>116.9312</v>
      </c>
      <c r="I91" s="0" t="n">
        <v>367.3501</v>
      </c>
      <c r="J91" s="0" t="n">
        <v>0.64545</v>
      </c>
      <c r="K91" s="0" t="n">
        <v>0</v>
      </c>
      <c r="L91" s="0" t="n">
        <v>4.0645</v>
      </c>
      <c r="M91" s="0" t="n">
        <v>11.7322</v>
      </c>
      <c r="N91" s="0" t="n">
        <v>126.1842</v>
      </c>
      <c r="O91" s="0" t="n">
        <v>199.3334</v>
      </c>
      <c r="P91" s="0" t="n">
        <v>175.8534</v>
      </c>
      <c r="Q91" s="0" t="n">
        <v>256.7843</v>
      </c>
      <c r="R91" s="0" t="n">
        <v>133.2795</v>
      </c>
      <c r="S91" s="0" t="n">
        <v>101.3789</v>
      </c>
      <c r="T91" s="0" t="n">
        <v>79.7687</v>
      </c>
      <c r="U91" s="0" t="n">
        <v>85.938</v>
      </c>
      <c r="V91" s="0" t="n">
        <v>34.1121</v>
      </c>
      <c r="W91" s="0" t="n">
        <v>56.3831</v>
      </c>
      <c r="X91" s="0" t="n">
        <v>29.9307</v>
      </c>
      <c r="Y91" s="0" t="n">
        <v>20.7885</v>
      </c>
      <c r="Z91" s="0" t="n">
        <v>22.7912</v>
      </c>
      <c r="AA91" s="0" t="n">
        <v>18.904</v>
      </c>
      <c r="AB91" s="0" t="n">
        <v>13.1137</v>
      </c>
      <c r="AC91" s="0" t="n">
        <v>12.4082</v>
      </c>
      <c r="AD91" s="0" t="n">
        <v>14.4978</v>
      </c>
      <c r="AE91" s="0" t="n">
        <v>11.0284</v>
      </c>
      <c r="AF91" s="0" t="n">
        <v>13.5521</v>
      </c>
      <c r="AG91" s="0" t="n">
        <v>5.146</v>
      </c>
      <c r="AH91" s="0" t="n">
        <v>12.4919</v>
      </c>
      <c r="AI91" s="0" t="n">
        <v>15.5906</v>
      </c>
      <c r="AJ91" s="0" t="n">
        <v>8.0771</v>
      </c>
      <c r="AK91" s="0" t="n">
        <v>14.9678</v>
      </c>
      <c r="AL91" s="0" t="n">
        <v>5.752</v>
      </c>
      <c r="AM91" s="0" t="n">
        <v>11.9794</v>
      </c>
      <c r="AN91" s="0" t="n">
        <v>16.276</v>
      </c>
      <c r="AO91" s="0" t="n">
        <v>13.3838</v>
      </c>
      <c r="AP91" s="0" t="n">
        <v>12.8046</v>
      </c>
      <c r="AQ91" s="0" t="n">
        <v>12.744</v>
      </c>
      <c r="AR91" s="0" t="n">
        <v>14.5273</v>
      </c>
      <c r="AS91" s="0" t="n">
        <v>11.1502</v>
      </c>
      <c r="AT91" s="0" t="n">
        <v>13.038</v>
      </c>
      <c r="AU91" s="0" t="n">
        <v>12.6442</v>
      </c>
      <c r="AV91" s="0" t="n">
        <v>10.3642</v>
      </c>
      <c r="AW91" s="0" t="n">
        <v>10.1097</v>
      </c>
      <c r="AX91" s="0" t="n">
        <v>11.1193</v>
      </c>
      <c r="AY91" s="0" t="n">
        <v>4.905</v>
      </c>
      <c r="AZ91" s="0" t="n">
        <v>5.3974</v>
      </c>
      <c r="BA91" s="0" t="n">
        <v>2.6636</v>
      </c>
      <c r="BB91" s="0" t="n">
        <v>3.663</v>
      </c>
      <c r="BC91" s="0" t="n">
        <v>1.7236</v>
      </c>
      <c r="BD91" s="0" t="n">
        <v>1.0834</v>
      </c>
      <c r="BE91" s="0" t="n">
        <v>0.8344</v>
      </c>
      <c r="BF91" s="0" t="n">
        <v>0.8899</v>
      </c>
      <c r="BG91" s="0" t="n">
        <v>1.2149</v>
      </c>
      <c r="BH91" s="0" t="n">
        <v>0.7081</v>
      </c>
      <c r="BI91" s="0" t="n">
        <v>0.4901</v>
      </c>
      <c r="BJ91" s="0" t="n">
        <v>0.3236</v>
      </c>
      <c r="BK91" s="0" t="n">
        <v>0.3332</v>
      </c>
      <c r="BL91" s="0" t="n">
        <v>0.0603</v>
      </c>
      <c r="BM91" s="0" t="n">
        <v>0.1354</v>
      </c>
      <c r="BN91" s="0" t="n">
        <v>0.753</v>
      </c>
      <c r="BO91" s="0" t="n">
        <v>0.5739</v>
      </c>
      <c r="BP91" s="0" t="n">
        <v>0.4974</v>
      </c>
      <c r="BQ91" s="0" t="n">
        <v>0.183</v>
      </c>
      <c r="BR91" s="0" t="n">
        <v>0.5919</v>
      </c>
      <c r="BS91" s="0" t="n">
        <v>0.1982</v>
      </c>
      <c r="BT91" s="0" t="n">
        <v>0.303</v>
      </c>
      <c r="BU91" s="0" t="n">
        <v>0.2338</v>
      </c>
      <c r="BV91" s="0" t="n">
        <v>0.0445</v>
      </c>
      <c r="BW91" s="0" t="n">
        <v>0.2417</v>
      </c>
      <c r="BX91" s="0" t="n">
        <v>0.3277</v>
      </c>
      <c r="BY91" s="0" t="n">
        <v>0.2818</v>
      </c>
      <c r="BZ91" s="0" t="n">
        <v>0.0931</v>
      </c>
      <c r="CA91" s="0" t="n">
        <v>0.1766</v>
      </c>
      <c r="CB91" s="0" t="n">
        <v>0.0206</v>
      </c>
      <c r="CC91" s="0" t="n">
        <v>0.0624</v>
      </c>
      <c r="CD91" s="0" t="n">
        <v>0.0318</v>
      </c>
      <c r="CE91" s="0" t="n">
        <v>0.1211</v>
      </c>
      <c r="CF91" s="0" t="n">
        <v>0.4213</v>
      </c>
      <c r="CG91" s="0" t="n">
        <v>0.0259</v>
      </c>
      <c r="CH91" s="0" t="n">
        <v>0.0264</v>
      </c>
      <c r="CI91" s="0" t="n">
        <v>0.1428</v>
      </c>
      <c r="CJ91" s="0" t="n">
        <v>0.0264</v>
      </c>
      <c r="CK91" s="0" t="n">
        <v>0.0328</v>
      </c>
      <c r="CL91" s="0" t="n">
        <v>0.0153</v>
      </c>
      <c r="CM91" s="0" t="n">
        <v>0.9715</v>
      </c>
      <c r="CN91" s="0" t="n">
        <v>0</v>
      </c>
      <c r="CO91" s="0" t="n">
        <v>0.1109</v>
      </c>
      <c r="CP91" s="0" t="n">
        <v>0.4757</v>
      </c>
      <c r="CQ91" s="0" t="n">
        <v>7.2192</v>
      </c>
      <c r="CR91" s="0" t="n">
        <v>14.1402</v>
      </c>
      <c r="CS91" s="0" t="n">
        <v>14.6705</v>
      </c>
      <c r="CT91" s="0" t="n">
        <v>25.8653</v>
      </c>
      <c r="CU91" s="0" t="n">
        <v>15.8402</v>
      </c>
      <c r="CV91" s="0" t="n">
        <v>13.5106</v>
      </c>
      <c r="CW91" s="0" t="n">
        <v>11.6929</v>
      </c>
      <c r="CX91" s="0" t="n">
        <v>14.247</v>
      </c>
      <c r="CY91" s="0" t="n">
        <v>6.1918</v>
      </c>
      <c r="CZ91" s="0" t="n">
        <v>11.0412</v>
      </c>
      <c r="DA91" s="0" t="n">
        <v>6.4645</v>
      </c>
      <c r="DB91" s="0" t="n">
        <v>4.7137</v>
      </c>
      <c r="DC91" s="0" t="n">
        <v>5.513</v>
      </c>
      <c r="DD91" s="0" t="n">
        <v>4.8832</v>
      </c>
      <c r="DE91" s="0" t="n">
        <v>3.6237</v>
      </c>
      <c r="DF91" s="0" t="n">
        <v>3.6133</v>
      </c>
      <c r="DG91" s="0" t="n">
        <v>4.4422</v>
      </c>
      <c r="DH91" s="0" t="n">
        <v>3.5354</v>
      </c>
      <c r="DI91" s="0" t="n">
        <v>4.5968</v>
      </c>
      <c r="DJ91" s="0" t="n">
        <v>1.8372</v>
      </c>
      <c r="DK91" s="0" t="n">
        <v>4.5802</v>
      </c>
      <c r="DL91" s="0" t="n">
        <v>6.0458</v>
      </c>
      <c r="DM91" s="0" t="n">
        <v>3.2244</v>
      </c>
      <c r="DN91" s="0" t="n">
        <v>6.2342</v>
      </c>
      <c r="DO91" s="0" t="n">
        <v>2.4918</v>
      </c>
      <c r="DP91" s="0" t="n">
        <v>5.3299</v>
      </c>
      <c r="DQ91" s="0" t="n">
        <v>7.5436</v>
      </c>
      <c r="DR91" s="0" t="n">
        <v>6.4413</v>
      </c>
      <c r="DS91" s="0" t="n">
        <v>6.2985</v>
      </c>
      <c r="DT91" s="0" t="n">
        <v>6.4986</v>
      </c>
      <c r="DU91" s="0" t="n">
        <v>7.6539</v>
      </c>
      <c r="DV91" s="0" t="n">
        <v>6.022</v>
      </c>
      <c r="DW91" s="0" t="n">
        <v>7.2522</v>
      </c>
      <c r="DX91" s="0" t="n">
        <v>7.2668</v>
      </c>
      <c r="DY91" s="0" t="n">
        <v>6.1288</v>
      </c>
      <c r="DZ91" s="0" t="n">
        <v>6.0942</v>
      </c>
      <c r="EA91" s="0" t="n">
        <v>6.8991</v>
      </c>
      <c r="EB91" s="0" t="n">
        <v>3.1316</v>
      </c>
      <c r="EC91" s="0" t="n">
        <v>3.5228</v>
      </c>
      <c r="ED91" s="0" t="n">
        <v>1.7694</v>
      </c>
      <c r="EE91" s="0" t="n">
        <v>2.4938</v>
      </c>
      <c r="EF91" s="0" t="n">
        <v>1.2089</v>
      </c>
      <c r="EG91" s="0" t="n">
        <v>0.7762</v>
      </c>
      <c r="EH91" s="0" t="n">
        <v>0.6115</v>
      </c>
      <c r="EI91" s="0" t="n">
        <v>0.6655</v>
      </c>
      <c r="EJ91" s="0" t="n">
        <v>0.9294</v>
      </c>
      <c r="EK91" s="0" t="n">
        <v>0.5498</v>
      </c>
      <c r="EL91" s="0" t="n">
        <v>0.3883</v>
      </c>
      <c r="EM91" s="0" t="n">
        <v>0.2618</v>
      </c>
      <c r="EN91" s="0" t="n">
        <v>0.2759</v>
      </c>
      <c r="EO91" s="0" t="n">
        <v>0.0504</v>
      </c>
      <c r="EP91" s="0" t="n">
        <v>0.1156</v>
      </c>
      <c r="EQ91" s="0" t="n">
        <v>0.657</v>
      </c>
      <c r="ER91" s="0" t="n">
        <v>0.5094</v>
      </c>
      <c r="ES91" s="0" t="n">
        <v>0.4497</v>
      </c>
      <c r="ET91" s="0" t="n">
        <v>0.1684</v>
      </c>
      <c r="EU91" s="0" t="n">
        <v>0.5538</v>
      </c>
      <c r="EV91" s="0" t="n">
        <v>0.188</v>
      </c>
      <c r="EW91" s="0" t="n">
        <v>0.2923</v>
      </c>
      <c r="EX91" s="0" t="n">
        <v>0.2289</v>
      </c>
      <c r="EY91" s="0" t="n">
        <v>0.0444</v>
      </c>
      <c r="EZ91" s="0" t="n">
        <v>0.2448</v>
      </c>
      <c r="FA91" s="0" t="n">
        <v>0.3365</v>
      </c>
      <c r="FB91" s="0" t="n">
        <v>0.2934</v>
      </c>
      <c r="FC91" s="0" t="n">
        <v>0.0989</v>
      </c>
      <c r="FD91" s="0" t="n">
        <v>0.189</v>
      </c>
      <c r="FE91" s="0" t="n">
        <v>0.0224</v>
      </c>
      <c r="FF91" s="0" t="n">
        <v>0.0692</v>
      </c>
      <c r="FG91" s="0" t="n">
        <v>0.0358</v>
      </c>
      <c r="FH91" s="0" t="n">
        <v>0.1386</v>
      </c>
      <c r="FI91" s="0" t="n">
        <v>0.4852</v>
      </c>
      <c r="FJ91" s="0" t="n">
        <v>0.0303</v>
      </c>
      <c r="FK91" s="0" t="n">
        <v>0.0314</v>
      </c>
      <c r="FL91" s="0" t="n">
        <v>0.1722</v>
      </c>
      <c r="FM91" s="0" t="n">
        <v>0.0322</v>
      </c>
      <c r="FN91" s="0" t="n">
        <v>0.0406</v>
      </c>
      <c r="FO91" s="0" t="n">
        <v>0.0192</v>
      </c>
      <c r="FP91" s="0" t="n">
        <v>1.2877</v>
      </c>
    </row>
    <row r="92" customFormat="false" ht="13.8" hidden="false" customHeight="false" outlineLevel="0" collapsed="false">
      <c r="A92" s="2" t="s">
        <v>347</v>
      </c>
      <c r="B92" s="0" t="s">
        <v>173</v>
      </c>
      <c r="C92" s="0" t="n">
        <v>183</v>
      </c>
      <c r="D92" s="0" t="s">
        <v>348</v>
      </c>
      <c r="G92" s="0" t="n">
        <v>1917.5429</v>
      </c>
      <c r="H92" s="0" t="n">
        <v>67.5179</v>
      </c>
      <c r="I92" s="0" t="n">
        <v>212.1136</v>
      </c>
      <c r="J92" s="0" t="n">
        <v>0.33265</v>
      </c>
      <c r="K92" s="0" t="n">
        <v>0</v>
      </c>
      <c r="L92" s="0" t="n">
        <v>426.0239</v>
      </c>
      <c r="M92" s="0" t="n">
        <v>518.7283</v>
      </c>
      <c r="N92" s="0" t="n">
        <v>295.8525</v>
      </c>
      <c r="O92" s="0" t="n">
        <v>0.4194</v>
      </c>
      <c r="P92" s="0" t="n">
        <v>199.1798</v>
      </c>
      <c r="Q92" s="0" t="n">
        <v>58.3295</v>
      </c>
      <c r="R92" s="0" t="n">
        <v>67.9621</v>
      </c>
      <c r="S92" s="0" t="n">
        <v>30.5262</v>
      </c>
      <c r="T92" s="0" t="n">
        <v>5.4119</v>
      </c>
      <c r="U92" s="0" t="n">
        <v>28.9534</v>
      </c>
      <c r="V92" s="0" t="n">
        <v>23.1668</v>
      </c>
      <c r="W92" s="0" t="n">
        <v>15.1749</v>
      </c>
      <c r="X92" s="0" t="n">
        <v>23.442</v>
      </c>
      <c r="Y92" s="0" t="n">
        <v>11.4118</v>
      </c>
      <c r="Z92" s="0" t="n">
        <v>13.8937</v>
      </c>
      <c r="AA92" s="0" t="n">
        <v>7.8075</v>
      </c>
      <c r="AB92" s="0" t="n">
        <v>15.9062</v>
      </c>
      <c r="AC92" s="0" t="n">
        <v>6.7788</v>
      </c>
      <c r="AD92" s="0" t="n">
        <v>15.9573</v>
      </c>
      <c r="AE92" s="0" t="n">
        <v>11.8813</v>
      </c>
      <c r="AF92" s="0" t="n">
        <v>19.4222</v>
      </c>
      <c r="AG92" s="0" t="n">
        <v>8.4887</v>
      </c>
      <c r="AH92" s="0" t="n">
        <v>8.074</v>
      </c>
      <c r="AI92" s="0" t="n">
        <v>12.9308</v>
      </c>
      <c r="AJ92" s="0" t="n">
        <v>3.6452</v>
      </c>
      <c r="AK92" s="0" t="n">
        <v>10.3317</v>
      </c>
      <c r="AL92" s="0" t="n">
        <v>9.2512</v>
      </c>
      <c r="AM92" s="0" t="n">
        <v>8.5856</v>
      </c>
      <c r="AN92" s="0" t="n">
        <v>4.1553</v>
      </c>
      <c r="AO92" s="0" t="n">
        <v>13.446</v>
      </c>
      <c r="AP92" s="0" t="n">
        <v>4.7527</v>
      </c>
      <c r="AQ92" s="0" t="n">
        <v>5.9174</v>
      </c>
      <c r="AR92" s="0" t="n">
        <v>4.3213</v>
      </c>
      <c r="AS92" s="0" t="n">
        <v>4.156</v>
      </c>
      <c r="AT92" s="0" t="n">
        <v>5.7478</v>
      </c>
      <c r="AU92" s="0" t="n">
        <v>5.3346</v>
      </c>
      <c r="AV92" s="0" t="n">
        <v>0.3247</v>
      </c>
      <c r="AW92" s="0" t="n">
        <v>2.815</v>
      </c>
      <c r="AX92" s="0" t="n">
        <v>2.5005</v>
      </c>
      <c r="AY92" s="0" t="n">
        <v>1.4651</v>
      </c>
      <c r="AZ92" s="0" t="n">
        <v>1.1077</v>
      </c>
      <c r="BA92" s="0" t="n">
        <v>0.7641</v>
      </c>
      <c r="BB92" s="0" t="n">
        <v>0.5143</v>
      </c>
      <c r="BC92" s="0" t="n">
        <v>0.4887</v>
      </c>
      <c r="BD92" s="0" t="n">
        <v>0.1074</v>
      </c>
      <c r="BE92" s="0" t="n">
        <v>0.1036</v>
      </c>
      <c r="BF92" s="0" t="n">
        <v>0.1866</v>
      </c>
      <c r="BG92" s="0" t="n">
        <v>0</v>
      </c>
      <c r="BH92" s="0" t="n">
        <v>0.0365</v>
      </c>
      <c r="BI92" s="0" t="n">
        <v>0.0455</v>
      </c>
      <c r="BJ92" s="0" t="n">
        <v>0</v>
      </c>
      <c r="BK92" s="0" t="n">
        <v>0.1142</v>
      </c>
      <c r="BL92" s="0" t="n">
        <v>0.0159</v>
      </c>
      <c r="BM92" s="0" t="n">
        <v>0.0518</v>
      </c>
      <c r="BN92" s="0" t="n">
        <v>0.2094</v>
      </c>
      <c r="BO92" s="0" t="n">
        <v>0</v>
      </c>
      <c r="BP92" s="0" t="n">
        <v>0.0392</v>
      </c>
      <c r="BQ92" s="0" t="n">
        <v>0.082</v>
      </c>
      <c r="BR92" s="0" t="n">
        <v>0.0069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9.1564</v>
      </c>
      <c r="CP92" s="0" t="n">
        <v>22.0211</v>
      </c>
      <c r="CQ92" s="0" t="n">
        <v>18.0463</v>
      </c>
      <c r="CR92" s="0" t="n">
        <v>0.029</v>
      </c>
      <c r="CS92" s="0" t="n">
        <v>16.5486</v>
      </c>
      <c r="CT92" s="0" t="n">
        <v>5.9154</v>
      </c>
      <c r="CU92" s="0" t="n">
        <v>7.9396</v>
      </c>
      <c r="CV92" s="0" t="n">
        <v>4.2415</v>
      </c>
      <c r="CW92" s="0" t="n">
        <v>0.7825</v>
      </c>
      <c r="CX92" s="0" t="n">
        <v>4.6988</v>
      </c>
      <c r="CY92" s="0" t="n">
        <v>4.2476</v>
      </c>
      <c r="CZ92" s="0" t="n">
        <v>3.0186</v>
      </c>
      <c r="DA92" s="0" t="n">
        <v>4.9377</v>
      </c>
      <c r="DB92" s="0" t="n">
        <v>2.595</v>
      </c>
      <c r="DC92" s="0" t="n">
        <v>3.4036</v>
      </c>
      <c r="DD92" s="0" t="n">
        <v>2.0085</v>
      </c>
      <c r="DE92" s="0" t="n">
        <v>4.363</v>
      </c>
      <c r="DF92" s="0" t="n">
        <v>1.9602</v>
      </c>
      <c r="DG92" s="0" t="n">
        <v>4.8665</v>
      </c>
      <c r="DH92" s="0" t="n">
        <v>3.81</v>
      </c>
      <c r="DI92" s="0" t="n">
        <v>6.5417</v>
      </c>
      <c r="DJ92" s="0" t="n">
        <v>3.0179</v>
      </c>
      <c r="DK92" s="0" t="n">
        <v>2.9899</v>
      </c>
      <c r="DL92" s="0" t="n">
        <v>5.0218</v>
      </c>
      <c r="DM92" s="0" t="n">
        <v>1.4513</v>
      </c>
      <c r="DN92" s="0" t="n">
        <v>4.289</v>
      </c>
      <c r="DO92" s="0" t="n">
        <v>4.0335</v>
      </c>
      <c r="DP92" s="0" t="n">
        <v>3.8994</v>
      </c>
      <c r="DQ92" s="0" t="n">
        <v>1.9085</v>
      </c>
      <c r="DR92" s="0" t="n">
        <v>6.4285</v>
      </c>
      <c r="DS92" s="0" t="n">
        <v>2.3597</v>
      </c>
      <c r="DT92" s="0" t="n">
        <v>3.02</v>
      </c>
      <c r="DU92" s="0" t="n">
        <v>2.2804</v>
      </c>
      <c r="DV92" s="0" t="n">
        <v>2.233</v>
      </c>
      <c r="DW92" s="0" t="n">
        <v>3.1949</v>
      </c>
      <c r="DX92" s="0" t="n">
        <v>3.0807</v>
      </c>
      <c r="DY92" s="0" t="n">
        <v>0.1924</v>
      </c>
      <c r="DZ92" s="0" t="n">
        <v>1.6854</v>
      </c>
      <c r="EA92" s="0" t="n">
        <v>1.5508</v>
      </c>
      <c r="EB92" s="0" t="n">
        <v>0.9365</v>
      </c>
      <c r="EC92" s="0" t="n">
        <v>0.7225</v>
      </c>
      <c r="ED92" s="0" t="n">
        <v>0.5095</v>
      </c>
      <c r="EE92" s="0" t="n">
        <v>0.3512</v>
      </c>
      <c r="EF92" s="0" t="n">
        <v>0.3437</v>
      </c>
      <c r="EG92" s="0" t="n">
        <v>0.0771</v>
      </c>
      <c r="EH92" s="0" t="n">
        <v>0.0749</v>
      </c>
      <c r="EI92" s="0" t="n">
        <v>0.1388</v>
      </c>
      <c r="EJ92" s="0" t="n">
        <v>0</v>
      </c>
      <c r="EK92" s="0" t="n">
        <v>0.0284</v>
      </c>
      <c r="EL92" s="0" t="n">
        <v>0.0363</v>
      </c>
      <c r="EM92" s="0" t="n">
        <v>0</v>
      </c>
      <c r="EN92" s="0" t="n">
        <v>0.0937</v>
      </c>
      <c r="EO92" s="0" t="n">
        <v>0.0133</v>
      </c>
      <c r="EP92" s="0" t="n">
        <v>0.0441</v>
      </c>
      <c r="EQ92" s="0" t="n">
        <v>0.1825</v>
      </c>
      <c r="ER92" s="0" t="n">
        <v>0</v>
      </c>
      <c r="ES92" s="0" t="n">
        <v>0.0356</v>
      </c>
      <c r="ET92" s="0" t="n">
        <v>0.0755</v>
      </c>
      <c r="EU92" s="0" t="n">
        <v>0.0064</v>
      </c>
      <c r="EV92" s="0" t="n">
        <v>0</v>
      </c>
      <c r="EW92" s="0" t="n">
        <v>0</v>
      </c>
      <c r="EX92" s="0" t="n">
        <v>0</v>
      </c>
      <c r="EY92" s="0" t="n">
        <v>0</v>
      </c>
      <c r="EZ92" s="0" t="n">
        <v>0</v>
      </c>
      <c r="FA92" s="0" t="n">
        <v>0</v>
      </c>
      <c r="FB92" s="0" t="n">
        <v>0</v>
      </c>
      <c r="FC92" s="0" t="n">
        <v>0</v>
      </c>
      <c r="FD92" s="0" t="n">
        <v>0</v>
      </c>
      <c r="FE92" s="0" t="n">
        <v>0</v>
      </c>
      <c r="FF92" s="0" t="n">
        <v>0</v>
      </c>
      <c r="FG92" s="0" t="n">
        <v>0</v>
      </c>
      <c r="FH92" s="0" t="n">
        <v>0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0</v>
      </c>
      <c r="FO92" s="0" t="n">
        <v>0</v>
      </c>
      <c r="FP92" s="0" t="n">
        <v>0</v>
      </c>
    </row>
    <row r="93" customFormat="false" ht="13.8" hidden="false" customHeight="false" outlineLevel="0" collapsed="false">
      <c r="A93" s="2" t="s">
        <v>349</v>
      </c>
      <c r="B93" s="0" t="s">
        <v>176</v>
      </c>
      <c r="C93" s="0" t="n">
        <v>241</v>
      </c>
      <c r="D93" s="0" t="s">
        <v>350</v>
      </c>
      <c r="G93" s="0" t="n">
        <v>2793.4765</v>
      </c>
      <c r="H93" s="0" t="n">
        <v>294.2864</v>
      </c>
      <c r="I93" s="0" t="n">
        <v>924.528</v>
      </c>
      <c r="J93" s="0" t="n">
        <v>1.0647</v>
      </c>
      <c r="K93" s="0" t="n">
        <v>0</v>
      </c>
      <c r="L93" s="0" t="n">
        <v>124.3884</v>
      </c>
      <c r="M93" s="0" t="n">
        <v>110.4592</v>
      </c>
      <c r="N93" s="0" t="n">
        <v>184.1981</v>
      </c>
      <c r="O93" s="0" t="n">
        <v>152.5555</v>
      </c>
      <c r="P93" s="0" t="n">
        <v>104.7695</v>
      </c>
      <c r="Q93" s="0" t="n">
        <v>81.3638</v>
      </c>
      <c r="R93" s="0" t="n">
        <v>88.0927</v>
      </c>
      <c r="S93" s="0" t="n">
        <v>61.2554</v>
      </c>
      <c r="T93" s="0" t="n">
        <v>53.9801</v>
      </c>
      <c r="U93" s="0" t="n">
        <v>52.8242</v>
      </c>
      <c r="V93" s="0" t="n">
        <v>56.4918</v>
      </c>
      <c r="W93" s="0" t="n">
        <v>59.8859</v>
      </c>
      <c r="X93" s="0" t="n">
        <v>61.7349</v>
      </c>
      <c r="Y93" s="0" t="n">
        <v>52.5693</v>
      </c>
      <c r="Z93" s="0" t="n">
        <v>52.1418</v>
      </c>
      <c r="AA93" s="0" t="n">
        <v>47.0214</v>
      </c>
      <c r="AB93" s="0" t="n">
        <v>43.4417</v>
      </c>
      <c r="AC93" s="0" t="n">
        <v>39.2807</v>
      </c>
      <c r="AD93" s="0" t="n">
        <v>46.0447</v>
      </c>
      <c r="AE93" s="0" t="n">
        <v>45.4846</v>
      </c>
      <c r="AF93" s="0" t="n">
        <v>48.8598</v>
      </c>
      <c r="AG93" s="0" t="n">
        <v>44.3822</v>
      </c>
      <c r="AH93" s="0" t="n">
        <v>46.7044</v>
      </c>
      <c r="AI93" s="0" t="n">
        <v>55.3158</v>
      </c>
      <c r="AJ93" s="0" t="n">
        <v>61.7398</v>
      </c>
      <c r="AK93" s="0" t="n">
        <v>73.7443</v>
      </c>
      <c r="AL93" s="0" t="n">
        <v>68.4476</v>
      </c>
      <c r="AM93" s="0" t="n">
        <v>67.0512</v>
      </c>
      <c r="AN93" s="0" t="n">
        <v>66.4535</v>
      </c>
      <c r="AO93" s="0" t="n">
        <v>69.0815</v>
      </c>
      <c r="AP93" s="0" t="n">
        <v>73.022</v>
      </c>
      <c r="AQ93" s="0" t="n">
        <v>62.8769</v>
      </c>
      <c r="AR93" s="0" t="n">
        <v>68.6958</v>
      </c>
      <c r="AS93" s="0" t="n">
        <v>61.5693</v>
      </c>
      <c r="AT93" s="0" t="n">
        <v>53.4057</v>
      </c>
      <c r="AU93" s="0" t="n">
        <v>42.5223</v>
      </c>
      <c r="AV93" s="0" t="n">
        <v>35.1994</v>
      </c>
      <c r="AW93" s="0" t="n">
        <v>26.6523</v>
      </c>
      <c r="AX93" s="0" t="n">
        <v>30.4792</v>
      </c>
      <c r="AY93" s="0" t="n">
        <v>26.8537</v>
      </c>
      <c r="AZ93" s="0" t="n">
        <v>21.8059</v>
      </c>
      <c r="BA93" s="0" t="n">
        <v>19.32</v>
      </c>
      <c r="BB93" s="0" t="n">
        <v>14.8396</v>
      </c>
      <c r="BC93" s="0" t="n">
        <v>13.9384</v>
      </c>
      <c r="BD93" s="0" t="n">
        <v>12.3384</v>
      </c>
      <c r="BE93" s="0" t="n">
        <v>10.9663</v>
      </c>
      <c r="BF93" s="0" t="n">
        <v>7.1743</v>
      </c>
      <c r="BG93" s="0" t="n">
        <v>10.8861</v>
      </c>
      <c r="BH93" s="0" t="n">
        <v>9.3246</v>
      </c>
      <c r="BI93" s="0" t="n">
        <v>7.3433</v>
      </c>
      <c r="BJ93" s="0" t="n">
        <v>5.891</v>
      </c>
      <c r="BK93" s="0" t="n">
        <v>5.139</v>
      </c>
      <c r="BL93" s="0" t="n">
        <v>4.9007</v>
      </c>
      <c r="BM93" s="0" t="n">
        <v>2.9991</v>
      </c>
      <c r="BN93" s="0" t="n">
        <v>4.3662</v>
      </c>
      <c r="BO93" s="0" t="n">
        <v>4.6393</v>
      </c>
      <c r="BP93" s="0" t="n">
        <v>2.8321</v>
      </c>
      <c r="BQ93" s="0" t="n">
        <v>3.3256</v>
      </c>
      <c r="BR93" s="0" t="n">
        <v>2.9652</v>
      </c>
      <c r="BS93" s="0" t="n">
        <v>2.1144</v>
      </c>
      <c r="BT93" s="0" t="n">
        <v>2.67</v>
      </c>
      <c r="BU93" s="0" t="n">
        <v>1.7019</v>
      </c>
      <c r="BV93" s="0" t="n">
        <v>2.5478</v>
      </c>
      <c r="BW93" s="0" t="n">
        <v>2.462</v>
      </c>
      <c r="BX93" s="0" t="n">
        <v>1.1389</v>
      </c>
      <c r="BY93" s="0" t="n">
        <v>2.0272</v>
      </c>
      <c r="BZ93" s="0" t="n">
        <v>1.0652</v>
      </c>
      <c r="CA93" s="0" t="n">
        <v>1.7131</v>
      </c>
      <c r="CB93" s="0" t="n">
        <v>0.9168</v>
      </c>
      <c r="CC93" s="0" t="n">
        <v>0.4568</v>
      </c>
      <c r="CD93" s="0" t="n">
        <v>0.898</v>
      </c>
      <c r="CE93" s="0" t="n">
        <v>0.7102</v>
      </c>
      <c r="CF93" s="0" t="n">
        <v>0.4909</v>
      </c>
      <c r="CG93" s="0" t="n">
        <v>0.5748</v>
      </c>
      <c r="CH93" s="0" t="n">
        <v>0.1602</v>
      </c>
      <c r="CI93" s="0" t="n">
        <v>1.1041</v>
      </c>
      <c r="CJ93" s="0" t="n">
        <v>0.439</v>
      </c>
      <c r="CK93" s="0" t="n">
        <v>0.4054</v>
      </c>
      <c r="CL93" s="0" t="n">
        <v>0.1311</v>
      </c>
      <c r="CM93" s="0" t="n">
        <v>2.5065</v>
      </c>
      <c r="CN93" s="0" t="n">
        <v>0</v>
      </c>
      <c r="CO93" s="0" t="n">
        <v>3.2581</v>
      </c>
      <c r="CP93" s="0" t="n">
        <v>4.2719</v>
      </c>
      <c r="CQ93" s="0" t="n">
        <v>10.1613</v>
      </c>
      <c r="CR93" s="0" t="n">
        <v>10.6115</v>
      </c>
      <c r="CS93" s="0" t="n">
        <v>9.0353</v>
      </c>
      <c r="CT93" s="0" t="n">
        <v>8.2865</v>
      </c>
      <c r="CU93" s="0" t="n">
        <v>10.3844</v>
      </c>
      <c r="CV93" s="0" t="n">
        <v>8.1595</v>
      </c>
      <c r="CW93" s="0" t="n">
        <v>8.0316</v>
      </c>
      <c r="CX93" s="0" t="n">
        <v>8.7096</v>
      </c>
      <c r="CY93" s="0" t="n">
        <v>10.2301</v>
      </c>
      <c r="CZ93" s="0" t="n">
        <v>11.7359</v>
      </c>
      <c r="DA93" s="0" t="n">
        <v>13.0654</v>
      </c>
      <c r="DB93" s="0" t="n">
        <v>11.9783</v>
      </c>
      <c r="DC93" s="0" t="n">
        <v>12.7092</v>
      </c>
      <c r="DD93" s="0" t="n">
        <v>12.159</v>
      </c>
      <c r="DE93" s="0" t="n">
        <v>11.9447</v>
      </c>
      <c r="DF93" s="0" t="n">
        <v>11.4109</v>
      </c>
      <c r="DG93" s="0" t="n">
        <v>14.0956</v>
      </c>
      <c r="DH93" s="0" t="n">
        <v>14.6531</v>
      </c>
      <c r="DI93" s="0" t="n">
        <v>16.5194</v>
      </c>
      <c r="DJ93" s="0" t="n">
        <v>15.6688</v>
      </c>
      <c r="DK93" s="0" t="n">
        <v>17.2595</v>
      </c>
      <c r="DL93" s="0" t="n">
        <v>21.3133</v>
      </c>
      <c r="DM93" s="0" t="n">
        <v>24.7104</v>
      </c>
      <c r="DN93" s="0" t="n">
        <v>30.685</v>
      </c>
      <c r="DO93" s="0" t="n">
        <v>29.6015</v>
      </c>
      <c r="DP93" s="0" t="n">
        <v>29.9954</v>
      </c>
      <c r="DQ93" s="0" t="n">
        <v>30.7698</v>
      </c>
      <c r="DR93" s="0" t="n">
        <v>33.1066</v>
      </c>
      <c r="DS93" s="0" t="n">
        <v>36.1398</v>
      </c>
      <c r="DT93" s="0" t="n">
        <v>32.0846</v>
      </c>
      <c r="DU93" s="0" t="n">
        <v>36.1667</v>
      </c>
      <c r="DV93" s="0" t="n">
        <v>33.3492</v>
      </c>
      <c r="DW93" s="0" t="n">
        <v>29.7472</v>
      </c>
      <c r="DX93" s="0" t="n">
        <v>24.3802</v>
      </c>
      <c r="DY93" s="0" t="n">
        <v>20.7221</v>
      </c>
      <c r="DZ93" s="0" t="n">
        <v>16.1041</v>
      </c>
      <c r="EA93" s="0" t="n">
        <v>18.8982</v>
      </c>
      <c r="EB93" s="0" t="n">
        <v>17.0993</v>
      </c>
      <c r="EC93" s="0" t="n">
        <v>14.2077</v>
      </c>
      <c r="ED93" s="0" t="n">
        <v>12.8974</v>
      </c>
      <c r="EE93" s="0" t="n">
        <v>10.1376</v>
      </c>
      <c r="EF93" s="0" t="n">
        <v>9.7417</v>
      </c>
      <c r="EG93" s="0" t="n">
        <v>8.8054</v>
      </c>
      <c r="EH93" s="0" t="n">
        <v>8.0141</v>
      </c>
      <c r="EI93" s="0" t="n">
        <v>5.3479</v>
      </c>
      <c r="EJ93" s="0" t="n">
        <v>8.2858</v>
      </c>
      <c r="EK93" s="0" t="n">
        <v>7.2522</v>
      </c>
      <c r="EL93" s="0" t="n">
        <v>5.8191</v>
      </c>
      <c r="EM93" s="0" t="n">
        <v>4.77</v>
      </c>
      <c r="EN93" s="0" t="n">
        <v>4.2326</v>
      </c>
      <c r="EO93" s="0" t="n">
        <v>4.1252</v>
      </c>
      <c r="EP93" s="0" t="n">
        <v>2.5689</v>
      </c>
      <c r="EQ93" s="0" t="n">
        <v>3.8077</v>
      </c>
      <c r="ER93" s="0" t="n">
        <v>4.1132</v>
      </c>
      <c r="ES93" s="0" t="n">
        <v>2.5547</v>
      </c>
      <c r="ET93" s="0" t="n">
        <v>3.0589</v>
      </c>
      <c r="EU93" s="0" t="n">
        <v>2.7719</v>
      </c>
      <c r="EV93" s="0" t="n">
        <v>2.0089</v>
      </c>
      <c r="EW93" s="0" t="n">
        <v>2.5802</v>
      </c>
      <c r="EX93" s="0" t="n">
        <v>1.6746</v>
      </c>
      <c r="EY93" s="0" t="n">
        <v>2.5369</v>
      </c>
      <c r="EZ93" s="0" t="n">
        <v>2.4926</v>
      </c>
      <c r="FA93" s="0" t="n">
        <v>1.1753</v>
      </c>
      <c r="FB93" s="0" t="n">
        <v>2.1173</v>
      </c>
      <c r="FC93" s="0" t="n">
        <v>1.1277</v>
      </c>
      <c r="FD93" s="0" t="n">
        <v>1.8423</v>
      </c>
      <c r="FE93" s="0" t="n">
        <v>1.0003</v>
      </c>
      <c r="FF93" s="0" t="n">
        <v>0.5045</v>
      </c>
      <c r="FG93" s="0" t="n">
        <v>1.0089</v>
      </c>
      <c r="FH93" s="0" t="n">
        <v>0.809</v>
      </c>
      <c r="FI93" s="0" t="n">
        <v>0.567</v>
      </c>
      <c r="FJ93" s="0" t="n">
        <v>0.6741</v>
      </c>
      <c r="FK93" s="0" t="n">
        <v>0.1899</v>
      </c>
      <c r="FL93" s="0" t="n">
        <v>1.3247</v>
      </c>
      <c r="FM93" s="0" t="n">
        <v>0.5334</v>
      </c>
      <c r="FN93" s="0" t="n">
        <v>0.502</v>
      </c>
      <c r="FO93" s="0" t="n">
        <v>0.1635</v>
      </c>
      <c r="FP93" s="0" t="n">
        <v>3.3874</v>
      </c>
    </row>
    <row r="94" customFormat="false" ht="13.8" hidden="false" customHeight="false" outlineLevel="0" collapsed="false">
      <c r="A94" s="2" t="s">
        <v>351</v>
      </c>
      <c r="B94" s="0" t="s">
        <v>199</v>
      </c>
      <c r="C94" s="0" t="s">
        <v>213</v>
      </c>
      <c r="D94" s="0" t="s">
        <v>214</v>
      </c>
      <c r="G94" s="0" t="n">
        <v>2418.1593</v>
      </c>
      <c r="H94" s="0" t="n">
        <v>191.3983</v>
      </c>
      <c r="I94" s="0" t="n">
        <v>601.2956</v>
      </c>
      <c r="J94" s="0" t="n">
        <v>0.7903</v>
      </c>
      <c r="K94" s="0" t="n">
        <v>0.0598</v>
      </c>
      <c r="L94" s="0" t="n">
        <v>16.0826</v>
      </c>
      <c r="M94" s="0" t="n">
        <v>24.9297</v>
      </c>
      <c r="N94" s="0" t="n">
        <v>134.5986</v>
      </c>
      <c r="O94" s="0" t="n">
        <v>227.2542</v>
      </c>
      <c r="P94" s="0" t="n">
        <v>218.8526</v>
      </c>
      <c r="Q94" s="0" t="n">
        <v>287.5696</v>
      </c>
      <c r="R94" s="0" t="n">
        <v>171.7115</v>
      </c>
      <c r="S94" s="0" t="n">
        <v>119.2502</v>
      </c>
      <c r="T94" s="0" t="n">
        <v>104.3758</v>
      </c>
      <c r="U94" s="0" t="n">
        <v>125.7601</v>
      </c>
      <c r="V94" s="0" t="n">
        <v>56.2147</v>
      </c>
      <c r="W94" s="0" t="n">
        <v>78.8521</v>
      </c>
      <c r="X94" s="0" t="n">
        <v>55.5017</v>
      </c>
      <c r="Y94" s="0" t="n">
        <v>38.7864</v>
      </c>
      <c r="Z94" s="0" t="n">
        <v>39.6182</v>
      </c>
      <c r="AA94" s="0" t="n">
        <v>49.8759</v>
      </c>
      <c r="AB94" s="0" t="n">
        <v>44.1419</v>
      </c>
      <c r="AC94" s="0" t="n">
        <v>32.2502</v>
      </c>
      <c r="AD94" s="0" t="n">
        <v>45.3227</v>
      </c>
      <c r="AE94" s="0" t="n">
        <v>36.0934</v>
      </c>
      <c r="AF94" s="0" t="n">
        <v>60.7346</v>
      </c>
      <c r="AG94" s="0" t="n">
        <v>29.1147</v>
      </c>
      <c r="AH94" s="0" t="n">
        <v>42.9168</v>
      </c>
      <c r="AI94" s="0" t="n">
        <v>45.3863</v>
      </c>
      <c r="AJ94" s="0" t="n">
        <v>25.1588</v>
      </c>
      <c r="AK94" s="0" t="n">
        <v>44.1514</v>
      </c>
      <c r="AL94" s="0" t="n">
        <v>26.4585</v>
      </c>
      <c r="AM94" s="0" t="n">
        <v>29.1024</v>
      </c>
      <c r="AN94" s="0" t="n">
        <v>29.7458</v>
      </c>
      <c r="AO94" s="0" t="n">
        <v>29.7564</v>
      </c>
      <c r="AP94" s="0" t="n">
        <v>23.598</v>
      </c>
      <c r="AQ94" s="0" t="n">
        <v>21.0308</v>
      </c>
      <c r="AR94" s="0" t="n">
        <v>14.5774</v>
      </c>
      <c r="AS94" s="0" t="n">
        <v>10.2256</v>
      </c>
      <c r="AT94" s="0" t="n">
        <v>13.6023</v>
      </c>
      <c r="AU94" s="0" t="n">
        <v>8.4793</v>
      </c>
      <c r="AV94" s="0" t="n">
        <v>5.1973</v>
      </c>
      <c r="AW94" s="0" t="n">
        <v>5.7997</v>
      </c>
      <c r="AX94" s="0" t="n">
        <v>7.1534</v>
      </c>
      <c r="AY94" s="0" t="n">
        <v>3.3074</v>
      </c>
      <c r="AZ94" s="0" t="n">
        <v>2.9768</v>
      </c>
      <c r="BA94" s="0" t="n">
        <v>2.2279</v>
      </c>
      <c r="BB94" s="0" t="n">
        <v>4.2871</v>
      </c>
      <c r="BC94" s="0" t="n">
        <v>2.3839</v>
      </c>
      <c r="BD94" s="0" t="n">
        <v>1.0667</v>
      </c>
      <c r="BE94" s="0" t="n">
        <v>2.0497</v>
      </c>
      <c r="BF94" s="0" t="n">
        <v>1.9603</v>
      </c>
      <c r="BG94" s="0" t="n">
        <v>1.7653</v>
      </c>
      <c r="BH94" s="0" t="n">
        <v>2.0271</v>
      </c>
      <c r="BI94" s="0" t="n">
        <v>1.3494</v>
      </c>
      <c r="BJ94" s="0" t="n">
        <v>1.1374</v>
      </c>
      <c r="BK94" s="0" t="n">
        <v>1.0441</v>
      </c>
      <c r="BL94" s="0" t="n">
        <v>0.747</v>
      </c>
      <c r="BM94" s="0" t="n">
        <v>1.7968</v>
      </c>
      <c r="BN94" s="0" t="n">
        <v>1.128</v>
      </c>
      <c r="BO94" s="0" t="n">
        <v>0.7932</v>
      </c>
      <c r="BP94" s="0" t="n">
        <v>0.6149</v>
      </c>
      <c r="BQ94" s="0" t="n">
        <v>0.8628</v>
      </c>
      <c r="BR94" s="0" t="n">
        <v>0.8968</v>
      </c>
      <c r="BS94" s="0" t="n">
        <v>0.8343</v>
      </c>
      <c r="BT94" s="0" t="n">
        <v>0.5397</v>
      </c>
      <c r="BU94" s="0" t="n">
        <v>0.5981</v>
      </c>
      <c r="BV94" s="0" t="n">
        <v>0.101</v>
      </c>
      <c r="BW94" s="0" t="n">
        <v>0.1881</v>
      </c>
      <c r="BX94" s="0" t="n">
        <v>0.167</v>
      </c>
      <c r="BY94" s="0" t="n">
        <v>0.1735</v>
      </c>
      <c r="BZ94" s="0" t="n">
        <v>0.5493</v>
      </c>
      <c r="CA94" s="0" t="n">
        <v>0.0629</v>
      </c>
      <c r="CB94" s="0" t="n">
        <v>0.0137</v>
      </c>
      <c r="CC94" s="0" t="n">
        <v>0.0862</v>
      </c>
      <c r="CD94" s="0" t="n">
        <v>0</v>
      </c>
      <c r="CE94" s="0" t="n">
        <v>0.0275</v>
      </c>
      <c r="CF94" s="0" t="n">
        <v>0.0206</v>
      </c>
      <c r="CG94" s="0" t="n">
        <v>0.0518</v>
      </c>
      <c r="CH94" s="0" t="n">
        <v>0</v>
      </c>
      <c r="CI94" s="0" t="n">
        <v>0</v>
      </c>
      <c r="CJ94" s="0" t="n">
        <v>0</v>
      </c>
      <c r="CK94" s="0" t="n">
        <v>0.0655</v>
      </c>
      <c r="CL94" s="0" t="n">
        <v>0.0137</v>
      </c>
      <c r="CM94" s="0" t="n">
        <v>0.0359</v>
      </c>
      <c r="CN94" s="0" t="n">
        <v>0.0007</v>
      </c>
      <c r="CO94" s="0" t="n">
        <v>0.4258</v>
      </c>
      <c r="CP94" s="0" t="n">
        <v>0.9929</v>
      </c>
      <c r="CQ94" s="0" t="n">
        <v>7.6734</v>
      </c>
      <c r="CR94" s="0" t="n">
        <v>16.4458</v>
      </c>
      <c r="CS94" s="0" t="n">
        <v>18.8225</v>
      </c>
      <c r="CT94" s="0" t="n">
        <v>28.9896</v>
      </c>
      <c r="CU94" s="0" t="n">
        <v>20.3756</v>
      </c>
      <c r="CV94" s="0" t="n">
        <v>15.8684</v>
      </c>
      <c r="CW94" s="0" t="n">
        <v>15.297</v>
      </c>
      <c r="CX94" s="0" t="n">
        <v>20.8741</v>
      </c>
      <c r="CY94" s="0" t="n">
        <v>10.2313</v>
      </c>
      <c r="CZ94" s="0" t="n">
        <v>15.4633</v>
      </c>
      <c r="DA94" s="0" t="n">
        <v>11.9793</v>
      </c>
      <c r="DB94" s="0" t="n">
        <v>8.7823</v>
      </c>
      <c r="DC94" s="0" t="n">
        <v>9.5962</v>
      </c>
      <c r="DD94" s="0" t="n">
        <v>12.8715</v>
      </c>
      <c r="DE94" s="0" t="n">
        <v>12.1988</v>
      </c>
      <c r="DF94" s="0" t="n">
        <v>9.3843</v>
      </c>
      <c r="DG94" s="0" t="n">
        <v>13.9101</v>
      </c>
      <c r="DH94" s="0" t="n">
        <v>11.5659</v>
      </c>
      <c r="DI94" s="0" t="n">
        <v>20.6198</v>
      </c>
      <c r="DJ94" s="0" t="n">
        <v>10.3949</v>
      </c>
      <c r="DK94" s="0" t="n">
        <v>15.7448</v>
      </c>
      <c r="DL94" s="0" t="n">
        <v>17.5492</v>
      </c>
      <c r="DM94" s="0" t="n">
        <v>10.0522</v>
      </c>
      <c r="DN94" s="0" t="n">
        <v>18.3838</v>
      </c>
      <c r="DO94" s="0" t="n">
        <v>11.4803</v>
      </c>
      <c r="DP94" s="0" t="n">
        <v>12.9728</v>
      </c>
      <c r="DQ94" s="0" t="n">
        <v>13.7698</v>
      </c>
      <c r="DR94" s="0" t="n">
        <v>14.331</v>
      </c>
      <c r="DS94" s="0" t="n">
        <v>11.6315</v>
      </c>
      <c r="DT94" s="0" t="n">
        <v>10.7099</v>
      </c>
      <c r="DU94" s="0" t="n">
        <v>7.6688</v>
      </c>
      <c r="DV94" s="0" t="n">
        <v>5.5209</v>
      </c>
      <c r="DW94" s="0" t="n">
        <v>7.5639</v>
      </c>
      <c r="DX94" s="0" t="n">
        <v>4.8681</v>
      </c>
      <c r="DY94" s="0" t="n">
        <v>3.0621</v>
      </c>
      <c r="DZ94" s="0" t="n">
        <v>3.4917</v>
      </c>
      <c r="EA94" s="0" t="n">
        <v>4.4466</v>
      </c>
      <c r="EB94" s="0" t="n">
        <v>2.1067</v>
      </c>
      <c r="EC94" s="0" t="n">
        <v>1.937</v>
      </c>
      <c r="ED94" s="0" t="n">
        <v>1.4818</v>
      </c>
      <c r="EE94" s="0" t="n">
        <v>2.9206</v>
      </c>
      <c r="EF94" s="0" t="n">
        <v>1.6746</v>
      </c>
      <c r="EG94" s="0" t="n">
        <v>0.7634</v>
      </c>
      <c r="EH94" s="0" t="n">
        <v>1.4961</v>
      </c>
      <c r="EI94" s="0" t="n">
        <v>1.4605</v>
      </c>
      <c r="EJ94" s="0" t="n">
        <v>1.3415</v>
      </c>
      <c r="EK94" s="0" t="n">
        <v>1.575</v>
      </c>
      <c r="EL94" s="0" t="n">
        <v>1.0703</v>
      </c>
      <c r="EM94" s="0" t="n">
        <v>0.9181</v>
      </c>
      <c r="EN94" s="0" t="n">
        <v>0.8647</v>
      </c>
      <c r="EO94" s="0" t="n">
        <v>0.6283</v>
      </c>
      <c r="EP94" s="0" t="n">
        <v>1.5394</v>
      </c>
      <c r="EQ94" s="0" t="n">
        <v>0.9865</v>
      </c>
      <c r="ER94" s="0" t="n">
        <v>0.7036</v>
      </c>
      <c r="ES94" s="0" t="n">
        <v>0.5549</v>
      </c>
      <c r="ET94" s="0" t="n">
        <v>0.7916</v>
      </c>
      <c r="EU94" s="0" t="n">
        <v>0.8377</v>
      </c>
      <c r="EV94" s="0" t="n">
        <v>0.7928</v>
      </c>
      <c r="EW94" s="0" t="n">
        <v>0.5223</v>
      </c>
      <c r="EX94" s="0" t="n">
        <v>0.5864</v>
      </c>
      <c r="EY94" s="0" t="n">
        <v>0.1005</v>
      </c>
      <c r="EZ94" s="0" t="n">
        <v>0.191</v>
      </c>
      <c r="FA94" s="0" t="n">
        <v>0.1719</v>
      </c>
      <c r="FB94" s="0" t="n">
        <v>0.1804</v>
      </c>
      <c r="FC94" s="0" t="n">
        <v>0.5835</v>
      </c>
      <c r="FD94" s="0" t="n">
        <v>0.0676</v>
      </c>
      <c r="FE94" s="0" t="n">
        <v>0.0151</v>
      </c>
      <c r="FF94" s="0" t="n">
        <v>0.0952</v>
      </c>
      <c r="FG94" s="0" t="n">
        <v>0</v>
      </c>
      <c r="FH94" s="0" t="n">
        <v>0.0313</v>
      </c>
      <c r="FI94" s="0" t="n">
        <v>0.0238</v>
      </c>
      <c r="FJ94" s="0" t="n">
        <v>0.0605</v>
      </c>
      <c r="FK94" s="0" t="n">
        <v>0</v>
      </c>
      <c r="FL94" s="0" t="n">
        <v>0</v>
      </c>
      <c r="FM94" s="0" t="n">
        <v>0</v>
      </c>
      <c r="FN94" s="0" t="n">
        <v>0.0808</v>
      </c>
      <c r="FO94" s="0" t="n">
        <v>0.0171</v>
      </c>
      <c r="FP94" s="0" t="n">
        <v>0.0463</v>
      </c>
    </row>
    <row r="95" customFormat="false" ht="13.8" hidden="false" customHeight="false" outlineLevel="0" collapsed="false">
      <c r="A95" s="2" t="s">
        <v>352</v>
      </c>
      <c r="B95" s="0" t="s">
        <v>176</v>
      </c>
      <c r="C95" s="0" t="n">
        <v>310</v>
      </c>
      <c r="D95" s="0" t="s">
        <v>353</v>
      </c>
      <c r="G95" s="0" t="n">
        <v>2780.2418</v>
      </c>
      <c r="H95" s="0" t="n">
        <v>234.6378</v>
      </c>
      <c r="I95" s="0" t="n">
        <v>737.1364</v>
      </c>
      <c r="J95" s="0" t="n">
        <v>0.876933333333333</v>
      </c>
      <c r="K95" s="0" t="n">
        <v>0.0578</v>
      </c>
      <c r="L95" s="0" t="n">
        <v>172.6025</v>
      </c>
      <c r="M95" s="0" t="n">
        <v>153.2488</v>
      </c>
      <c r="N95" s="0" t="n">
        <v>257.9668</v>
      </c>
      <c r="O95" s="0" t="n">
        <v>230.2522</v>
      </c>
      <c r="P95" s="0" t="n">
        <v>174.4944</v>
      </c>
      <c r="Q95" s="0" t="n">
        <v>135.7029</v>
      </c>
      <c r="R95" s="0" t="n">
        <v>135.8834</v>
      </c>
      <c r="S95" s="0" t="n">
        <v>89.0165</v>
      </c>
      <c r="T95" s="0" t="n">
        <v>82.4824</v>
      </c>
      <c r="U95" s="0" t="n">
        <v>59.6137</v>
      </c>
      <c r="V95" s="0" t="n">
        <v>47.1881</v>
      </c>
      <c r="W95" s="0" t="n">
        <v>43.0724</v>
      </c>
      <c r="X95" s="0" t="n">
        <v>32.7179</v>
      </c>
      <c r="Y95" s="0" t="n">
        <v>27.6607</v>
      </c>
      <c r="Z95" s="0" t="n">
        <v>26.5411</v>
      </c>
      <c r="AA95" s="0" t="n">
        <v>22.3164</v>
      </c>
      <c r="AB95" s="0" t="n">
        <v>22.0535</v>
      </c>
      <c r="AC95" s="0" t="n">
        <v>22.5695</v>
      </c>
      <c r="AD95" s="0" t="n">
        <v>26.7998</v>
      </c>
      <c r="AE95" s="0" t="n">
        <v>26.653</v>
      </c>
      <c r="AF95" s="0" t="n">
        <v>31.029</v>
      </c>
      <c r="AG95" s="0" t="n">
        <v>32.3614</v>
      </c>
      <c r="AH95" s="0" t="n">
        <v>38.1768</v>
      </c>
      <c r="AI95" s="0" t="n">
        <v>34.9942</v>
      </c>
      <c r="AJ95" s="0" t="n">
        <v>46.1386</v>
      </c>
      <c r="AK95" s="0" t="n">
        <v>48.6578</v>
      </c>
      <c r="AL95" s="0" t="n">
        <v>44.7999</v>
      </c>
      <c r="AM95" s="0" t="n">
        <v>47.3294</v>
      </c>
      <c r="AN95" s="0" t="n">
        <v>46.2993</v>
      </c>
      <c r="AO95" s="0" t="n">
        <v>60.6833</v>
      </c>
      <c r="AP95" s="0" t="n">
        <v>55.3758</v>
      </c>
      <c r="AQ95" s="0" t="n">
        <v>52.0869</v>
      </c>
      <c r="AR95" s="0" t="n">
        <v>51.4097</v>
      </c>
      <c r="AS95" s="0" t="n">
        <v>45.2568</v>
      </c>
      <c r="AT95" s="0" t="n">
        <v>44.8782</v>
      </c>
      <c r="AU95" s="0" t="n">
        <v>48.4766</v>
      </c>
      <c r="AV95" s="0" t="n">
        <v>37.4214</v>
      </c>
      <c r="AW95" s="0" t="n">
        <v>35.3646</v>
      </c>
      <c r="AX95" s="0" t="n">
        <v>35.6499</v>
      </c>
      <c r="AY95" s="0" t="n">
        <v>31.1935</v>
      </c>
      <c r="AZ95" s="0" t="n">
        <v>23.7307</v>
      </c>
      <c r="BA95" s="0" t="n">
        <v>23.6693</v>
      </c>
      <c r="BB95" s="0" t="n">
        <v>18.9961</v>
      </c>
      <c r="BC95" s="0" t="n">
        <v>14.2116</v>
      </c>
      <c r="BD95" s="0" t="n">
        <v>6.4639</v>
      </c>
      <c r="BE95" s="0" t="n">
        <v>5.241</v>
      </c>
      <c r="BF95" s="0" t="n">
        <v>5.0415</v>
      </c>
      <c r="BG95" s="0" t="n">
        <v>4.6419</v>
      </c>
      <c r="BH95" s="0" t="n">
        <v>2.4108</v>
      </c>
      <c r="BI95" s="0" t="n">
        <v>2.5414</v>
      </c>
      <c r="BJ95" s="0" t="n">
        <v>2.2205</v>
      </c>
      <c r="BK95" s="0" t="n">
        <v>1.6734</v>
      </c>
      <c r="BL95" s="0" t="n">
        <v>1.4715</v>
      </c>
      <c r="BM95" s="0" t="n">
        <v>1.459</v>
      </c>
      <c r="BN95" s="0" t="n">
        <v>0.6711</v>
      </c>
      <c r="BO95" s="0" t="n">
        <v>0.9509</v>
      </c>
      <c r="BP95" s="0" t="n">
        <v>0.4516</v>
      </c>
      <c r="BQ95" s="0" t="n">
        <v>0.7258</v>
      </c>
      <c r="BR95" s="0" t="n">
        <v>0.7324</v>
      </c>
      <c r="BS95" s="0" t="n">
        <v>0.4394</v>
      </c>
      <c r="BT95" s="0" t="n">
        <v>0.7434</v>
      </c>
      <c r="BU95" s="0" t="n">
        <v>0.3241</v>
      </c>
      <c r="BV95" s="0" t="n">
        <v>0.4737</v>
      </c>
      <c r="BW95" s="0" t="n">
        <v>0.2075</v>
      </c>
      <c r="BX95" s="0" t="n">
        <v>0.5365</v>
      </c>
      <c r="BY95" s="0" t="n">
        <v>0.1786</v>
      </c>
      <c r="BZ95" s="0" t="n">
        <v>0.1932</v>
      </c>
      <c r="CA95" s="0" t="n">
        <v>0.0892</v>
      </c>
      <c r="CB95" s="0" t="n">
        <v>0.6306</v>
      </c>
      <c r="CC95" s="0" t="n">
        <v>0.2366</v>
      </c>
      <c r="CD95" s="0" t="n">
        <v>0.0581</v>
      </c>
      <c r="CE95" s="0" t="n">
        <v>0.038</v>
      </c>
      <c r="CF95" s="0" t="n">
        <v>0.0533</v>
      </c>
      <c r="CG95" s="0" t="n">
        <v>0.1827</v>
      </c>
      <c r="CH95" s="0" t="n">
        <v>0.0338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0.0009</v>
      </c>
      <c r="CO95" s="0" t="n">
        <v>4.5118</v>
      </c>
      <c r="CP95" s="0" t="n">
        <v>5.8904</v>
      </c>
      <c r="CQ95" s="0" t="n">
        <v>14.2579</v>
      </c>
      <c r="CR95" s="0" t="n">
        <v>16.0492</v>
      </c>
      <c r="CS95" s="0" t="n">
        <v>15.0333</v>
      </c>
      <c r="CT95" s="0" t="n">
        <v>13.8455</v>
      </c>
      <c r="CU95" s="0" t="n">
        <v>16.0179</v>
      </c>
      <c r="CV95" s="0" t="n">
        <v>11.8649</v>
      </c>
      <c r="CW95" s="0" t="n">
        <v>12.289</v>
      </c>
      <c r="CX95" s="0" t="n">
        <v>9.798</v>
      </c>
      <c r="CY95" s="0" t="n">
        <v>8.5442</v>
      </c>
      <c r="CZ95" s="0" t="n">
        <v>8.4458</v>
      </c>
      <c r="DA95" s="0" t="n">
        <v>6.9311</v>
      </c>
      <c r="DB95" s="0" t="n">
        <v>6.2931</v>
      </c>
      <c r="DC95" s="0" t="n">
        <v>6.4561</v>
      </c>
      <c r="DD95" s="0" t="n">
        <v>5.7759</v>
      </c>
      <c r="DE95" s="0" t="n">
        <v>6.0701</v>
      </c>
      <c r="DF95" s="0" t="n">
        <v>6.5633</v>
      </c>
      <c r="DG95" s="0" t="n">
        <v>8.2068</v>
      </c>
      <c r="DH95" s="0" t="n">
        <v>8.5933</v>
      </c>
      <c r="DI95" s="0" t="n">
        <v>10.4837</v>
      </c>
      <c r="DJ95" s="0" t="n">
        <v>11.4207</v>
      </c>
      <c r="DK95" s="0" t="n">
        <v>14.104</v>
      </c>
      <c r="DL95" s="0" t="n">
        <v>13.4683</v>
      </c>
      <c r="DM95" s="0" t="n">
        <v>18.4578</v>
      </c>
      <c r="DN95" s="0" t="n">
        <v>20.2639</v>
      </c>
      <c r="DO95" s="0" t="n">
        <v>19.3755</v>
      </c>
      <c r="DP95" s="0" t="n">
        <v>21.1801</v>
      </c>
      <c r="DQ95" s="0" t="n">
        <v>21.4438</v>
      </c>
      <c r="DR95" s="0" t="n">
        <v>29.0514</v>
      </c>
      <c r="DS95" s="0" t="n">
        <v>27.395</v>
      </c>
      <c r="DT95" s="0" t="n">
        <v>26.5943</v>
      </c>
      <c r="DU95" s="0" t="n">
        <v>27.05</v>
      </c>
      <c r="DV95" s="0" t="n">
        <v>24.51</v>
      </c>
      <c r="DW95" s="0" t="n">
        <v>25.0179</v>
      </c>
      <c r="DX95" s="0" t="n">
        <v>27.8322</v>
      </c>
      <c r="DY95" s="0" t="n">
        <v>22.0337</v>
      </c>
      <c r="DZ95" s="0" t="n">
        <v>21.3418</v>
      </c>
      <c r="EA95" s="0" t="n">
        <v>22.1182</v>
      </c>
      <c r="EB95" s="0" t="n">
        <v>19.8616</v>
      </c>
      <c r="EC95" s="0" t="n">
        <v>15.4794</v>
      </c>
      <c r="ED95" s="0" t="n">
        <v>15.8023</v>
      </c>
      <c r="EE95" s="0" t="n">
        <v>12.9634</v>
      </c>
      <c r="EF95" s="0" t="n">
        <v>9.9259</v>
      </c>
      <c r="EG95" s="0" t="n">
        <v>4.6203</v>
      </c>
      <c r="EH95" s="0" t="n">
        <v>3.8271</v>
      </c>
      <c r="EI95" s="0" t="n">
        <v>3.7678</v>
      </c>
      <c r="EJ95" s="0" t="n">
        <v>3.533</v>
      </c>
      <c r="EK95" s="0" t="n">
        <v>1.8757</v>
      </c>
      <c r="EL95" s="0" t="n">
        <v>2.0219</v>
      </c>
      <c r="EM95" s="0" t="n">
        <v>1.7931</v>
      </c>
      <c r="EN95" s="0" t="n">
        <v>1.3799</v>
      </c>
      <c r="EO95" s="0" t="n">
        <v>1.2352</v>
      </c>
      <c r="EP95" s="0" t="n">
        <v>1.2475</v>
      </c>
      <c r="EQ95" s="0" t="n">
        <v>0.5848</v>
      </c>
      <c r="ER95" s="0" t="n">
        <v>0.8453</v>
      </c>
      <c r="ES95" s="0" t="n">
        <v>0.4072</v>
      </c>
      <c r="ET95" s="0" t="n">
        <v>0.6662</v>
      </c>
      <c r="EU95" s="0" t="n">
        <v>0.683</v>
      </c>
      <c r="EV95" s="0" t="n">
        <v>0.4175</v>
      </c>
      <c r="EW95" s="0" t="n">
        <v>0.7169</v>
      </c>
      <c r="EX95" s="0" t="n">
        <v>0.3188</v>
      </c>
      <c r="EY95" s="0" t="n">
        <v>0.4728</v>
      </c>
      <c r="EZ95" s="0" t="n">
        <v>0.2108</v>
      </c>
      <c r="FA95" s="0" t="n">
        <v>0.5554</v>
      </c>
      <c r="FB95" s="0" t="n">
        <v>0.1868</v>
      </c>
      <c r="FC95" s="0" t="n">
        <v>0.2055</v>
      </c>
      <c r="FD95" s="0" t="n">
        <v>0.096</v>
      </c>
      <c r="FE95" s="0" t="n">
        <v>0.6865</v>
      </c>
      <c r="FF95" s="0" t="n">
        <v>0.2633</v>
      </c>
      <c r="FG95" s="0" t="n">
        <v>0.065</v>
      </c>
      <c r="FH95" s="0" t="n">
        <v>0.0432</v>
      </c>
      <c r="FI95" s="0" t="n">
        <v>0.0615</v>
      </c>
      <c r="FJ95" s="0" t="n">
        <v>0.2146</v>
      </c>
      <c r="FK95" s="0" t="n">
        <v>0.0399</v>
      </c>
      <c r="FL95" s="0" t="n">
        <v>0</v>
      </c>
      <c r="FM95" s="0" t="n">
        <v>0</v>
      </c>
      <c r="FN95" s="0" t="n">
        <v>0</v>
      </c>
      <c r="FO95" s="0" t="n">
        <v>0</v>
      </c>
      <c r="FP95" s="0" t="n">
        <v>0</v>
      </c>
    </row>
    <row r="96" customFormat="false" ht="13.8" hidden="false" customHeight="false" outlineLevel="0" collapsed="false">
      <c r="A96" s="2" t="s">
        <v>354</v>
      </c>
      <c r="B96" s="0" t="s">
        <v>176</v>
      </c>
      <c r="C96" s="0" t="n">
        <v>395</v>
      </c>
      <c r="D96" s="0" t="s">
        <v>355</v>
      </c>
      <c r="G96" s="0" t="n">
        <v>2319.1525</v>
      </c>
      <c r="H96" s="0" t="n">
        <v>131.6199</v>
      </c>
      <c r="I96" s="0" t="n">
        <v>413.4962</v>
      </c>
      <c r="J96" s="0" t="n">
        <v>0.5348</v>
      </c>
      <c r="K96" s="0" t="n">
        <v>0</v>
      </c>
      <c r="L96" s="0" t="n">
        <v>181.7308</v>
      </c>
      <c r="M96" s="0" t="n">
        <v>172.0248</v>
      </c>
      <c r="N96" s="0" t="n">
        <v>306.6952</v>
      </c>
      <c r="O96" s="0" t="n">
        <v>274.2446</v>
      </c>
      <c r="P96" s="0" t="n">
        <v>202.8854</v>
      </c>
      <c r="Q96" s="0" t="n">
        <v>120.8927</v>
      </c>
      <c r="R96" s="0" t="n">
        <v>115.0849</v>
      </c>
      <c r="S96" s="0" t="n">
        <v>75.6851</v>
      </c>
      <c r="T96" s="0" t="n">
        <v>73.5268</v>
      </c>
      <c r="U96" s="0" t="n">
        <v>63.5973</v>
      </c>
      <c r="V96" s="0" t="n">
        <v>48.7963</v>
      </c>
      <c r="W96" s="0" t="n">
        <v>42.459</v>
      </c>
      <c r="X96" s="0" t="n">
        <v>35.2666</v>
      </c>
      <c r="Y96" s="0" t="n">
        <v>30.4622</v>
      </c>
      <c r="Z96" s="0" t="n">
        <v>26.4901</v>
      </c>
      <c r="AA96" s="0" t="n">
        <v>28.9227</v>
      </c>
      <c r="AB96" s="0" t="n">
        <v>25.7943</v>
      </c>
      <c r="AC96" s="0" t="n">
        <v>24.79</v>
      </c>
      <c r="AD96" s="0" t="n">
        <v>21.4885</v>
      </c>
      <c r="AE96" s="0" t="n">
        <v>29.7461</v>
      </c>
      <c r="AF96" s="0" t="n">
        <v>30.4082</v>
      </c>
      <c r="AG96" s="0" t="n">
        <v>26.0989</v>
      </c>
      <c r="AH96" s="0" t="n">
        <v>24.4737</v>
      </c>
      <c r="AI96" s="0" t="n">
        <v>26.9032</v>
      </c>
      <c r="AJ96" s="0" t="n">
        <v>31.2434</v>
      </c>
      <c r="AK96" s="0" t="n">
        <v>25.0637</v>
      </c>
      <c r="AL96" s="0" t="n">
        <v>23.2398</v>
      </c>
      <c r="AM96" s="0" t="n">
        <v>20.1911</v>
      </c>
      <c r="AN96" s="0" t="n">
        <v>19.9609</v>
      </c>
      <c r="AO96" s="0" t="n">
        <v>21.0588</v>
      </c>
      <c r="AP96" s="0" t="n">
        <v>21.3555</v>
      </c>
      <c r="AQ96" s="0" t="n">
        <v>22.2882</v>
      </c>
      <c r="AR96" s="0" t="n">
        <v>14.945</v>
      </c>
      <c r="AS96" s="0" t="n">
        <v>14.4517</v>
      </c>
      <c r="AT96" s="0" t="n">
        <v>14.7908</v>
      </c>
      <c r="AU96" s="0" t="n">
        <v>9.7766</v>
      </c>
      <c r="AV96" s="0" t="n">
        <v>10.6478</v>
      </c>
      <c r="AW96" s="0" t="n">
        <v>9.0934</v>
      </c>
      <c r="AX96" s="0" t="n">
        <v>11.2267</v>
      </c>
      <c r="AY96" s="0" t="n">
        <v>8.0029</v>
      </c>
      <c r="AZ96" s="0" t="n">
        <v>6.8233</v>
      </c>
      <c r="BA96" s="0" t="n">
        <v>9.2729</v>
      </c>
      <c r="BB96" s="0" t="n">
        <v>4.7415</v>
      </c>
      <c r="BC96" s="0" t="n">
        <v>2.3942</v>
      </c>
      <c r="BD96" s="0" t="n">
        <v>1.8356</v>
      </c>
      <c r="BE96" s="0" t="n">
        <v>2.986</v>
      </c>
      <c r="BF96" s="0" t="n">
        <v>0.7056</v>
      </c>
      <c r="BG96" s="0" t="n">
        <v>1.1734</v>
      </c>
      <c r="BH96" s="0" t="n">
        <v>1.03</v>
      </c>
      <c r="BI96" s="0" t="n">
        <v>0.2909</v>
      </c>
      <c r="BJ96" s="0" t="n">
        <v>0.3597</v>
      </c>
      <c r="BK96" s="0" t="n">
        <v>0.1359</v>
      </c>
      <c r="BL96" s="0" t="n">
        <v>0.0793</v>
      </c>
      <c r="BM96" s="0" t="n">
        <v>0.0719</v>
      </c>
      <c r="BN96" s="0" t="n">
        <v>0.0227</v>
      </c>
      <c r="BO96" s="0" t="n">
        <v>0.0455</v>
      </c>
      <c r="BP96" s="0" t="n">
        <v>0.137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4.7845</v>
      </c>
      <c r="CP96" s="0" t="n">
        <v>6.6949</v>
      </c>
      <c r="CQ96" s="0" t="n">
        <v>16.9664</v>
      </c>
      <c r="CR96" s="0" t="n">
        <v>19.0896</v>
      </c>
      <c r="CS96" s="0" t="n">
        <v>17.4073</v>
      </c>
      <c r="CT96" s="0" t="n">
        <v>12.2743</v>
      </c>
      <c r="CU96" s="0" t="n">
        <v>13.5622</v>
      </c>
      <c r="CV96" s="0" t="n">
        <v>10.1193</v>
      </c>
      <c r="CW96" s="0" t="n">
        <v>10.9456</v>
      </c>
      <c r="CX96" s="0" t="n">
        <v>10.4471</v>
      </c>
      <c r="CY96" s="0" t="n">
        <v>8.8327</v>
      </c>
      <c r="CZ96" s="0" t="n">
        <v>8.3154</v>
      </c>
      <c r="DA96" s="0" t="n">
        <v>7.4737</v>
      </c>
      <c r="DB96" s="0" t="n">
        <v>6.938</v>
      </c>
      <c r="DC96" s="0" t="n">
        <v>6.452</v>
      </c>
      <c r="DD96" s="0" t="n">
        <v>7.4748</v>
      </c>
      <c r="DE96" s="0" t="n">
        <v>7.0914</v>
      </c>
      <c r="DF96" s="0" t="n">
        <v>7.1974</v>
      </c>
      <c r="DG96" s="0" t="n">
        <v>6.5794</v>
      </c>
      <c r="DH96" s="0" t="n">
        <v>9.5789</v>
      </c>
      <c r="DI96" s="0" t="n">
        <v>10.2736</v>
      </c>
      <c r="DJ96" s="0" t="n">
        <v>9.2075</v>
      </c>
      <c r="DK96" s="0" t="n">
        <v>9.0378</v>
      </c>
      <c r="DL96" s="0" t="n">
        <v>10.367</v>
      </c>
      <c r="DM96" s="0" t="n">
        <v>12.496</v>
      </c>
      <c r="DN96" s="0" t="n">
        <v>10.4308</v>
      </c>
      <c r="DO96" s="0" t="n">
        <v>10.0615</v>
      </c>
      <c r="DP96" s="0" t="n">
        <v>9.0331</v>
      </c>
      <c r="DQ96" s="0" t="n">
        <v>9.2376</v>
      </c>
      <c r="DR96" s="0" t="n">
        <v>10.0903</v>
      </c>
      <c r="DS96" s="0" t="n">
        <v>10.5791</v>
      </c>
      <c r="DT96" s="0" t="n">
        <v>11.3936</v>
      </c>
      <c r="DU96" s="0" t="n">
        <v>7.8545</v>
      </c>
      <c r="DV96" s="0" t="n">
        <v>7.8191</v>
      </c>
      <c r="DW96" s="0" t="n">
        <v>8.2425</v>
      </c>
      <c r="DX96" s="0" t="n">
        <v>5.6101</v>
      </c>
      <c r="DY96" s="0" t="n">
        <v>6.274</v>
      </c>
      <c r="DZ96" s="0" t="n">
        <v>5.4846</v>
      </c>
      <c r="EA96" s="0" t="n">
        <v>6.9636</v>
      </c>
      <c r="EB96" s="0" t="n">
        <v>5.0905</v>
      </c>
      <c r="EC96" s="0" t="n">
        <v>4.4489</v>
      </c>
      <c r="ED96" s="0" t="n">
        <v>6.1821</v>
      </c>
      <c r="EE96" s="0" t="n">
        <v>3.2363</v>
      </c>
      <c r="EF96" s="0" t="n">
        <v>1.6744</v>
      </c>
      <c r="EG96" s="0" t="n">
        <v>1.3093</v>
      </c>
      <c r="EH96" s="0" t="n">
        <v>2.1804</v>
      </c>
      <c r="EI96" s="0" t="n">
        <v>0.5263</v>
      </c>
      <c r="EJ96" s="0" t="n">
        <v>0.8945</v>
      </c>
      <c r="EK96" s="0" t="n">
        <v>0.8</v>
      </c>
      <c r="EL96" s="0" t="n">
        <v>0.2301</v>
      </c>
      <c r="EM96" s="0" t="n">
        <v>0.292</v>
      </c>
      <c r="EN96" s="0" t="n">
        <v>0.1118</v>
      </c>
      <c r="EO96" s="0" t="n">
        <v>0.0669</v>
      </c>
      <c r="EP96" s="0" t="n">
        <v>0.0614</v>
      </c>
      <c r="EQ96" s="0" t="n">
        <v>0.0197</v>
      </c>
      <c r="ER96" s="0" t="n">
        <v>0.0404</v>
      </c>
      <c r="ES96" s="0" t="n">
        <v>0.1233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0</v>
      </c>
      <c r="EY96" s="0" t="n">
        <v>0</v>
      </c>
      <c r="EZ96" s="0" t="n">
        <v>0</v>
      </c>
      <c r="FA96" s="0" t="n">
        <v>0</v>
      </c>
      <c r="FB96" s="0" t="n">
        <v>0</v>
      </c>
      <c r="FC96" s="0" t="n">
        <v>0</v>
      </c>
      <c r="FD96" s="0" t="n">
        <v>0</v>
      </c>
      <c r="FE96" s="0" t="n">
        <v>0</v>
      </c>
      <c r="FF96" s="0" t="n">
        <v>0</v>
      </c>
      <c r="FG96" s="0" t="n">
        <v>0</v>
      </c>
      <c r="FH96" s="0" t="n">
        <v>0</v>
      </c>
      <c r="FI96" s="0" t="n">
        <v>0</v>
      </c>
      <c r="FJ96" s="0" t="n">
        <v>0</v>
      </c>
      <c r="FK96" s="0" t="n">
        <v>0</v>
      </c>
      <c r="FL96" s="0" t="n">
        <v>0</v>
      </c>
      <c r="FM96" s="0" t="n">
        <v>0</v>
      </c>
      <c r="FN96" s="0" t="n">
        <v>0</v>
      </c>
      <c r="FO96" s="0" t="n">
        <v>0</v>
      </c>
      <c r="FP96" s="0" t="n">
        <v>0</v>
      </c>
    </row>
    <row r="97" customFormat="false" ht="13.8" hidden="false" customHeight="false" outlineLevel="0" collapsed="false">
      <c r="A97" s="2" t="s">
        <v>356</v>
      </c>
      <c r="B97" s="0" t="s">
        <v>173</v>
      </c>
      <c r="C97" s="0" t="n">
        <v>97</v>
      </c>
      <c r="D97" s="0" t="s">
        <v>357</v>
      </c>
      <c r="G97" s="0" t="n">
        <v>1746.7427</v>
      </c>
      <c r="H97" s="0" t="n">
        <v>89.7674</v>
      </c>
      <c r="I97" s="0" t="n">
        <v>282.0127</v>
      </c>
      <c r="J97" s="0" t="n">
        <v>0.50575</v>
      </c>
      <c r="K97" s="0" t="n">
        <v>0.009</v>
      </c>
      <c r="L97" s="0" t="n">
        <v>215.1976</v>
      </c>
      <c r="M97" s="0" t="n">
        <v>197.5276</v>
      </c>
      <c r="N97" s="0" t="n">
        <v>253.8347</v>
      </c>
      <c r="O97" s="0" t="n">
        <v>184.8944</v>
      </c>
      <c r="P97" s="0" t="n">
        <v>128.066</v>
      </c>
      <c r="Q97" s="0" t="n">
        <v>78.7672</v>
      </c>
      <c r="R97" s="0" t="n">
        <v>59.4101</v>
      </c>
      <c r="S97" s="0" t="n">
        <v>27.12</v>
      </c>
      <c r="T97" s="0" t="n">
        <v>28.6408</v>
      </c>
      <c r="U97" s="0" t="n">
        <v>32.8611</v>
      </c>
      <c r="V97" s="0" t="n">
        <v>26.4691</v>
      </c>
      <c r="W97" s="0" t="n">
        <v>20.5005</v>
      </c>
      <c r="X97" s="0" t="n">
        <v>23.1694</v>
      </c>
      <c r="Y97" s="0" t="n">
        <v>23.2706</v>
      </c>
      <c r="Z97" s="0" t="n">
        <v>24.2725</v>
      </c>
      <c r="AA97" s="0" t="n">
        <v>21.3028</v>
      </c>
      <c r="AB97" s="0" t="n">
        <v>20.0125</v>
      </c>
      <c r="AC97" s="0" t="n">
        <v>25.3145</v>
      </c>
      <c r="AD97" s="0" t="n">
        <v>28.4504</v>
      </c>
      <c r="AE97" s="0" t="n">
        <v>29.4866</v>
      </c>
      <c r="AF97" s="0" t="n">
        <v>29.0061</v>
      </c>
      <c r="AG97" s="0" t="n">
        <v>27.0681</v>
      </c>
      <c r="AH97" s="0" t="n">
        <v>26.0597</v>
      </c>
      <c r="AI97" s="0" t="n">
        <v>27.3615</v>
      </c>
      <c r="AJ97" s="0" t="n">
        <v>30.4617</v>
      </c>
      <c r="AK97" s="0" t="n">
        <v>28.0807</v>
      </c>
      <c r="AL97" s="0" t="n">
        <v>29.8601</v>
      </c>
      <c r="AM97" s="0" t="n">
        <v>24.9983</v>
      </c>
      <c r="AN97" s="0" t="n">
        <v>14.1125</v>
      </c>
      <c r="AO97" s="0" t="n">
        <v>11.8398</v>
      </c>
      <c r="AP97" s="0" t="n">
        <v>8.7853</v>
      </c>
      <c r="AQ97" s="0" t="n">
        <v>6.6855</v>
      </c>
      <c r="AR97" s="0" t="n">
        <v>5.4796</v>
      </c>
      <c r="AS97" s="0" t="n">
        <v>5.9842</v>
      </c>
      <c r="AT97" s="0" t="n">
        <v>6.2034</v>
      </c>
      <c r="AU97" s="0" t="n">
        <v>4.4057</v>
      </c>
      <c r="AV97" s="0" t="n">
        <v>2.9158</v>
      </c>
      <c r="AW97" s="0" t="n">
        <v>1.9366</v>
      </c>
      <c r="AX97" s="0" t="n">
        <v>1.8203</v>
      </c>
      <c r="AY97" s="0" t="n">
        <v>1.1363</v>
      </c>
      <c r="AZ97" s="0" t="n">
        <v>0.8049</v>
      </c>
      <c r="BA97" s="0" t="n">
        <v>0.6801</v>
      </c>
      <c r="BB97" s="0" t="n">
        <v>0.2395</v>
      </c>
      <c r="BC97" s="0" t="n">
        <v>0.6296</v>
      </c>
      <c r="BD97" s="0" t="n">
        <v>0.1232</v>
      </c>
      <c r="BE97" s="0" t="n">
        <v>0.0323</v>
      </c>
      <c r="BF97" s="0" t="n">
        <v>0.12</v>
      </c>
      <c r="BG97" s="0" t="n">
        <v>0.0862</v>
      </c>
      <c r="BH97" s="0" t="n">
        <v>0.0196</v>
      </c>
      <c r="BI97" s="0" t="n">
        <v>0</v>
      </c>
      <c r="BJ97" s="0" t="n">
        <v>0.0196</v>
      </c>
      <c r="BK97" s="0" t="n">
        <v>0.0127</v>
      </c>
      <c r="BL97" s="0" t="n">
        <v>0.0064</v>
      </c>
      <c r="BM97" s="0" t="n">
        <v>0.1026</v>
      </c>
      <c r="BN97" s="0" t="n">
        <v>0.0714</v>
      </c>
      <c r="BO97" s="0" t="n">
        <v>0.0275</v>
      </c>
      <c r="BP97" s="0" t="n">
        <v>0</v>
      </c>
      <c r="BQ97" s="0" t="n">
        <v>0.0222</v>
      </c>
      <c r="BR97" s="0" t="n">
        <v>0.027</v>
      </c>
      <c r="BS97" s="0" t="n">
        <v>0.0064</v>
      </c>
      <c r="BT97" s="0" t="n">
        <v>0.0191</v>
      </c>
      <c r="BU97" s="0" t="n">
        <v>0.0137</v>
      </c>
      <c r="BV97" s="0" t="n">
        <v>0.0646</v>
      </c>
      <c r="BW97" s="0" t="n">
        <v>0.0847</v>
      </c>
      <c r="BX97" s="0" t="n">
        <v>0.0132</v>
      </c>
      <c r="BY97" s="0" t="n">
        <v>0.0069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0.0001</v>
      </c>
      <c r="CO97" s="0" t="n">
        <v>5.6783</v>
      </c>
      <c r="CP97" s="0" t="n">
        <v>7.6973</v>
      </c>
      <c r="CQ97" s="0" t="n">
        <v>13.8396</v>
      </c>
      <c r="CR97" s="0" t="n">
        <v>12.8554</v>
      </c>
      <c r="CS97" s="0" t="n">
        <v>10.9677</v>
      </c>
      <c r="CT97" s="0" t="n">
        <v>7.9974</v>
      </c>
      <c r="CU97" s="0" t="n">
        <v>6.9715</v>
      </c>
      <c r="CV97" s="0" t="n">
        <v>3.6216</v>
      </c>
      <c r="CW97" s="0" t="n">
        <v>4.2686</v>
      </c>
      <c r="CX97" s="0" t="n">
        <v>5.4297</v>
      </c>
      <c r="CY97" s="0" t="n">
        <v>4.792</v>
      </c>
      <c r="CZ97" s="0" t="n">
        <v>4.0318</v>
      </c>
      <c r="DA97" s="0" t="n">
        <v>4.8954</v>
      </c>
      <c r="DB97" s="0" t="n">
        <v>5.2929</v>
      </c>
      <c r="DC97" s="0" t="n">
        <v>5.9142</v>
      </c>
      <c r="DD97" s="0" t="n">
        <v>5.5162</v>
      </c>
      <c r="DE97" s="0" t="n">
        <v>5.4998</v>
      </c>
      <c r="DF97" s="0" t="n">
        <v>7.3745</v>
      </c>
      <c r="DG97" s="0" t="n">
        <v>8.7155</v>
      </c>
      <c r="DH97" s="0" t="n">
        <v>9.4895</v>
      </c>
      <c r="DI97" s="0" t="n">
        <v>9.7964</v>
      </c>
      <c r="DJ97" s="0" t="n">
        <v>9.5372</v>
      </c>
      <c r="DK97" s="0" t="n">
        <v>9.6218</v>
      </c>
      <c r="DL97" s="0" t="n">
        <v>10.5449</v>
      </c>
      <c r="DM97" s="0" t="n">
        <v>12.1961</v>
      </c>
      <c r="DN97" s="0" t="n">
        <v>11.6862</v>
      </c>
      <c r="DO97" s="0" t="n">
        <v>12.9333</v>
      </c>
      <c r="DP97" s="0" t="n">
        <v>11.1751</v>
      </c>
      <c r="DQ97" s="0" t="n">
        <v>6.5344</v>
      </c>
      <c r="DR97" s="0" t="n">
        <v>5.672</v>
      </c>
      <c r="DS97" s="0" t="n">
        <v>4.3427</v>
      </c>
      <c r="DT97" s="0" t="n">
        <v>3.4095</v>
      </c>
      <c r="DU97" s="0" t="n">
        <v>2.8843</v>
      </c>
      <c r="DV97" s="0" t="n">
        <v>3.2368</v>
      </c>
      <c r="DW97" s="0" t="n">
        <v>3.4527</v>
      </c>
      <c r="DX97" s="0" t="n">
        <v>2.5309</v>
      </c>
      <c r="DY97" s="0" t="n">
        <v>1.7199</v>
      </c>
      <c r="DZ97" s="0" t="n">
        <v>1.1691</v>
      </c>
      <c r="EA97" s="0" t="n">
        <v>1.1263</v>
      </c>
      <c r="EB97" s="0" t="n">
        <v>0.7253</v>
      </c>
      <c r="EC97" s="0" t="n">
        <v>0.5251</v>
      </c>
      <c r="ED97" s="0" t="n">
        <v>0.4549</v>
      </c>
      <c r="EE97" s="0" t="n">
        <v>0.1635</v>
      </c>
      <c r="EF97" s="0" t="n">
        <v>0.4402</v>
      </c>
      <c r="EG97" s="0" t="n">
        <v>0.0883</v>
      </c>
      <c r="EH97" s="0" t="n">
        <v>0.0237</v>
      </c>
      <c r="EI97" s="0" t="n">
        <v>0.0897</v>
      </c>
      <c r="EJ97" s="0" t="n">
        <v>0.0657</v>
      </c>
      <c r="EK97" s="0" t="n">
        <v>0.0153</v>
      </c>
      <c r="EL97" s="0" t="n">
        <v>0</v>
      </c>
      <c r="EM97" s="0" t="n">
        <v>0.0158</v>
      </c>
      <c r="EN97" s="0" t="n">
        <v>0.0105</v>
      </c>
      <c r="EO97" s="0" t="n">
        <v>0.0054</v>
      </c>
      <c r="EP97" s="0" t="n">
        <v>0.0874</v>
      </c>
      <c r="EQ97" s="0" t="n">
        <v>0.062</v>
      </c>
      <c r="ER97" s="0" t="n">
        <v>0.0243</v>
      </c>
      <c r="ES97" s="0" t="n">
        <v>0</v>
      </c>
      <c r="ET97" s="0" t="n">
        <v>0.0203</v>
      </c>
      <c r="EU97" s="0" t="n">
        <v>0.0251</v>
      </c>
      <c r="EV97" s="0" t="n">
        <v>0.0061</v>
      </c>
      <c r="EW97" s="0" t="n">
        <v>0.0183</v>
      </c>
      <c r="EX97" s="0" t="n">
        <v>0.0134</v>
      </c>
      <c r="EY97" s="0" t="n">
        <v>0.0642</v>
      </c>
      <c r="EZ97" s="0" t="n">
        <v>0.0858</v>
      </c>
      <c r="FA97" s="0" t="n">
        <v>0.0137</v>
      </c>
      <c r="FB97" s="0" t="n">
        <v>0.0071</v>
      </c>
      <c r="FC97" s="0" t="n">
        <v>0</v>
      </c>
      <c r="FD97" s="0" t="n">
        <v>0</v>
      </c>
      <c r="FE97" s="0" t="n">
        <v>0</v>
      </c>
      <c r="FF97" s="0" t="n">
        <v>0</v>
      </c>
      <c r="FG97" s="0" t="n">
        <v>0</v>
      </c>
      <c r="FH97" s="0" t="n">
        <v>0</v>
      </c>
      <c r="FI97" s="0" t="n">
        <v>0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</v>
      </c>
      <c r="FO97" s="0" t="n">
        <v>0</v>
      </c>
      <c r="FP97" s="0" t="n">
        <v>0</v>
      </c>
    </row>
    <row r="98" customFormat="false" ht="13.8" hidden="false" customHeight="false" outlineLevel="0" collapsed="false">
      <c r="A98" s="2" t="s">
        <v>358</v>
      </c>
      <c r="B98" s="0" t="s">
        <v>176</v>
      </c>
      <c r="C98" s="0" t="n">
        <v>211</v>
      </c>
      <c r="D98" s="0" t="s">
        <v>359</v>
      </c>
      <c r="G98" s="0" t="n">
        <v>1867.9045</v>
      </c>
      <c r="H98" s="0" t="n">
        <v>91.1329</v>
      </c>
      <c r="I98" s="0" t="n">
        <v>286.3024</v>
      </c>
      <c r="J98" s="0" t="n">
        <v>0.4811</v>
      </c>
      <c r="K98" s="0" t="n">
        <v>0</v>
      </c>
      <c r="L98" s="0" t="n">
        <v>290.9003</v>
      </c>
      <c r="M98" s="0" t="n">
        <v>226.4786</v>
      </c>
      <c r="N98" s="0" t="n">
        <v>239.1851</v>
      </c>
      <c r="O98" s="0" t="n">
        <v>181.2609</v>
      </c>
      <c r="P98" s="0" t="n">
        <v>140.9877</v>
      </c>
      <c r="Q98" s="0" t="n">
        <v>87.1332</v>
      </c>
      <c r="R98" s="0" t="n">
        <v>69.3505</v>
      </c>
      <c r="S98" s="0" t="n">
        <v>49.1273</v>
      </c>
      <c r="T98" s="0" t="n">
        <v>42.4961</v>
      </c>
      <c r="U98" s="0" t="n">
        <v>40.6444</v>
      </c>
      <c r="V98" s="0" t="n">
        <v>36.1136</v>
      </c>
      <c r="W98" s="0" t="n">
        <v>29.5287</v>
      </c>
      <c r="X98" s="0" t="n">
        <v>27.5345</v>
      </c>
      <c r="Y98" s="0" t="n">
        <v>23.6253</v>
      </c>
      <c r="Z98" s="0" t="n">
        <v>20.6205</v>
      </c>
      <c r="AA98" s="0" t="n">
        <v>19.7231</v>
      </c>
      <c r="AB98" s="0" t="n">
        <v>23.3543</v>
      </c>
      <c r="AC98" s="0" t="n">
        <v>22.6386</v>
      </c>
      <c r="AD98" s="0" t="n">
        <v>21.511</v>
      </c>
      <c r="AE98" s="0" t="n">
        <v>23.3315</v>
      </c>
      <c r="AF98" s="0" t="n">
        <v>24.6327</v>
      </c>
      <c r="AG98" s="0" t="n">
        <v>26.162</v>
      </c>
      <c r="AH98" s="0" t="n">
        <v>24.2608</v>
      </c>
      <c r="AI98" s="0" t="n">
        <v>18.7644</v>
      </c>
      <c r="AJ98" s="0" t="n">
        <v>17.1231</v>
      </c>
      <c r="AK98" s="0" t="n">
        <v>10.5549</v>
      </c>
      <c r="AL98" s="0" t="n">
        <v>8.3651</v>
      </c>
      <c r="AM98" s="0" t="n">
        <v>6.9109</v>
      </c>
      <c r="AN98" s="0" t="n">
        <v>7.9262</v>
      </c>
      <c r="AO98" s="0" t="n">
        <v>10.8964</v>
      </c>
      <c r="AP98" s="0" t="n">
        <v>8.2554</v>
      </c>
      <c r="AQ98" s="0" t="n">
        <v>8.7463</v>
      </c>
      <c r="AR98" s="0" t="n">
        <v>7.0761</v>
      </c>
      <c r="AS98" s="0" t="n">
        <v>7.0601</v>
      </c>
      <c r="AT98" s="0" t="n">
        <v>7.0574</v>
      </c>
      <c r="AU98" s="0" t="n">
        <v>3.4372</v>
      </c>
      <c r="AV98" s="0" t="n">
        <v>5.3988</v>
      </c>
      <c r="AW98" s="0" t="n">
        <v>7.2553</v>
      </c>
      <c r="AX98" s="0" t="n">
        <v>5.69</v>
      </c>
      <c r="AY98" s="0" t="n">
        <v>7.229</v>
      </c>
      <c r="AZ98" s="0" t="n">
        <v>6.2437</v>
      </c>
      <c r="BA98" s="0" t="n">
        <v>4.4532</v>
      </c>
      <c r="BB98" s="0" t="n">
        <v>3.6954</v>
      </c>
      <c r="BC98" s="0" t="n">
        <v>3.3885</v>
      </c>
      <c r="BD98" s="0" t="n">
        <v>2.6115</v>
      </c>
      <c r="BE98" s="0" t="n">
        <v>1.9123</v>
      </c>
      <c r="BF98" s="0" t="n">
        <v>1.5875</v>
      </c>
      <c r="BG98" s="0" t="n">
        <v>1.408</v>
      </c>
      <c r="BH98" s="0" t="n">
        <v>1.0588</v>
      </c>
      <c r="BI98" s="0" t="n">
        <v>0.2989</v>
      </c>
      <c r="BJ98" s="0" t="n">
        <v>0.4896</v>
      </c>
      <c r="BK98" s="0" t="n">
        <v>0.1975</v>
      </c>
      <c r="BL98" s="0" t="n">
        <v>0.2572</v>
      </c>
      <c r="BM98" s="0" t="n">
        <v>0.1843</v>
      </c>
      <c r="BN98" s="0" t="n">
        <v>0</v>
      </c>
      <c r="BO98" s="0" t="n">
        <v>0.2819</v>
      </c>
      <c r="BP98" s="0" t="n">
        <v>0.0544</v>
      </c>
      <c r="BQ98" s="0" t="n">
        <v>0</v>
      </c>
      <c r="BR98" s="0" t="n">
        <v>0</v>
      </c>
      <c r="BS98" s="0" t="n">
        <v>0</v>
      </c>
      <c r="BT98" s="0" t="n">
        <v>0.2744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7.3416</v>
      </c>
      <c r="CP98" s="0" t="n">
        <v>8.9413</v>
      </c>
      <c r="CQ98" s="0" t="n">
        <v>13.1232</v>
      </c>
      <c r="CR98" s="0" t="n">
        <v>12.6652</v>
      </c>
      <c r="CS98" s="0" t="n">
        <v>12.0609</v>
      </c>
      <c r="CT98" s="0" t="n">
        <v>8.8777</v>
      </c>
      <c r="CU98" s="0" t="n">
        <v>8.1467</v>
      </c>
      <c r="CV98" s="0" t="n">
        <v>6.5597</v>
      </c>
      <c r="CW98" s="0" t="n">
        <v>6.3279</v>
      </c>
      <c r="CX98" s="0" t="n">
        <v>6.6991</v>
      </c>
      <c r="CY98" s="0" t="n">
        <v>6.5147</v>
      </c>
      <c r="CZ98" s="0" t="n">
        <v>5.792</v>
      </c>
      <c r="DA98" s="0" t="n">
        <v>5.831</v>
      </c>
      <c r="DB98" s="0" t="n">
        <v>5.3801</v>
      </c>
      <c r="DC98" s="0" t="n">
        <v>5.026</v>
      </c>
      <c r="DD98" s="0" t="n">
        <v>5.1021</v>
      </c>
      <c r="DE98" s="0" t="n">
        <v>6.4245</v>
      </c>
      <c r="DF98" s="0" t="n">
        <v>6.5856</v>
      </c>
      <c r="DG98" s="0" t="n">
        <v>6.5762</v>
      </c>
      <c r="DH98" s="0" t="n">
        <v>7.5084</v>
      </c>
      <c r="DI98" s="0" t="n">
        <v>8.3199</v>
      </c>
      <c r="DJ98" s="0" t="n">
        <v>9.248</v>
      </c>
      <c r="DK98" s="0" t="n">
        <v>8.955</v>
      </c>
      <c r="DL98" s="0" t="n">
        <v>7.2214</v>
      </c>
      <c r="DM98" s="0" t="n">
        <v>6.8547</v>
      </c>
      <c r="DN98" s="0" t="n">
        <v>4.3886</v>
      </c>
      <c r="DO98" s="0" t="n">
        <v>3.6194</v>
      </c>
      <c r="DP98" s="0" t="n">
        <v>3.0884</v>
      </c>
      <c r="DQ98" s="0" t="n">
        <v>3.6726</v>
      </c>
      <c r="DR98" s="0" t="n">
        <v>5.2083</v>
      </c>
      <c r="DS98" s="0" t="n">
        <v>4.0854</v>
      </c>
      <c r="DT98" s="0" t="n">
        <v>4.469</v>
      </c>
      <c r="DU98" s="0" t="n">
        <v>3.7285</v>
      </c>
      <c r="DV98" s="0" t="n">
        <v>3.8291</v>
      </c>
      <c r="DW98" s="0" t="n">
        <v>3.9398</v>
      </c>
      <c r="DX98" s="0" t="n">
        <v>1.9689</v>
      </c>
      <c r="DY98" s="0" t="n">
        <v>3.1829</v>
      </c>
      <c r="DZ98" s="0" t="n">
        <v>4.3861</v>
      </c>
      <c r="EA98" s="0" t="n">
        <v>3.5359</v>
      </c>
      <c r="EB98" s="0" t="n">
        <v>4.6006</v>
      </c>
      <c r="EC98" s="0" t="n">
        <v>4.0807</v>
      </c>
      <c r="ED98" s="0" t="n">
        <v>2.9704</v>
      </c>
      <c r="EE98" s="0" t="n">
        <v>2.5249</v>
      </c>
      <c r="EF98" s="0" t="n">
        <v>2.365</v>
      </c>
      <c r="EG98" s="0" t="n">
        <v>1.866</v>
      </c>
      <c r="EH98" s="0" t="n">
        <v>1.3914</v>
      </c>
      <c r="EI98" s="0" t="n">
        <v>1.1831</v>
      </c>
      <c r="EJ98" s="0" t="n">
        <v>1.0714</v>
      </c>
      <c r="EK98" s="0" t="n">
        <v>0.8265</v>
      </c>
      <c r="EL98" s="0" t="n">
        <v>0.2377</v>
      </c>
      <c r="EM98" s="0" t="n">
        <v>0.3933</v>
      </c>
      <c r="EN98" s="0" t="n">
        <v>0.1628</v>
      </c>
      <c r="EO98" s="0" t="n">
        <v>0.2156</v>
      </c>
      <c r="EP98" s="0" t="n">
        <v>0.1571</v>
      </c>
      <c r="EQ98" s="0" t="n">
        <v>0</v>
      </c>
      <c r="ER98" s="0" t="n">
        <v>0.2504</v>
      </c>
      <c r="ES98" s="0" t="n">
        <v>0.0491</v>
      </c>
      <c r="ET98" s="0" t="n">
        <v>0</v>
      </c>
      <c r="EU98" s="0" t="n">
        <v>0</v>
      </c>
      <c r="EV98" s="0" t="n">
        <v>0</v>
      </c>
      <c r="EW98" s="0" t="n">
        <v>0.2647</v>
      </c>
      <c r="EX98" s="0" t="n">
        <v>0</v>
      </c>
      <c r="EY98" s="0" t="n">
        <v>0</v>
      </c>
      <c r="EZ98" s="0" t="n">
        <v>0</v>
      </c>
      <c r="FA98" s="0" t="n">
        <v>0</v>
      </c>
      <c r="FB98" s="0" t="n">
        <v>0</v>
      </c>
      <c r="FC98" s="0" t="n">
        <v>0</v>
      </c>
      <c r="FD98" s="0" t="n">
        <v>0</v>
      </c>
      <c r="FE98" s="0" t="n">
        <v>0</v>
      </c>
      <c r="FF98" s="0" t="n">
        <v>0</v>
      </c>
      <c r="FG98" s="0" t="n">
        <v>0</v>
      </c>
      <c r="FH98" s="0" t="n">
        <v>0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0" t="n">
        <v>0</v>
      </c>
      <c r="FP98" s="0" t="n">
        <v>0</v>
      </c>
    </row>
    <row r="99" customFormat="false" ht="13.8" hidden="false" customHeight="false" outlineLevel="0" collapsed="false">
      <c r="A99" s="2" t="s">
        <v>360</v>
      </c>
      <c r="B99" s="0" t="s">
        <v>173</v>
      </c>
      <c r="C99" s="0" t="n">
        <v>159</v>
      </c>
      <c r="D99" s="0" t="s">
        <v>361</v>
      </c>
      <c r="F99" s="0" t="e">
        <f aca="false">VLOOKUP(A99,[1]ROOT!$A$1:$C$1048576,3,0)</f>
        <v>#N/A</v>
      </c>
      <c r="G99" s="0" t="n">
        <v>2100.5088</v>
      </c>
      <c r="H99" s="0" t="n">
        <v>181.8658</v>
      </c>
      <c r="I99" s="0" t="n">
        <v>571.3482</v>
      </c>
      <c r="J99" s="0" t="n">
        <v>0.78498</v>
      </c>
      <c r="K99" s="0" t="n">
        <v>0.038</v>
      </c>
      <c r="L99" s="0" t="n">
        <v>24.7345</v>
      </c>
      <c r="M99" s="0" t="n">
        <v>12.1903</v>
      </c>
      <c r="N99" s="0" t="n">
        <v>80.647</v>
      </c>
      <c r="O99" s="0" t="n">
        <v>121.3573</v>
      </c>
      <c r="P99" s="0" t="n">
        <v>112.8874</v>
      </c>
      <c r="Q99" s="0" t="n">
        <v>220.7407</v>
      </c>
      <c r="R99" s="0" t="n">
        <v>131.9446</v>
      </c>
      <c r="S99" s="0" t="n">
        <v>124.0548</v>
      </c>
      <c r="T99" s="0" t="n">
        <v>98.0781</v>
      </c>
      <c r="U99" s="0" t="n">
        <v>124.8369</v>
      </c>
      <c r="V99" s="0" t="n">
        <v>53.7803</v>
      </c>
      <c r="W99" s="0" t="n">
        <v>92.1493</v>
      </c>
      <c r="X99" s="0" t="n">
        <v>61.0212</v>
      </c>
      <c r="Y99" s="0" t="n">
        <v>35.5937</v>
      </c>
      <c r="Z99" s="0" t="n">
        <v>50.0581</v>
      </c>
      <c r="AA99" s="0" t="n">
        <v>52.8287</v>
      </c>
      <c r="AB99" s="0" t="n">
        <v>49.8743</v>
      </c>
      <c r="AC99" s="0" t="n">
        <v>34.6829</v>
      </c>
      <c r="AD99" s="0" t="n">
        <v>42.4754</v>
      </c>
      <c r="AE99" s="0" t="n">
        <v>35.8768</v>
      </c>
      <c r="AF99" s="0" t="n">
        <v>49.8432</v>
      </c>
      <c r="AG99" s="0" t="n">
        <v>19.6466</v>
      </c>
      <c r="AH99" s="0" t="n">
        <v>29.786</v>
      </c>
      <c r="AI99" s="0" t="n">
        <v>37.9254</v>
      </c>
      <c r="AJ99" s="0" t="n">
        <v>27.5511</v>
      </c>
      <c r="AK99" s="0" t="n">
        <v>41.2002</v>
      </c>
      <c r="AL99" s="0" t="n">
        <v>24.8229</v>
      </c>
      <c r="AM99" s="0" t="n">
        <v>27.7078</v>
      </c>
      <c r="AN99" s="0" t="n">
        <v>31.6757</v>
      </c>
      <c r="AO99" s="0" t="n">
        <v>34.3835</v>
      </c>
      <c r="AP99" s="0" t="n">
        <v>25.2257</v>
      </c>
      <c r="AQ99" s="0" t="n">
        <v>26.5426</v>
      </c>
      <c r="AR99" s="0" t="n">
        <v>25.1862</v>
      </c>
      <c r="AS99" s="0" t="n">
        <v>19.7641</v>
      </c>
      <c r="AT99" s="0" t="n">
        <v>24.284</v>
      </c>
      <c r="AU99" s="0" t="n">
        <v>19.5223</v>
      </c>
      <c r="AV99" s="0" t="n">
        <v>7.9955</v>
      </c>
      <c r="AW99" s="0" t="n">
        <v>10.2805</v>
      </c>
      <c r="AX99" s="0" t="n">
        <v>10.976</v>
      </c>
      <c r="AY99" s="0" t="n">
        <v>6.8205</v>
      </c>
      <c r="AZ99" s="0" t="n">
        <v>7.7618</v>
      </c>
      <c r="BA99" s="0" t="n">
        <v>3.8778</v>
      </c>
      <c r="BB99" s="0" t="n">
        <v>6.2135</v>
      </c>
      <c r="BC99" s="0" t="n">
        <v>3.5855</v>
      </c>
      <c r="BD99" s="0" t="n">
        <v>2.1942</v>
      </c>
      <c r="BE99" s="0" t="n">
        <v>2.7229</v>
      </c>
      <c r="BF99" s="0" t="n">
        <v>2.1741</v>
      </c>
      <c r="BG99" s="0" t="n">
        <v>1.4092</v>
      </c>
      <c r="BH99" s="0" t="n">
        <v>1.5566</v>
      </c>
      <c r="BI99" s="0" t="n">
        <v>1.1501</v>
      </c>
      <c r="BJ99" s="0" t="n">
        <v>0.9449</v>
      </c>
      <c r="BK99" s="0" t="n">
        <v>1.6717</v>
      </c>
      <c r="BL99" s="0" t="n">
        <v>0.8998</v>
      </c>
      <c r="BM99" s="0" t="n">
        <v>0.59</v>
      </c>
      <c r="BN99" s="0" t="n">
        <v>0.157</v>
      </c>
      <c r="BO99" s="0" t="n">
        <v>0.2406</v>
      </c>
      <c r="BP99" s="0" t="n">
        <v>0.0819</v>
      </c>
      <c r="BQ99" s="0" t="n">
        <v>0.2781</v>
      </c>
      <c r="BR99" s="0" t="n">
        <v>0.1823</v>
      </c>
      <c r="BS99" s="0" t="n">
        <v>0.0969</v>
      </c>
      <c r="BT99" s="0" t="n">
        <v>0.3674</v>
      </c>
      <c r="BU99" s="0" t="n">
        <v>0.0524</v>
      </c>
      <c r="BV99" s="0" t="n">
        <v>0.0397</v>
      </c>
      <c r="BW99" s="0" t="n">
        <v>0.064</v>
      </c>
      <c r="BX99" s="0" t="n">
        <v>0</v>
      </c>
      <c r="BY99" s="0" t="n">
        <v>0.0137</v>
      </c>
      <c r="BZ99" s="0" t="n">
        <v>0.1639</v>
      </c>
      <c r="CA99" s="0" t="n">
        <v>0.0069</v>
      </c>
      <c r="CB99" s="0" t="n">
        <v>0.0063</v>
      </c>
      <c r="CC99" s="0" t="n">
        <v>0.0069</v>
      </c>
      <c r="CD99" s="0" t="n">
        <v>0</v>
      </c>
      <c r="CE99" s="0" t="n">
        <v>0.1739</v>
      </c>
      <c r="CF99" s="0" t="n">
        <v>0</v>
      </c>
      <c r="CG99" s="0" t="n">
        <v>0</v>
      </c>
      <c r="CH99" s="0" t="n">
        <v>0.2389</v>
      </c>
      <c r="CI99" s="0" t="n">
        <v>0</v>
      </c>
      <c r="CJ99" s="0" t="n">
        <v>0</v>
      </c>
      <c r="CK99" s="0" t="n">
        <v>0.3282</v>
      </c>
      <c r="CL99" s="0" t="n">
        <v>0</v>
      </c>
      <c r="CM99" s="0" t="n">
        <v>0.2155</v>
      </c>
      <c r="CN99" s="0" t="n">
        <v>0.0006</v>
      </c>
      <c r="CO99" s="0" t="n">
        <v>0.6152</v>
      </c>
      <c r="CP99" s="0" t="n">
        <v>0.4798</v>
      </c>
      <c r="CQ99" s="0" t="n">
        <v>4.5506</v>
      </c>
      <c r="CR99" s="0" t="n">
        <v>8.6692</v>
      </c>
      <c r="CS99" s="0" t="n">
        <v>9.425</v>
      </c>
      <c r="CT99" s="0" t="n">
        <v>22.2754</v>
      </c>
      <c r="CU99" s="0" t="n">
        <v>15.7356</v>
      </c>
      <c r="CV99" s="0" t="n">
        <v>16.555</v>
      </c>
      <c r="CW99" s="0" t="n">
        <v>14.4001</v>
      </c>
      <c r="CX99" s="0" t="n">
        <v>20.69</v>
      </c>
      <c r="CY99" s="0" t="n">
        <v>9.7612</v>
      </c>
      <c r="CZ99" s="0" t="n">
        <v>18.0649</v>
      </c>
      <c r="DA99" s="0" t="n">
        <v>13.1688</v>
      </c>
      <c r="DB99" s="0" t="n">
        <v>8.0678</v>
      </c>
      <c r="DC99" s="0" t="n">
        <v>12.1099</v>
      </c>
      <c r="DD99" s="0" t="n">
        <v>13.6537</v>
      </c>
      <c r="DE99" s="0" t="n">
        <v>13.7787</v>
      </c>
      <c r="DF99" s="0" t="n">
        <v>10.0955</v>
      </c>
      <c r="DG99" s="0" t="n">
        <v>13.0008</v>
      </c>
      <c r="DH99" s="0" t="n">
        <v>11.4852</v>
      </c>
      <c r="DI99" s="0" t="n">
        <v>16.896</v>
      </c>
      <c r="DJ99" s="0" t="n">
        <v>7.0059</v>
      </c>
      <c r="DK99" s="0" t="n">
        <v>10.9402</v>
      </c>
      <c r="DL99" s="0" t="n">
        <v>14.6638</v>
      </c>
      <c r="DM99" s="0" t="n">
        <v>11.0327</v>
      </c>
      <c r="DN99" s="0" t="n">
        <v>17.1879</v>
      </c>
      <c r="DO99" s="0" t="n">
        <v>10.7361</v>
      </c>
      <c r="DP99" s="0" t="n">
        <v>12.3463</v>
      </c>
      <c r="DQ99" s="0" t="n">
        <v>14.6761</v>
      </c>
      <c r="DR99" s="0" t="n">
        <v>16.5375</v>
      </c>
      <c r="DS99" s="0" t="n">
        <v>12.4557</v>
      </c>
      <c r="DT99" s="0" t="n">
        <v>13.5306</v>
      </c>
      <c r="DU99" s="0" t="n">
        <v>13.2431</v>
      </c>
      <c r="DV99" s="0" t="n">
        <v>10.6887</v>
      </c>
      <c r="DW99" s="0" t="n">
        <v>13.4912</v>
      </c>
      <c r="DX99" s="0" t="n">
        <v>11.2137</v>
      </c>
      <c r="DY99" s="0" t="n">
        <v>4.7148</v>
      </c>
      <c r="DZ99" s="0" t="n">
        <v>6.1865</v>
      </c>
      <c r="EA99" s="0" t="n">
        <v>6.8222</v>
      </c>
      <c r="EB99" s="0" t="n">
        <v>4.3464</v>
      </c>
      <c r="EC99" s="0" t="n">
        <v>5.0756</v>
      </c>
      <c r="ED99" s="0" t="n">
        <v>2.574</v>
      </c>
      <c r="EE99" s="0" t="n">
        <v>4.2356</v>
      </c>
      <c r="EF99" s="0" t="n">
        <v>2.5148</v>
      </c>
      <c r="EG99" s="0" t="n">
        <v>1.5725</v>
      </c>
      <c r="EH99" s="0" t="n">
        <v>1.989</v>
      </c>
      <c r="EI99" s="0" t="n">
        <v>1.6157</v>
      </c>
      <c r="EJ99" s="0" t="n">
        <v>1.0725</v>
      </c>
      <c r="EK99" s="0" t="n">
        <v>1.2153</v>
      </c>
      <c r="EL99" s="0" t="n">
        <v>0.9123</v>
      </c>
      <c r="EM99" s="0" t="n">
        <v>0.7623</v>
      </c>
      <c r="EN99" s="0" t="n">
        <v>1.3819</v>
      </c>
      <c r="EO99" s="0" t="n">
        <v>0.7532</v>
      </c>
      <c r="EP99" s="0" t="n">
        <v>0.503</v>
      </c>
      <c r="EQ99" s="0" t="n">
        <v>0.1371</v>
      </c>
      <c r="ER99" s="0" t="n">
        <v>0.2127</v>
      </c>
      <c r="ES99" s="0" t="n">
        <v>0.0739</v>
      </c>
      <c r="ET99" s="0" t="n">
        <v>0.2551</v>
      </c>
      <c r="EU99" s="0" t="n">
        <v>0.1697</v>
      </c>
      <c r="EV99" s="0" t="n">
        <v>0.092</v>
      </c>
      <c r="EW99" s="0" t="n">
        <v>0.3552</v>
      </c>
      <c r="EX99" s="0" t="n">
        <v>0.0516</v>
      </c>
      <c r="EY99" s="0" t="n">
        <v>0.0396</v>
      </c>
      <c r="EZ99" s="0" t="n">
        <v>0.0651</v>
      </c>
      <c r="FA99" s="0" t="n">
        <v>0</v>
      </c>
      <c r="FB99" s="0" t="n">
        <v>0.0143</v>
      </c>
      <c r="FC99" s="0" t="n">
        <v>0.1737</v>
      </c>
      <c r="FD99" s="0" t="n">
        <v>0.0074</v>
      </c>
      <c r="FE99" s="0" t="n">
        <v>0.007</v>
      </c>
      <c r="FF99" s="0" t="n">
        <v>0.0077</v>
      </c>
      <c r="FG99" s="0" t="n">
        <v>0</v>
      </c>
      <c r="FH99" s="0" t="n">
        <v>0.1977</v>
      </c>
      <c r="FI99" s="0" t="n">
        <v>0</v>
      </c>
      <c r="FJ99" s="0" t="n">
        <v>0</v>
      </c>
      <c r="FK99" s="0" t="n">
        <v>0.2824</v>
      </c>
      <c r="FL99" s="0" t="n">
        <v>0</v>
      </c>
      <c r="FM99" s="0" t="n">
        <v>0</v>
      </c>
      <c r="FN99" s="0" t="n">
        <v>0.4064</v>
      </c>
      <c r="FO99" s="0" t="n">
        <v>0</v>
      </c>
      <c r="FP99" s="0" t="n">
        <v>0.2862</v>
      </c>
    </row>
    <row r="100" customFormat="false" ht="13.8" hidden="false" customHeight="false" outlineLevel="0" collapsed="false">
      <c r="A100" s="2" t="s">
        <v>362</v>
      </c>
      <c r="B100" s="0" t="s">
        <v>176</v>
      </c>
      <c r="C100" s="0" t="n">
        <v>285</v>
      </c>
      <c r="D100" s="0" t="s">
        <v>363</v>
      </c>
      <c r="G100" s="0" t="n">
        <v>2275.6342</v>
      </c>
      <c r="H100" s="0" t="n">
        <v>176.5192</v>
      </c>
      <c r="I100" s="0" t="n">
        <v>554.5514</v>
      </c>
      <c r="J100" s="0" t="n">
        <v>0.7749</v>
      </c>
      <c r="K100" s="0" t="n">
        <v>0</v>
      </c>
      <c r="L100" s="0" t="n">
        <v>270.3903</v>
      </c>
      <c r="M100" s="0" t="n">
        <v>192.8218</v>
      </c>
      <c r="N100" s="0" t="n">
        <v>237.2591</v>
      </c>
      <c r="O100" s="0" t="n">
        <v>164.0758</v>
      </c>
      <c r="P100" s="0" t="n">
        <v>108.66</v>
      </c>
      <c r="Q100" s="0" t="n">
        <v>69.4773</v>
      </c>
      <c r="R100" s="0" t="n">
        <v>71.2801</v>
      </c>
      <c r="S100" s="0" t="n">
        <v>48.318</v>
      </c>
      <c r="T100" s="0" t="n">
        <v>50.1017</v>
      </c>
      <c r="U100" s="0" t="n">
        <v>47.5998</v>
      </c>
      <c r="V100" s="0" t="n">
        <v>40.2848</v>
      </c>
      <c r="W100" s="0" t="n">
        <v>43.2178</v>
      </c>
      <c r="X100" s="0" t="n">
        <v>51.6274</v>
      </c>
      <c r="Y100" s="0" t="n">
        <v>39.2606</v>
      </c>
      <c r="Z100" s="0" t="n">
        <v>34.1452</v>
      </c>
      <c r="AA100" s="0" t="n">
        <v>32.6213</v>
      </c>
      <c r="AB100" s="0" t="n">
        <v>25.0812</v>
      </c>
      <c r="AC100" s="0" t="n">
        <v>29.3867</v>
      </c>
      <c r="AD100" s="0" t="n">
        <v>34.9617</v>
      </c>
      <c r="AE100" s="0" t="n">
        <v>26.6392</v>
      </c>
      <c r="AF100" s="0" t="n">
        <v>27.3827</v>
      </c>
      <c r="AG100" s="0" t="n">
        <v>30.0401</v>
      </c>
      <c r="AH100" s="0" t="n">
        <v>29.7789</v>
      </c>
      <c r="AI100" s="0" t="n">
        <v>31.2766</v>
      </c>
      <c r="AJ100" s="0" t="n">
        <v>33.8329</v>
      </c>
      <c r="AK100" s="0" t="n">
        <v>38.392</v>
      </c>
      <c r="AL100" s="0" t="n">
        <v>33.3748</v>
      </c>
      <c r="AM100" s="0" t="n">
        <v>30.6812</v>
      </c>
      <c r="AN100" s="0" t="n">
        <v>30.4515</v>
      </c>
      <c r="AO100" s="0" t="n">
        <v>29.6661</v>
      </c>
      <c r="AP100" s="0" t="n">
        <v>30.4721</v>
      </c>
      <c r="AQ100" s="0" t="n">
        <v>28.1845</v>
      </c>
      <c r="AR100" s="0" t="n">
        <v>32.4863</v>
      </c>
      <c r="AS100" s="0" t="n">
        <v>27.1583</v>
      </c>
      <c r="AT100" s="0" t="n">
        <v>25.3977</v>
      </c>
      <c r="AU100" s="0" t="n">
        <v>24.8923</v>
      </c>
      <c r="AV100" s="0" t="n">
        <v>18.026</v>
      </c>
      <c r="AW100" s="0" t="n">
        <v>15.8807</v>
      </c>
      <c r="AX100" s="0" t="n">
        <v>16.9686</v>
      </c>
      <c r="AY100" s="0" t="n">
        <v>12.8634</v>
      </c>
      <c r="AZ100" s="0" t="n">
        <v>10.103</v>
      </c>
      <c r="BA100" s="0" t="n">
        <v>11.427</v>
      </c>
      <c r="BB100" s="0" t="n">
        <v>9.7216</v>
      </c>
      <c r="BC100" s="0" t="n">
        <v>8.7139</v>
      </c>
      <c r="BD100" s="0" t="n">
        <v>7.9384</v>
      </c>
      <c r="BE100" s="0" t="n">
        <v>5.3814</v>
      </c>
      <c r="BF100" s="0" t="n">
        <v>5.2492</v>
      </c>
      <c r="BG100" s="0" t="n">
        <v>5.3605</v>
      </c>
      <c r="BH100" s="0" t="n">
        <v>4.3951</v>
      </c>
      <c r="BI100" s="0" t="n">
        <v>2.538</v>
      </c>
      <c r="BJ100" s="0" t="n">
        <v>3.5108</v>
      </c>
      <c r="BK100" s="0" t="n">
        <v>4.045</v>
      </c>
      <c r="BL100" s="0" t="n">
        <v>2.7148</v>
      </c>
      <c r="BM100" s="0" t="n">
        <v>3.7946</v>
      </c>
      <c r="BN100" s="0" t="n">
        <v>2.9557</v>
      </c>
      <c r="BO100" s="0" t="n">
        <v>1.792</v>
      </c>
      <c r="BP100" s="0" t="n">
        <v>2.1858</v>
      </c>
      <c r="BQ100" s="0" t="n">
        <v>2.2737</v>
      </c>
      <c r="BR100" s="0" t="n">
        <v>1.4404</v>
      </c>
      <c r="BS100" s="0" t="n">
        <v>1.8644</v>
      </c>
      <c r="BT100" s="0" t="n">
        <v>1.2266</v>
      </c>
      <c r="BU100" s="0" t="n">
        <v>1.16</v>
      </c>
      <c r="BV100" s="0" t="n">
        <v>0.8441</v>
      </c>
      <c r="BW100" s="0" t="n">
        <v>1.5161</v>
      </c>
      <c r="BX100" s="0" t="n">
        <v>1.1337</v>
      </c>
      <c r="BY100" s="0" t="n">
        <v>0.8263</v>
      </c>
      <c r="BZ100" s="0" t="n">
        <v>0.2993</v>
      </c>
      <c r="CA100" s="0" t="n">
        <v>0.6942</v>
      </c>
      <c r="CB100" s="0" t="n">
        <v>0.6128</v>
      </c>
      <c r="CC100" s="0" t="n">
        <v>0.3041</v>
      </c>
      <c r="CD100" s="0" t="n">
        <v>0.2538</v>
      </c>
      <c r="CE100" s="0" t="n">
        <v>0.2913</v>
      </c>
      <c r="CF100" s="0" t="n">
        <v>1.0827</v>
      </c>
      <c r="CG100" s="0" t="n">
        <v>0.5039</v>
      </c>
      <c r="CH100" s="0" t="n">
        <v>0.2797</v>
      </c>
      <c r="CI100" s="0" t="n">
        <v>0.2542</v>
      </c>
      <c r="CJ100" s="0" t="n">
        <v>0.0725</v>
      </c>
      <c r="CK100" s="0" t="n">
        <v>0.2036</v>
      </c>
      <c r="CL100" s="0" t="n">
        <v>0.1654</v>
      </c>
      <c r="CM100" s="0" t="n">
        <v>0.8493</v>
      </c>
      <c r="CN100" s="0" t="n">
        <v>0</v>
      </c>
      <c r="CO100" s="0" t="n">
        <v>6.9822</v>
      </c>
      <c r="CP100" s="0" t="n">
        <v>7.3793</v>
      </c>
      <c r="CQ100" s="0" t="n">
        <v>12.9841</v>
      </c>
      <c r="CR100" s="0" t="n">
        <v>11.3983</v>
      </c>
      <c r="CS100" s="0" t="n">
        <v>9.3317</v>
      </c>
      <c r="CT100" s="0" t="n">
        <v>7.0841</v>
      </c>
      <c r="CU100" s="0" t="n">
        <v>8.4049</v>
      </c>
      <c r="CV100" s="0" t="n">
        <v>6.4539</v>
      </c>
      <c r="CW100" s="0" t="n">
        <v>7.4705</v>
      </c>
      <c r="CX100" s="0" t="n">
        <v>7.8314</v>
      </c>
      <c r="CY100" s="0" t="n">
        <v>7.3113</v>
      </c>
      <c r="CZ100" s="0" t="n">
        <v>8.4824</v>
      </c>
      <c r="DA100" s="0" t="n">
        <v>10.9512</v>
      </c>
      <c r="DB100" s="0" t="n">
        <v>8.9394</v>
      </c>
      <c r="DC100" s="0" t="n">
        <v>8.3079</v>
      </c>
      <c r="DD100" s="0" t="n">
        <v>8.4543</v>
      </c>
      <c r="DE100" s="0" t="n">
        <v>6.8816</v>
      </c>
      <c r="DF100" s="0" t="n">
        <v>8.5432</v>
      </c>
      <c r="DG100" s="0" t="n">
        <v>10.699</v>
      </c>
      <c r="DH100" s="0" t="n">
        <v>8.5675</v>
      </c>
      <c r="DI100" s="0" t="n">
        <v>9.246</v>
      </c>
      <c r="DJ100" s="0" t="n">
        <v>10.6184</v>
      </c>
      <c r="DK100" s="0" t="n">
        <v>11.0076</v>
      </c>
      <c r="DL100" s="0" t="n">
        <v>12.0468</v>
      </c>
      <c r="DM100" s="0" t="n">
        <v>13.5401</v>
      </c>
      <c r="DN100" s="0" t="n">
        <v>15.9767</v>
      </c>
      <c r="DO100" s="0" t="n">
        <v>14.4191</v>
      </c>
      <c r="DP100" s="0" t="n">
        <v>13.7245</v>
      </c>
      <c r="DQ100" s="0" t="n">
        <v>14.1184</v>
      </c>
      <c r="DR100" s="0" t="n">
        <v>14.208</v>
      </c>
      <c r="DS100" s="0" t="n">
        <v>15.0836</v>
      </c>
      <c r="DT100" s="0" t="n">
        <v>14.3936</v>
      </c>
      <c r="DU100" s="0" t="n">
        <v>17.114</v>
      </c>
      <c r="DV100" s="0" t="n">
        <v>14.7156</v>
      </c>
      <c r="DW100" s="0" t="n">
        <v>14.1441</v>
      </c>
      <c r="DX100" s="0" t="n">
        <v>14.2823</v>
      </c>
      <c r="DY100" s="0" t="n">
        <v>10.609</v>
      </c>
      <c r="DZ100" s="0" t="n">
        <v>9.6021</v>
      </c>
      <c r="EA100" s="0" t="n">
        <v>10.5323</v>
      </c>
      <c r="EB100" s="0" t="n">
        <v>8.185</v>
      </c>
      <c r="EC100" s="0" t="n">
        <v>6.587</v>
      </c>
      <c r="ED100" s="0" t="n">
        <v>7.6265</v>
      </c>
      <c r="EE100" s="0" t="n">
        <v>6.6394</v>
      </c>
      <c r="EF100" s="0" t="n">
        <v>6.0759</v>
      </c>
      <c r="EG100" s="0" t="n">
        <v>5.6765</v>
      </c>
      <c r="EH100" s="0" t="n">
        <v>3.9284</v>
      </c>
      <c r="EI100" s="0" t="n">
        <v>3.9093</v>
      </c>
      <c r="EJ100" s="0" t="n">
        <v>4.0837</v>
      </c>
      <c r="EK100" s="0" t="n">
        <v>3.4178</v>
      </c>
      <c r="EL100" s="0" t="n">
        <v>2.0121</v>
      </c>
      <c r="EM100" s="0" t="n">
        <v>2.8386</v>
      </c>
      <c r="EN100" s="0" t="n">
        <v>3.3253</v>
      </c>
      <c r="EO100" s="0" t="n">
        <v>2.2755</v>
      </c>
      <c r="EP100" s="0" t="n">
        <v>3.2449</v>
      </c>
      <c r="EQ100" s="0" t="n">
        <v>2.5699</v>
      </c>
      <c r="ER100" s="0" t="n">
        <v>1.5877</v>
      </c>
      <c r="ES100" s="0" t="n">
        <v>1.9759</v>
      </c>
      <c r="ET100" s="0" t="n">
        <v>2.0918</v>
      </c>
      <c r="EU100" s="0" t="n">
        <v>1.3441</v>
      </c>
      <c r="EV100" s="0" t="n">
        <v>1.766</v>
      </c>
      <c r="EW100" s="0" t="n">
        <v>1.1838</v>
      </c>
      <c r="EX100" s="0" t="n">
        <v>1.1411</v>
      </c>
      <c r="EY100" s="0" t="n">
        <v>0.8413</v>
      </c>
      <c r="EZ100" s="0" t="n">
        <v>1.5384</v>
      </c>
      <c r="FA100" s="0" t="n">
        <v>1.1676</v>
      </c>
      <c r="FB100" s="0" t="n">
        <v>0.8624</v>
      </c>
      <c r="FC100" s="0" t="n">
        <v>0.317</v>
      </c>
      <c r="FD100" s="0" t="n">
        <v>0.7481</v>
      </c>
      <c r="FE100" s="0" t="n">
        <v>0.6678</v>
      </c>
      <c r="FF100" s="0" t="n">
        <v>0.3368</v>
      </c>
      <c r="FG100" s="0" t="n">
        <v>0.2844</v>
      </c>
      <c r="FH100" s="0" t="n">
        <v>0.3314</v>
      </c>
      <c r="FI100" s="0" t="n">
        <v>1.2498</v>
      </c>
      <c r="FJ100" s="0" t="n">
        <v>0.5898</v>
      </c>
      <c r="FK100" s="0" t="n">
        <v>0.3314</v>
      </c>
      <c r="FL100" s="0" t="n">
        <v>0.3054</v>
      </c>
      <c r="FM100" s="0" t="n">
        <v>0.0878</v>
      </c>
      <c r="FN100" s="0" t="n">
        <v>0.2521</v>
      </c>
      <c r="FO100" s="0" t="n">
        <v>0.2062</v>
      </c>
      <c r="FP100" s="0" t="n">
        <v>1.1262</v>
      </c>
    </row>
    <row r="101" customFormat="false" ht="13.8" hidden="false" customHeight="false" outlineLevel="0" collapsed="false">
      <c r="A101" s="2" t="s">
        <v>364</v>
      </c>
      <c r="B101" s="0" t="s">
        <v>176</v>
      </c>
      <c r="C101" s="0" t="n">
        <v>373</v>
      </c>
      <c r="D101" s="0" t="s">
        <v>365</v>
      </c>
      <c r="G101" s="0" t="n">
        <v>3568.4652</v>
      </c>
      <c r="H101" s="0" t="n">
        <v>274.5623</v>
      </c>
      <c r="I101" s="0" t="n">
        <v>862.563</v>
      </c>
      <c r="J101" s="0" t="n">
        <v>0.76018</v>
      </c>
      <c r="K101" s="0" t="n">
        <v>0</v>
      </c>
      <c r="L101" s="0" t="n">
        <v>237.5689</v>
      </c>
      <c r="M101" s="0" t="n">
        <v>206.5652</v>
      </c>
      <c r="N101" s="0" t="n">
        <v>325.2805</v>
      </c>
      <c r="O101" s="0" t="n">
        <v>276.6555</v>
      </c>
      <c r="P101" s="0" t="n">
        <v>216.6102</v>
      </c>
      <c r="Q101" s="0" t="n">
        <v>169.9514</v>
      </c>
      <c r="R101" s="0" t="n">
        <v>181.3871</v>
      </c>
      <c r="S101" s="0" t="n">
        <v>106.231</v>
      </c>
      <c r="T101" s="0" t="n">
        <v>93.2219</v>
      </c>
      <c r="U101" s="0" t="n">
        <v>87.3814</v>
      </c>
      <c r="V101" s="0" t="n">
        <v>79.9159</v>
      </c>
      <c r="W101" s="0" t="n">
        <v>76.9563</v>
      </c>
      <c r="X101" s="0" t="n">
        <v>88.9415</v>
      </c>
      <c r="Y101" s="0" t="n">
        <v>69.5723</v>
      </c>
      <c r="Z101" s="0" t="n">
        <v>60.241</v>
      </c>
      <c r="AA101" s="0" t="n">
        <v>60.2843</v>
      </c>
      <c r="AB101" s="0" t="n">
        <v>51.4081</v>
      </c>
      <c r="AC101" s="0" t="n">
        <v>43.5691</v>
      </c>
      <c r="AD101" s="0" t="n">
        <v>47.8789</v>
      </c>
      <c r="AE101" s="0" t="n">
        <v>46.9845</v>
      </c>
      <c r="AF101" s="0" t="n">
        <v>58.0872</v>
      </c>
      <c r="AG101" s="0" t="n">
        <v>58.5259</v>
      </c>
      <c r="AH101" s="0" t="n">
        <v>55.9706</v>
      </c>
      <c r="AI101" s="0" t="n">
        <v>51.2084</v>
      </c>
      <c r="AJ101" s="0" t="n">
        <v>49.8271</v>
      </c>
      <c r="AK101" s="0" t="n">
        <v>56.1951</v>
      </c>
      <c r="AL101" s="0" t="n">
        <v>49.5847</v>
      </c>
      <c r="AM101" s="0" t="n">
        <v>50.2276</v>
      </c>
      <c r="AN101" s="0" t="n">
        <v>46.5681</v>
      </c>
      <c r="AO101" s="0" t="n">
        <v>50.595</v>
      </c>
      <c r="AP101" s="0" t="n">
        <v>47.6636</v>
      </c>
      <c r="AQ101" s="0" t="n">
        <v>49.3999</v>
      </c>
      <c r="AR101" s="0" t="n">
        <v>47.7941</v>
      </c>
      <c r="AS101" s="0" t="n">
        <v>48.2804</v>
      </c>
      <c r="AT101" s="0" t="n">
        <v>47.771</v>
      </c>
      <c r="AU101" s="0" t="n">
        <v>36.9844</v>
      </c>
      <c r="AV101" s="0" t="n">
        <v>32.6888</v>
      </c>
      <c r="AW101" s="0" t="n">
        <v>28.6922</v>
      </c>
      <c r="AX101" s="0" t="n">
        <v>26.2628</v>
      </c>
      <c r="AY101" s="0" t="n">
        <v>22.707</v>
      </c>
      <c r="AZ101" s="0" t="n">
        <v>18.1635</v>
      </c>
      <c r="BA101" s="0" t="n">
        <v>19.3185</v>
      </c>
      <c r="BB101" s="0" t="n">
        <v>15.1283</v>
      </c>
      <c r="BC101" s="0" t="n">
        <v>14.6019</v>
      </c>
      <c r="BD101" s="0" t="n">
        <v>12.7208</v>
      </c>
      <c r="BE101" s="0" t="n">
        <v>7.4984</v>
      </c>
      <c r="BF101" s="0" t="n">
        <v>7.8265</v>
      </c>
      <c r="BG101" s="0" t="n">
        <v>4.8052</v>
      </c>
      <c r="BH101" s="0" t="n">
        <v>3.8368</v>
      </c>
      <c r="BI101" s="0" t="n">
        <v>3.233</v>
      </c>
      <c r="BJ101" s="0" t="n">
        <v>3.1692</v>
      </c>
      <c r="BK101" s="0" t="n">
        <v>1.8504</v>
      </c>
      <c r="BL101" s="0" t="n">
        <v>0.9725</v>
      </c>
      <c r="BM101" s="0" t="n">
        <v>2.1372</v>
      </c>
      <c r="BN101" s="0" t="n">
        <v>2.7211</v>
      </c>
      <c r="BO101" s="0" t="n">
        <v>1.083</v>
      </c>
      <c r="BP101" s="0" t="n">
        <v>0.9737</v>
      </c>
      <c r="BQ101" s="0" t="n">
        <v>1.0104</v>
      </c>
      <c r="BR101" s="0" t="n">
        <v>0.4759</v>
      </c>
      <c r="BS101" s="0" t="n">
        <v>0.541</v>
      </c>
      <c r="BT101" s="0" t="n">
        <v>0.9179</v>
      </c>
      <c r="BU101" s="0" t="n">
        <v>0.3015</v>
      </c>
      <c r="BV101" s="0" t="n">
        <v>0.4703</v>
      </c>
      <c r="BW101" s="0" t="n">
        <v>0.1195</v>
      </c>
      <c r="BX101" s="0" t="n">
        <v>0.2257</v>
      </c>
      <c r="BY101" s="0" t="n">
        <v>0.2859</v>
      </c>
      <c r="BZ101" s="0" t="n">
        <v>0.0159</v>
      </c>
      <c r="CA101" s="0" t="n">
        <v>0.1893</v>
      </c>
      <c r="CB101" s="0" t="n">
        <v>0.0069</v>
      </c>
      <c r="CC101" s="0" t="n">
        <v>0.0064</v>
      </c>
      <c r="CD101" s="0" t="n">
        <v>0.0069</v>
      </c>
      <c r="CE101" s="0" t="n">
        <v>0.0069</v>
      </c>
      <c r="CF101" s="0" t="n">
        <v>0.0154</v>
      </c>
      <c r="CG101" s="0" t="n">
        <v>0.009</v>
      </c>
      <c r="CH101" s="0" t="n">
        <v>0.0133</v>
      </c>
      <c r="CI101" s="0" t="n">
        <v>0.0137</v>
      </c>
      <c r="CJ101" s="0" t="n">
        <v>0.1191</v>
      </c>
      <c r="CK101" s="0" t="n">
        <v>0.0133</v>
      </c>
      <c r="CL101" s="0" t="n">
        <v>0.0132</v>
      </c>
      <c r="CM101" s="0" t="n">
        <v>0.8551</v>
      </c>
      <c r="CN101" s="0" t="n">
        <v>0</v>
      </c>
      <c r="CO101" s="0" t="n">
        <v>6.2625</v>
      </c>
      <c r="CP101" s="0" t="n">
        <v>8.0286</v>
      </c>
      <c r="CQ101" s="0" t="n">
        <v>17.9494</v>
      </c>
      <c r="CR101" s="0" t="n">
        <v>19.2361</v>
      </c>
      <c r="CS101" s="0" t="n">
        <v>18.6724</v>
      </c>
      <c r="CT101" s="0" t="n">
        <v>17.3357</v>
      </c>
      <c r="CU101" s="0" t="n">
        <v>21.4082</v>
      </c>
      <c r="CV101" s="0" t="n">
        <v>14.1828</v>
      </c>
      <c r="CW101" s="0" t="n">
        <v>13.87</v>
      </c>
      <c r="CX101" s="0" t="n">
        <v>14.3842</v>
      </c>
      <c r="CY101" s="0" t="n">
        <v>14.4764</v>
      </c>
      <c r="CZ101" s="0" t="n">
        <v>15.097</v>
      </c>
      <c r="DA101" s="0" t="n">
        <v>18.8217</v>
      </c>
      <c r="DB101" s="0" t="n">
        <v>15.8426</v>
      </c>
      <c r="DC101" s="0" t="n">
        <v>14.6813</v>
      </c>
      <c r="DD101" s="0" t="n">
        <v>15.6041</v>
      </c>
      <c r="DE101" s="0" t="n">
        <v>14.1355</v>
      </c>
      <c r="DF101" s="0" t="n">
        <v>12.6835</v>
      </c>
      <c r="DG101" s="0" t="n">
        <v>14.6719</v>
      </c>
      <c r="DH101" s="0" t="n">
        <v>15.145</v>
      </c>
      <c r="DI101" s="0" t="n">
        <v>19.6316</v>
      </c>
      <c r="DJ101" s="0" t="n">
        <v>20.6667</v>
      </c>
      <c r="DK101" s="0" t="n">
        <v>20.6777</v>
      </c>
      <c r="DL101" s="0" t="n">
        <v>19.7283</v>
      </c>
      <c r="DM101" s="0" t="n">
        <v>19.9424</v>
      </c>
      <c r="DN101" s="0" t="n">
        <v>23.3832</v>
      </c>
      <c r="DO101" s="0" t="n">
        <v>21.4646</v>
      </c>
      <c r="DP101" s="0" t="n">
        <v>22.4962</v>
      </c>
      <c r="DQ101" s="0" t="n">
        <v>21.5643</v>
      </c>
      <c r="DR101" s="0" t="n">
        <v>24.2325</v>
      </c>
      <c r="DS101" s="0" t="n">
        <v>23.5997</v>
      </c>
      <c r="DT101" s="0" t="n">
        <v>25.2358</v>
      </c>
      <c r="DU101" s="0" t="n">
        <v>25.1491</v>
      </c>
      <c r="DV101" s="0" t="n">
        <v>26.1291</v>
      </c>
      <c r="DW101" s="0" t="n">
        <v>26.6302</v>
      </c>
      <c r="DX101" s="0" t="n">
        <v>21.2414</v>
      </c>
      <c r="DY101" s="0" t="n">
        <v>19.2472</v>
      </c>
      <c r="DZ101" s="0" t="n">
        <v>17.3332</v>
      </c>
      <c r="EA101" s="0" t="n">
        <v>16.2982</v>
      </c>
      <c r="EB101" s="0" t="n">
        <v>14.4681</v>
      </c>
      <c r="EC101" s="0" t="n">
        <v>11.8471</v>
      </c>
      <c r="ED101" s="0" t="n">
        <v>12.8962</v>
      </c>
      <c r="EE101" s="0" t="n">
        <v>10.3291</v>
      </c>
      <c r="EF101" s="0" t="n">
        <v>10.2029</v>
      </c>
      <c r="EG101" s="0" t="n">
        <v>9.0966</v>
      </c>
      <c r="EH101" s="0" t="n">
        <v>5.4695</v>
      </c>
      <c r="EI101" s="0" t="n">
        <v>5.8398</v>
      </c>
      <c r="EJ101" s="0" t="n">
        <v>3.6538</v>
      </c>
      <c r="EK101" s="0" t="n">
        <v>2.9818</v>
      </c>
      <c r="EL101" s="0" t="n">
        <v>2.5651</v>
      </c>
      <c r="EM101" s="0" t="n">
        <v>2.562</v>
      </c>
      <c r="EN101" s="0" t="n">
        <v>1.5265</v>
      </c>
      <c r="EO101" s="0" t="n">
        <v>0.8184</v>
      </c>
      <c r="EP101" s="0" t="n">
        <v>1.8287</v>
      </c>
      <c r="EQ101" s="0" t="n">
        <v>2.3696</v>
      </c>
      <c r="ER101" s="0" t="n">
        <v>0.9604</v>
      </c>
      <c r="ES101" s="0" t="n">
        <v>0.8811</v>
      </c>
      <c r="ET101" s="0" t="n">
        <v>0.9303</v>
      </c>
      <c r="EU101" s="0" t="n">
        <v>0.4436</v>
      </c>
      <c r="EV101" s="0" t="n">
        <v>0.5138</v>
      </c>
      <c r="EW101" s="0" t="n">
        <v>0.8865</v>
      </c>
      <c r="EX101" s="0" t="n">
        <v>0.2962</v>
      </c>
      <c r="EY101" s="0" t="n">
        <v>0.4708</v>
      </c>
      <c r="EZ101" s="0" t="n">
        <v>0.1207</v>
      </c>
      <c r="FA101" s="0" t="n">
        <v>0.232</v>
      </c>
      <c r="FB101" s="0" t="n">
        <v>0.2994</v>
      </c>
      <c r="FC101" s="0" t="n">
        <v>0.0168</v>
      </c>
      <c r="FD101" s="0" t="n">
        <v>0.2035</v>
      </c>
      <c r="FE101" s="0" t="n">
        <v>0.0075</v>
      </c>
      <c r="FF101" s="0" t="n">
        <v>0.0071</v>
      </c>
      <c r="FG101" s="0" t="n">
        <v>0.0077</v>
      </c>
      <c r="FH101" s="0" t="n">
        <v>0.0079</v>
      </c>
      <c r="FI101" s="0" t="n">
        <v>0.0176</v>
      </c>
      <c r="FJ101" s="0" t="n">
        <v>0.0106</v>
      </c>
      <c r="FK101" s="0" t="n">
        <v>0.0157</v>
      </c>
      <c r="FL101" s="0" t="n">
        <v>0.0165</v>
      </c>
      <c r="FM101" s="0" t="n">
        <v>0.1451</v>
      </c>
      <c r="FN101" s="0" t="n">
        <v>0.0163</v>
      </c>
      <c r="FO101" s="0" t="n">
        <v>0.0164</v>
      </c>
      <c r="FP101" s="0" t="n">
        <v>1.2727</v>
      </c>
    </row>
    <row r="102" customFormat="false" ht="13.8" hidden="false" customHeight="false" outlineLevel="0" collapsed="false">
      <c r="A102" s="2" t="s">
        <v>366</v>
      </c>
      <c r="B102" s="0" t="s">
        <v>173</v>
      </c>
      <c r="C102" s="0" t="n">
        <v>133</v>
      </c>
      <c r="D102" s="0" t="s">
        <v>367</v>
      </c>
      <c r="F102" s="0" t="n">
        <v>2.1105</v>
      </c>
      <c r="G102" s="0" t="n">
        <v>1363.8935</v>
      </c>
      <c r="H102" s="0" t="n">
        <v>107.2178</v>
      </c>
      <c r="I102" s="0" t="n">
        <v>336.8346</v>
      </c>
      <c r="J102" s="0" t="n">
        <v>0.6975</v>
      </c>
      <c r="K102" s="0" t="n">
        <v>0</v>
      </c>
      <c r="L102" s="0" t="n">
        <v>100.5185</v>
      </c>
      <c r="M102" s="0" t="n">
        <v>134.8357</v>
      </c>
      <c r="N102" s="0" t="n">
        <v>97.5588</v>
      </c>
      <c r="O102" s="0" t="n">
        <v>0.2356</v>
      </c>
      <c r="P102" s="0" t="n">
        <v>89.3292</v>
      </c>
      <c r="Q102" s="0" t="n">
        <v>37.6583</v>
      </c>
      <c r="R102" s="0" t="n">
        <v>67.5916</v>
      </c>
      <c r="S102" s="0" t="n">
        <v>48.2525</v>
      </c>
      <c r="T102" s="0" t="n">
        <v>11.0455</v>
      </c>
      <c r="U102" s="0" t="n">
        <v>63.135</v>
      </c>
      <c r="V102" s="0" t="n">
        <v>65.2583</v>
      </c>
      <c r="W102" s="0" t="n">
        <v>47.4342</v>
      </c>
      <c r="X102" s="0" t="n">
        <v>48.3403</v>
      </c>
      <c r="Y102" s="0" t="n">
        <v>37.711</v>
      </c>
      <c r="Z102" s="0" t="n">
        <v>28.2399</v>
      </c>
      <c r="AA102" s="0" t="n">
        <v>18.1209</v>
      </c>
      <c r="AB102" s="0" t="n">
        <v>28.5301</v>
      </c>
      <c r="AC102" s="0" t="n">
        <v>9.4062</v>
      </c>
      <c r="AD102" s="0" t="n">
        <v>30.7314</v>
      </c>
      <c r="AE102" s="0" t="n">
        <v>21.1401</v>
      </c>
      <c r="AF102" s="0" t="n">
        <v>31.5653</v>
      </c>
      <c r="AG102" s="0" t="n">
        <v>10.2455</v>
      </c>
      <c r="AH102" s="0" t="n">
        <v>22.5382</v>
      </c>
      <c r="AI102" s="0" t="n">
        <v>23.5587</v>
      </c>
      <c r="AJ102" s="0" t="n">
        <v>4.3991</v>
      </c>
      <c r="AK102" s="0" t="n">
        <v>23.1075</v>
      </c>
      <c r="AL102" s="0" t="n">
        <v>18.8272</v>
      </c>
      <c r="AM102" s="0" t="n">
        <v>12.5082</v>
      </c>
      <c r="AN102" s="0" t="n">
        <v>11.3825</v>
      </c>
      <c r="AO102" s="0" t="n">
        <v>29.664</v>
      </c>
      <c r="AP102" s="0" t="n">
        <v>16.0228</v>
      </c>
      <c r="AQ102" s="0" t="n">
        <v>27.484</v>
      </c>
      <c r="AR102" s="0" t="n">
        <v>21.942</v>
      </c>
      <c r="AS102" s="0" t="n">
        <v>14.9787</v>
      </c>
      <c r="AT102" s="0" t="n">
        <v>24.2993</v>
      </c>
      <c r="AU102" s="0" t="n">
        <v>20.199</v>
      </c>
      <c r="AV102" s="0" t="n">
        <v>0.9777</v>
      </c>
      <c r="AW102" s="0" t="n">
        <v>15.1407</v>
      </c>
      <c r="AX102" s="0" t="n">
        <v>13.0539</v>
      </c>
      <c r="AY102" s="0" t="n">
        <v>7.3415</v>
      </c>
      <c r="AZ102" s="0" t="n">
        <v>6.2812</v>
      </c>
      <c r="BA102" s="0" t="n">
        <v>4.6902</v>
      </c>
      <c r="BB102" s="0" t="n">
        <v>4.4973</v>
      </c>
      <c r="BC102" s="0" t="n">
        <v>2.023</v>
      </c>
      <c r="BD102" s="0" t="n">
        <v>1.4201</v>
      </c>
      <c r="BE102" s="0" t="n">
        <v>3.6025</v>
      </c>
      <c r="BF102" s="0" t="n">
        <v>0.2809</v>
      </c>
      <c r="BG102" s="0" t="n">
        <v>2.2468</v>
      </c>
      <c r="BH102" s="0" t="n">
        <v>0.3365</v>
      </c>
      <c r="BI102" s="0" t="n">
        <v>0.3039</v>
      </c>
      <c r="BJ102" s="0" t="n">
        <v>1.0976</v>
      </c>
      <c r="BK102" s="0" t="n">
        <v>0.647</v>
      </c>
      <c r="BL102" s="0" t="n">
        <v>0.1596</v>
      </c>
      <c r="BM102" s="0" t="n">
        <v>0.1089</v>
      </c>
      <c r="BN102" s="0" t="n">
        <v>0.7887</v>
      </c>
      <c r="BO102" s="0" t="n">
        <v>0.0069</v>
      </c>
      <c r="BP102" s="0" t="n">
        <v>0.2792</v>
      </c>
      <c r="BQ102" s="0" t="n">
        <v>0</v>
      </c>
      <c r="BR102" s="0" t="n">
        <v>0.0836</v>
      </c>
      <c r="BS102" s="0" t="n">
        <v>0</v>
      </c>
      <c r="BT102" s="0" t="n">
        <v>0</v>
      </c>
      <c r="BU102" s="0" t="n">
        <v>0</v>
      </c>
      <c r="BV102" s="0" t="n">
        <v>0.0772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0.0338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2.1362</v>
      </c>
      <c r="CP102" s="0" t="n">
        <v>5.7102</v>
      </c>
      <c r="CQ102" s="0" t="n">
        <v>5.9513</v>
      </c>
      <c r="CR102" s="0" t="n">
        <v>0.0163</v>
      </c>
      <c r="CS102" s="0" t="n">
        <v>7.4054</v>
      </c>
      <c r="CT102" s="0" t="n">
        <v>3.8218</v>
      </c>
      <c r="CU102" s="0" t="n">
        <v>7.9163</v>
      </c>
      <c r="CV102" s="0" t="n">
        <v>6.7015</v>
      </c>
      <c r="CW102" s="0" t="n">
        <v>1.5971</v>
      </c>
      <c r="CX102" s="0" t="n">
        <v>10.2653</v>
      </c>
      <c r="CY102" s="0" t="n">
        <v>11.936</v>
      </c>
      <c r="CZ102" s="0" t="n">
        <v>9.4243</v>
      </c>
      <c r="DA102" s="0" t="n">
        <v>10.1611</v>
      </c>
      <c r="DB102" s="0" t="n">
        <v>8.5769</v>
      </c>
      <c r="DC102" s="0" t="n">
        <v>6.9265</v>
      </c>
      <c r="DD102" s="0" t="n">
        <v>4.63</v>
      </c>
      <c r="DE102" s="0" t="n">
        <v>7.8205</v>
      </c>
      <c r="DF102" s="0" t="n">
        <v>2.72</v>
      </c>
      <c r="DG102" s="0" t="n">
        <v>9.3601</v>
      </c>
      <c r="DH102" s="0" t="n">
        <v>6.7997</v>
      </c>
      <c r="DI102" s="0" t="n">
        <v>10.7606</v>
      </c>
      <c r="DJ102" s="0" t="n">
        <v>3.6297</v>
      </c>
      <c r="DK102" s="0" t="n">
        <v>8.3183</v>
      </c>
      <c r="DL102" s="0" t="n">
        <v>9.1699</v>
      </c>
      <c r="DM102" s="0" t="n">
        <v>1.7491</v>
      </c>
      <c r="DN102" s="0" t="n">
        <v>9.5998</v>
      </c>
      <c r="DO102" s="0" t="n">
        <v>8.2045</v>
      </c>
      <c r="DP102" s="0" t="n">
        <v>5.6777</v>
      </c>
      <c r="DQ102" s="0" t="n">
        <v>5.2366</v>
      </c>
      <c r="DR102" s="0" t="n">
        <v>14.1966</v>
      </c>
      <c r="DS102" s="0" t="n">
        <v>7.9545</v>
      </c>
      <c r="DT102" s="0" t="n">
        <v>14.0518</v>
      </c>
      <c r="DU102" s="0" t="n">
        <v>11.5926</v>
      </c>
      <c r="DV102" s="0" t="n">
        <v>8.0478</v>
      </c>
      <c r="DW102" s="0" t="n">
        <v>13.5144</v>
      </c>
      <c r="DX102" s="0" t="n">
        <v>11.6579</v>
      </c>
      <c r="DY102" s="0" t="n">
        <v>0.5793</v>
      </c>
      <c r="DZ102" s="0" t="n">
        <v>9.0665</v>
      </c>
      <c r="EA102" s="0" t="n">
        <v>8.093</v>
      </c>
      <c r="EB102" s="0" t="n">
        <v>4.6938</v>
      </c>
      <c r="EC102" s="0" t="n">
        <v>4.079</v>
      </c>
      <c r="ED102" s="0" t="n">
        <v>3.1169</v>
      </c>
      <c r="EE102" s="0" t="n">
        <v>3.0804</v>
      </c>
      <c r="EF102" s="0" t="n">
        <v>1.4195</v>
      </c>
      <c r="EG102" s="0" t="n">
        <v>1.0176</v>
      </c>
      <c r="EH102" s="0" t="n">
        <v>2.6298</v>
      </c>
      <c r="EI102" s="0" t="n">
        <v>0.2089</v>
      </c>
      <c r="EJ102" s="0" t="n">
        <v>1.7093</v>
      </c>
      <c r="EK102" s="0" t="n">
        <v>0.2628</v>
      </c>
      <c r="EL102" s="0" t="n">
        <v>0.2401</v>
      </c>
      <c r="EM102" s="0" t="n">
        <v>0.8849</v>
      </c>
      <c r="EN102" s="0" t="n">
        <v>0.5348</v>
      </c>
      <c r="EO102" s="0" t="n">
        <v>0.1345</v>
      </c>
      <c r="EP102" s="0" t="n">
        <v>0.0928</v>
      </c>
      <c r="EQ102" s="0" t="n">
        <v>0.6897</v>
      </c>
      <c r="ER102" s="0" t="n">
        <v>0.0061</v>
      </c>
      <c r="ES102" s="0" t="n">
        <v>0.2508</v>
      </c>
      <c r="ET102" s="0" t="n">
        <v>0</v>
      </c>
      <c r="EU102" s="0" t="n">
        <v>0.0777</v>
      </c>
      <c r="EV102" s="0" t="n">
        <v>0</v>
      </c>
      <c r="EW102" s="0" t="n">
        <v>0</v>
      </c>
      <c r="EX102" s="0" t="n">
        <v>0</v>
      </c>
      <c r="EY102" s="0" t="n">
        <v>0.0766</v>
      </c>
      <c r="EZ102" s="0" t="n">
        <v>0</v>
      </c>
      <c r="FA102" s="0" t="n">
        <v>0</v>
      </c>
      <c r="FB102" s="0" t="n">
        <v>0</v>
      </c>
      <c r="FC102" s="0" t="n">
        <v>0</v>
      </c>
      <c r="FD102" s="0" t="n">
        <v>0</v>
      </c>
      <c r="FE102" s="0" t="n">
        <v>0.0371</v>
      </c>
      <c r="FF102" s="0" t="n">
        <v>0</v>
      </c>
      <c r="FG102" s="0" t="n">
        <v>0</v>
      </c>
      <c r="FH102" s="0" t="n">
        <v>0</v>
      </c>
      <c r="FI102" s="0" t="n">
        <v>0</v>
      </c>
      <c r="FJ102" s="0" t="n">
        <v>0</v>
      </c>
      <c r="FK102" s="0" t="n">
        <v>0</v>
      </c>
      <c r="FL102" s="0" t="n">
        <v>0</v>
      </c>
      <c r="FM102" s="0" t="n">
        <v>0</v>
      </c>
      <c r="FN102" s="0" t="n">
        <v>0</v>
      </c>
      <c r="FO102" s="0" t="n">
        <v>0</v>
      </c>
      <c r="FP102" s="0" t="n">
        <v>0</v>
      </c>
    </row>
    <row r="103" customFormat="false" ht="13.8" hidden="false" customHeight="false" outlineLevel="0" collapsed="false">
      <c r="A103" s="2" t="s">
        <v>368</v>
      </c>
      <c r="B103" s="0" t="s">
        <v>176</v>
      </c>
      <c r="C103" s="0" t="n">
        <v>212</v>
      </c>
      <c r="D103" s="0" t="s">
        <v>369</v>
      </c>
      <c r="F103" s="0" t="n">
        <v>9.4545</v>
      </c>
      <c r="G103" s="0" t="n">
        <v>4749.3025</v>
      </c>
      <c r="H103" s="0" t="n">
        <v>408.1274</v>
      </c>
      <c r="I103" s="0" t="n">
        <v>1282.1701</v>
      </c>
      <c r="J103" s="0" t="n">
        <v>0.7988</v>
      </c>
      <c r="K103" s="0" t="n">
        <v>0</v>
      </c>
      <c r="L103" s="0" t="n">
        <v>348.3849</v>
      </c>
      <c r="M103" s="0" t="n">
        <v>443.6433</v>
      </c>
      <c r="N103" s="0" t="n">
        <v>330.7315</v>
      </c>
      <c r="O103" s="0" t="n">
        <v>1.0088</v>
      </c>
      <c r="P103" s="0" t="n">
        <v>361.024</v>
      </c>
      <c r="Q103" s="0" t="n">
        <v>162.3841</v>
      </c>
      <c r="R103" s="0" t="n">
        <v>245.0483</v>
      </c>
      <c r="S103" s="0" t="n">
        <v>154.0406</v>
      </c>
      <c r="T103" s="0" t="n">
        <v>30.537</v>
      </c>
      <c r="U103" s="0" t="n">
        <v>155.6235</v>
      </c>
      <c r="V103" s="0" t="n">
        <v>132.1291</v>
      </c>
      <c r="W103" s="0" t="n">
        <v>74.44</v>
      </c>
      <c r="X103" s="0" t="n">
        <v>103.2477</v>
      </c>
      <c r="Y103" s="0" t="n">
        <v>88.4324</v>
      </c>
      <c r="Z103" s="0" t="n">
        <v>91.2101</v>
      </c>
      <c r="AA103" s="0" t="n">
        <v>58.2391</v>
      </c>
      <c r="AB103" s="0" t="n">
        <v>112.9292</v>
      </c>
      <c r="AC103" s="0" t="n">
        <v>43.459</v>
      </c>
      <c r="AD103" s="0" t="n">
        <v>117.464</v>
      </c>
      <c r="AE103" s="0" t="n">
        <v>64.9597</v>
      </c>
      <c r="AF103" s="0" t="n">
        <v>128.9328</v>
      </c>
      <c r="AG103" s="0" t="n">
        <v>58.6717</v>
      </c>
      <c r="AH103" s="0" t="n">
        <v>80.137</v>
      </c>
      <c r="AI103" s="0" t="n">
        <v>100.9453</v>
      </c>
      <c r="AJ103" s="0" t="n">
        <v>22.775</v>
      </c>
      <c r="AK103" s="0" t="n">
        <v>110.9899</v>
      </c>
      <c r="AL103" s="0" t="n">
        <v>109.149</v>
      </c>
      <c r="AM103" s="0" t="n">
        <v>65.2711</v>
      </c>
      <c r="AN103" s="0" t="n">
        <v>44.6279</v>
      </c>
      <c r="AO103" s="0" t="n">
        <v>115.1542</v>
      </c>
      <c r="AP103" s="0" t="n">
        <v>79.8893</v>
      </c>
      <c r="AQ103" s="0" t="n">
        <v>96.1819</v>
      </c>
      <c r="AR103" s="0" t="n">
        <v>62.0153</v>
      </c>
      <c r="AS103" s="0" t="n">
        <v>69.5828</v>
      </c>
      <c r="AT103" s="0" t="n">
        <v>87.6602</v>
      </c>
      <c r="AU103" s="0" t="n">
        <v>77.835</v>
      </c>
      <c r="AV103" s="0" t="n">
        <v>7.0296</v>
      </c>
      <c r="AW103" s="0" t="n">
        <v>64.5297</v>
      </c>
      <c r="AX103" s="0" t="n">
        <v>58.3599</v>
      </c>
      <c r="AY103" s="0" t="n">
        <v>30.8797</v>
      </c>
      <c r="AZ103" s="0" t="n">
        <v>24.5136</v>
      </c>
      <c r="BA103" s="0" t="n">
        <v>18.4227</v>
      </c>
      <c r="BB103" s="0" t="n">
        <v>26.0409</v>
      </c>
      <c r="BC103" s="0" t="n">
        <v>18.6852</v>
      </c>
      <c r="BD103" s="0" t="n">
        <v>10.4734</v>
      </c>
      <c r="BE103" s="0" t="n">
        <v>14.69</v>
      </c>
      <c r="BF103" s="0" t="n">
        <v>4.6043</v>
      </c>
      <c r="BG103" s="0" t="n">
        <v>10.2326</v>
      </c>
      <c r="BH103" s="0" t="n">
        <v>5.783</v>
      </c>
      <c r="BI103" s="0" t="n">
        <v>1.4927</v>
      </c>
      <c r="BJ103" s="0" t="n">
        <v>3.0464</v>
      </c>
      <c r="BK103" s="0" t="n">
        <v>4.7689</v>
      </c>
      <c r="BL103" s="0" t="n">
        <v>3.2143</v>
      </c>
      <c r="BM103" s="0" t="n">
        <v>1.9883</v>
      </c>
      <c r="BN103" s="0" t="n">
        <v>2.2229</v>
      </c>
      <c r="BO103" s="0" t="n">
        <v>0.8341</v>
      </c>
      <c r="BP103" s="0" t="n">
        <v>1.2324</v>
      </c>
      <c r="BQ103" s="0" t="n">
        <v>1.0526</v>
      </c>
      <c r="BR103" s="0" t="n">
        <v>0.8399</v>
      </c>
      <c r="BS103" s="0" t="n">
        <v>0.8347</v>
      </c>
      <c r="BT103" s="0" t="n">
        <v>0.8883</v>
      </c>
      <c r="BU103" s="0" t="n">
        <v>0.1687</v>
      </c>
      <c r="BV103" s="0" t="n">
        <v>0.258</v>
      </c>
      <c r="BW103" s="0" t="n">
        <v>0.4538</v>
      </c>
      <c r="BX103" s="0" t="n">
        <v>0.2215</v>
      </c>
      <c r="BY103" s="0" t="n">
        <v>0.0243</v>
      </c>
      <c r="BZ103" s="0" t="n">
        <v>0.1353</v>
      </c>
      <c r="CA103" s="0" t="n">
        <v>0.3885</v>
      </c>
      <c r="CB103" s="0" t="n">
        <v>0.0587</v>
      </c>
      <c r="CC103" s="0" t="n">
        <v>0.1359</v>
      </c>
      <c r="CD103" s="0" t="n">
        <v>0</v>
      </c>
      <c r="CE103" s="0" t="n">
        <v>0</v>
      </c>
      <c r="CF103" s="0" t="n">
        <v>0.0275</v>
      </c>
      <c r="CG103" s="0" t="n">
        <v>0.1834</v>
      </c>
      <c r="CH103" s="0" t="n">
        <v>0.174</v>
      </c>
      <c r="CI103" s="0" t="n">
        <v>0.1512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7.4682</v>
      </c>
      <c r="CP103" s="0" t="n">
        <v>18.8637</v>
      </c>
      <c r="CQ103" s="0" t="n">
        <v>20.2103</v>
      </c>
      <c r="CR103" s="0" t="n">
        <v>0.0697</v>
      </c>
      <c r="CS103" s="0" t="n">
        <v>30.1415</v>
      </c>
      <c r="CT103" s="0" t="n">
        <v>16.492</v>
      </c>
      <c r="CU103" s="0" t="n">
        <v>28.6933</v>
      </c>
      <c r="CV103" s="0" t="n">
        <v>21.3896</v>
      </c>
      <c r="CW103" s="0" t="n">
        <v>4.4152</v>
      </c>
      <c r="CX103" s="0" t="n">
        <v>25.27</v>
      </c>
      <c r="CY103" s="0" t="n">
        <v>24.1425</v>
      </c>
      <c r="CZ103" s="0" t="n">
        <v>14.7717</v>
      </c>
      <c r="DA103" s="0" t="n">
        <v>21.7536</v>
      </c>
      <c r="DB103" s="0" t="n">
        <v>20.1064</v>
      </c>
      <c r="DC103" s="0" t="n">
        <v>22.3616</v>
      </c>
      <c r="DD103" s="0" t="n">
        <v>14.9105</v>
      </c>
      <c r="DE103" s="0" t="n">
        <v>30.9192</v>
      </c>
      <c r="DF103" s="0" t="n">
        <v>12.5671</v>
      </c>
      <c r="DG103" s="0" t="n">
        <v>35.7371</v>
      </c>
      <c r="DH103" s="0" t="n">
        <v>20.8649</v>
      </c>
      <c r="DI103" s="0" t="n">
        <v>43.7561</v>
      </c>
      <c r="DJ103" s="0" t="n">
        <v>20.8173</v>
      </c>
      <c r="DK103" s="0" t="n">
        <v>29.6082</v>
      </c>
      <c r="DL103" s="0" t="n">
        <v>39.2978</v>
      </c>
      <c r="DM103" s="0" t="n">
        <v>9.0727</v>
      </c>
      <c r="DN103" s="0" t="n">
        <v>46.1194</v>
      </c>
      <c r="DO103" s="0" t="n">
        <v>47.5878</v>
      </c>
      <c r="DP103" s="0" t="n">
        <v>29.6315</v>
      </c>
      <c r="DQ103" s="0" t="n">
        <v>20.5229</v>
      </c>
      <c r="DR103" s="0" t="n">
        <v>55.0583</v>
      </c>
      <c r="DS103" s="0" t="n">
        <v>39.6696</v>
      </c>
      <c r="DT103" s="0" t="n">
        <v>49.2602</v>
      </c>
      <c r="DU103" s="0" t="n">
        <v>32.6431</v>
      </c>
      <c r="DV103" s="0" t="n">
        <v>37.3887</v>
      </c>
      <c r="DW103" s="0" t="n">
        <v>48.7705</v>
      </c>
      <c r="DX103" s="0" t="n">
        <v>44.9297</v>
      </c>
      <c r="DY103" s="0" t="n">
        <v>4.1652</v>
      </c>
      <c r="DZ103" s="0" t="n">
        <v>38.6419</v>
      </c>
      <c r="EA103" s="0" t="n">
        <v>36.1653</v>
      </c>
      <c r="EB103" s="0" t="n">
        <v>19.7415</v>
      </c>
      <c r="EC103" s="0" t="n">
        <v>15.9586</v>
      </c>
      <c r="ED103" s="0" t="n">
        <v>12.2308</v>
      </c>
      <c r="EE103" s="0" t="n">
        <v>17.7513</v>
      </c>
      <c r="EF103" s="0" t="n">
        <v>13.0957</v>
      </c>
      <c r="EG103" s="0" t="n">
        <v>7.5065</v>
      </c>
      <c r="EH103" s="0" t="n">
        <v>10.7434</v>
      </c>
      <c r="EI103" s="0" t="n">
        <v>3.4238</v>
      </c>
      <c r="EJ103" s="0" t="n">
        <v>7.7842</v>
      </c>
      <c r="EK103" s="0" t="n">
        <v>4.5245</v>
      </c>
      <c r="EL103" s="0" t="n">
        <v>1.1874</v>
      </c>
      <c r="EM103" s="0" t="n">
        <v>2.4551</v>
      </c>
      <c r="EN103" s="0" t="n">
        <v>3.9323</v>
      </c>
      <c r="EO103" s="0" t="n">
        <v>2.7152</v>
      </c>
      <c r="EP103" s="0" t="n">
        <v>1.7004</v>
      </c>
      <c r="EQ103" s="0" t="n">
        <v>1.9384</v>
      </c>
      <c r="ER103" s="0" t="n">
        <v>0.7407</v>
      </c>
      <c r="ES103" s="0" t="n">
        <v>1.1135</v>
      </c>
      <c r="ET103" s="0" t="n">
        <v>0.9691</v>
      </c>
      <c r="EU103" s="0" t="n">
        <v>0.7819</v>
      </c>
      <c r="EV103" s="0" t="n">
        <v>0.7918</v>
      </c>
      <c r="EW103" s="0" t="n">
        <v>0.9494</v>
      </c>
      <c r="EX103" s="0" t="n">
        <v>0.1651</v>
      </c>
      <c r="EY103" s="0" t="n">
        <v>0.2559</v>
      </c>
      <c r="EZ103" s="0" t="n">
        <v>0.4604</v>
      </c>
      <c r="FA103" s="0" t="n">
        <v>0.2289</v>
      </c>
      <c r="FB103" s="0" t="n">
        <v>0.0254</v>
      </c>
      <c r="FC103" s="0" t="n">
        <v>0.1433</v>
      </c>
      <c r="FD103" s="0" t="n">
        <v>0.4176</v>
      </c>
      <c r="FE103" s="0" t="n">
        <v>0.0643</v>
      </c>
      <c r="FF103" s="0" t="n">
        <v>0.1498</v>
      </c>
      <c r="FG103" s="0" t="n">
        <v>0</v>
      </c>
      <c r="FH103" s="0" t="n">
        <v>0</v>
      </c>
      <c r="FI103" s="0" t="n">
        <v>0.0318</v>
      </c>
      <c r="FJ103" s="0" t="n">
        <v>0.2155</v>
      </c>
      <c r="FK103" s="0" t="n">
        <v>0.2061</v>
      </c>
      <c r="FL103" s="0" t="n">
        <v>0.181</v>
      </c>
      <c r="FM103" s="0" t="n">
        <v>0</v>
      </c>
      <c r="FN103" s="0" t="n">
        <v>0</v>
      </c>
      <c r="FO103" s="0" t="n">
        <v>0</v>
      </c>
      <c r="FP103" s="0" t="n">
        <v>0</v>
      </c>
    </row>
    <row r="104" customFormat="false" ht="13.8" hidden="false" customHeight="false" outlineLevel="0" collapsed="false">
      <c r="A104" s="2" t="s">
        <v>370</v>
      </c>
      <c r="B104" s="0" t="s">
        <v>176</v>
      </c>
      <c r="C104" s="0" t="n">
        <v>356</v>
      </c>
      <c r="D104" s="0" t="s">
        <v>371</v>
      </c>
      <c r="E104" s="0" t="e">
        <f aca="false">VLOOKUP(A104,[1]RHIZOMES!$A$1:$B$1048576,2,0)</f>
        <v>#N/A</v>
      </c>
      <c r="F104" s="0" t="e">
        <f aca="false">VLOOKUP(A104,[1]ROOT!$A$1:$C$1048576,3,0)</f>
        <v>#N/A</v>
      </c>
      <c r="G104" s="0" t="n">
        <v>3052.8321</v>
      </c>
      <c r="H104" s="0" t="n">
        <v>223.1275</v>
      </c>
      <c r="I104" s="0" t="n">
        <v>700.9757</v>
      </c>
      <c r="J104" s="0" t="n">
        <v>0.732833333333333</v>
      </c>
      <c r="K104" s="0" t="n">
        <v>0</v>
      </c>
      <c r="L104" s="0" t="n">
        <v>272.055</v>
      </c>
      <c r="M104" s="0" t="n">
        <v>318.4807</v>
      </c>
      <c r="N104" s="0" t="n">
        <v>249.436</v>
      </c>
      <c r="O104" s="0" t="n">
        <v>0.3627</v>
      </c>
      <c r="P104" s="0" t="n">
        <v>271.8977</v>
      </c>
      <c r="Q104" s="0" t="n">
        <v>119.6837</v>
      </c>
      <c r="R104" s="0" t="n">
        <v>182.4082</v>
      </c>
      <c r="S104" s="0" t="n">
        <v>108.961</v>
      </c>
      <c r="T104" s="0" t="n">
        <v>18.3426</v>
      </c>
      <c r="U104" s="0" t="n">
        <v>110.976</v>
      </c>
      <c r="V104" s="0" t="n">
        <v>91.8733</v>
      </c>
      <c r="W104" s="0" t="n">
        <v>62.3541</v>
      </c>
      <c r="X104" s="0" t="n">
        <v>76.1341</v>
      </c>
      <c r="Y104" s="0" t="n">
        <v>61.581</v>
      </c>
      <c r="Z104" s="0" t="n">
        <v>66.715</v>
      </c>
      <c r="AA104" s="0" t="n">
        <v>40.4575</v>
      </c>
      <c r="AB104" s="0" t="n">
        <v>68.4501</v>
      </c>
      <c r="AC104" s="0" t="n">
        <v>28.2957</v>
      </c>
      <c r="AD104" s="0" t="n">
        <v>70.8403</v>
      </c>
      <c r="AE104" s="0" t="n">
        <v>32.3801</v>
      </c>
      <c r="AF104" s="0" t="n">
        <v>69.4691</v>
      </c>
      <c r="AG104" s="0" t="n">
        <v>31.4455</v>
      </c>
      <c r="AH104" s="0" t="n">
        <v>54.876</v>
      </c>
      <c r="AI104" s="0" t="n">
        <v>62.3809</v>
      </c>
      <c r="AJ104" s="0" t="n">
        <v>15.9089</v>
      </c>
      <c r="AK104" s="0" t="n">
        <v>68.2597</v>
      </c>
      <c r="AL104" s="0" t="n">
        <v>50.0117</v>
      </c>
      <c r="AM104" s="0" t="n">
        <v>31.8266</v>
      </c>
      <c r="AN104" s="0" t="n">
        <v>27.5915</v>
      </c>
      <c r="AO104" s="0" t="n">
        <v>54.5375</v>
      </c>
      <c r="AP104" s="0" t="n">
        <v>34.5472</v>
      </c>
      <c r="AQ104" s="0" t="n">
        <v>43.4587</v>
      </c>
      <c r="AR104" s="0" t="n">
        <v>29.1131</v>
      </c>
      <c r="AS104" s="0" t="n">
        <v>30.7351</v>
      </c>
      <c r="AT104" s="0" t="n">
        <v>45.7781</v>
      </c>
      <c r="AU104" s="0" t="n">
        <v>29.0286</v>
      </c>
      <c r="AV104" s="0" t="n">
        <v>4.0243</v>
      </c>
      <c r="AW104" s="0" t="n">
        <v>23.1209</v>
      </c>
      <c r="AX104" s="0" t="n">
        <v>20.9091</v>
      </c>
      <c r="AY104" s="0" t="n">
        <v>11.2095</v>
      </c>
      <c r="AZ104" s="0" t="n">
        <v>9.6624</v>
      </c>
      <c r="BA104" s="0" t="n">
        <v>6.9764</v>
      </c>
      <c r="BB104" s="0" t="n">
        <v>6.8157</v>
      </c>
      <c r="BC104" s="0" t="n">
        <v>3.4775</v>
      </c>
      <c r="BD104" s="0" t="n">
        <v>2.5285</v>
      </c>
      <c r="BE104" s="0" t="n">
        <v>3.0503</v>
      </c>
      <c r="BF104" s="0" t="n">
        <v>0.9907</v>
      </c>
      <c r="BG104" s="0" t="n">
        <v>2.9285</v>
      </c>
      <c r="BH104" s="0" t="n">
        <v>2.2785</v>
      </c>
      <c r="BI104" s="0" t="n">
        <v>0.5521</v>
      </c>
      <c r="BJ104" s="0" t="n">
        <v>1.2321</v>
      </c>
      <c r="BK104" s="0" t="n">
        <v>1.4575</v>
      </c>
      <c r="BL104" s="0" t="n">
        <v>1.5799</v>
      </c>
      <c r="BM104" s="0" t="n">
        <v>0.2015</v>
      </c>
      <c r="BN104" s="0" t="n">
        <v>1.6594</v>
      </c>
      <c r="BO104" s="0" t="n">
        <v>0.3751</v>
      </c>
      <c r="BP104" s="0" t="n">
        <v>1.1263</v>
      </c>
      <c r="BQ104" s="0" t="n">
        <v>0.9533</v>
      </c>
      <c r="BR104" s="0" t="n">
        <v>0.6797</v>
      </c>
      <c r="BS104" s="0" t="n">
        <v>0.695</v>
      </c>
      <c r="BT104" s="0" t="n">
        <v>0.4601</v>
      </c>
      <c r="BU104" s="0" t="n">
        <v>0.1164</v>
      </c>
      <c r="BV104" s="0" t="n">
        <v>0.8145</v>
      </c>
      <c r="BW104" s="0" t="n">
        <v>0.4074</v>
      </c>
      <c r="BX104" s="0" t="n">
        <v>0.5232</v>
      </c>
      <c r="BY104" s="0" t="n">
        <v>0.1222</v>
      </c>
      <c r="BZ104" s="0" t="n">
        <v>0.9343</v>
      </c>
      <c r="CA104" s="0" t="n">
        <v>0.6251</v>
      </c>
      <c r="CB104" s="0" t="n">
        <v>0.2206</v>
      </c>
      <c r="CC104" s="0" t="n">
        <v>0.0778</v>
      </c>
      <c r="CD104" s="0" t="n">
        <v>0.8949</v>
      </c>
      <c r="CE104" s="0" t="n">
        <v>0.3053</v>
      </c>
      <c r="CF104" s="0" t="n">
        <v>0.355</v>
      </c>
      <c r="CG104" s="0" t="n">
        <v>0.8616</v>
      </c>
      <c r="CH104" s="0" t="n">
        <v>0.0191</v>
      </c>
      <c r="CI104" s="0" t="n">
        <v>0.4825</v>
      </c>
      <c r="CJ104" s="0" t="n">
        <v>0.4692</v>
      </c>
      <c r="CK104" s="0" t="n">
        <v>0.4445</v>
      </c>
      <c r="CL104" s="0" t="n">
        <v>0.0264</v>
      </c>
      <c r="CM104" s="0" t="n">
        <v>4.201</v>
      </c>
      <c r="CN104" s="0" t="n">
        <v>0</v>
      </c>
      <c r="CO104" s="0" t="n">
        <v>5.8088</v>
      </c>
      <c r="CP104" s="0" t="n">
        <v>13.5085</v>
      </c>
      <c r="CQ104" s="0" t="n">
        <v>15.2427</v>
      </c>
      <c r="CR104" s="0" t="n">
        <v>0.025</v>
      </c>
      <c r="CS104" s="0" t="n">
        <v>22.6568</v>
      </c>
      <c r="CT104" s="0" t="n">
        <v>12.1448</v>
      </c>
      <c r="CU104" s="0" t="n">
        <v>21.4401</v>
      </c>
      <c r="CV104" s="0" t="n">
        <v>15.1344</v>
      </c>
      <c r="CW104" s="0" t="n">
        <v>2.652</v>
      </c>
      <c r="CX104" s="0" t="n">
        <v>18.0375</v>
      </c>
      <c r="CY104" s="0" t="n">
        <v>16.7896</v>
      </c>
      <c r="CZ104" s="0" t="n">
        <v>12.373</v>
      </c>
      <c r="DA104" s="0" t="n">
        <v>16.0117</v>
      </c>
      <c r="DB104" s="0" t="n">
        <v>13.9996</v>
      </c>
      <c r="DC104" s="0" t="n">
        <v>16.3744</v>
      </c>
      <c r="DD104" s="0" t="n">
        <v>10.3588</v>
      </c>
      <c r="DE104" s="0" t="n">
        <v>18.7518</v>
      </c>
      <c r="DF104" s="0" t="n">
        <v>8.1823</v>
      </c>
      <c r="DG104" s="0" t="n">
        <v>21.5393</v>
      </c>
      <c r="DH104" s="0" t="n">
        <v>10.4042</v>
      </c>
      <c r="DI104" s="0" t="n">
        <v>23.6296</v>
      </c>
      <c r="DJ104" s="0" t="n">
        <v>11.1644</v>
      </c>
      <c r="DK104" s="0" t="n">
        <v>20.2656</v>
      </c>
      <c r="DL104" s="0" t="n">
        <v>24.2744</v>
      </c>
      <c r="DM104" s="0" t="n">
        <v>6.3342</v>
      </c>
      <c r="DN104" s="0" t="n">
        <v>28.3867</v>
      </c>
      <c r="DO104" s="0" t="n">
        <v>21.8018</v>
      </c>
      <c r="DP104" s="0" t="n">
        <v>14.4493</v>
      </c>
      <c r="DQ104" s="0" t="n">
        <v>12.6915</v>
      </c>
      <c r="DR104" s="0" t="n">
        <v>26.0707</v>
      </c>
      <c r="DS104" s="0" t="n">
        <v>17.1513</v>
      </c>
      <c r="DT104" s="0" t="n">
        <v>22.2436</v>
      </c>
      <c r="DU104" s="0" t="n">
        <v>15.3319</v>
      </c>
      <c r="DV104" s="0" t="n">
        <v>16.5143</v>
      </c>
      <c r="DW104" s="0" t="n">
        <v>25.4737</v>
      </c>
      <c r="DX104" s="0" t="n">
        <v>16.7576</v>
      </c>
      <c r="DY104" s="0" t="n">
        <v>2.3845</v>
      </c>
      <c r="DZ104" s="0" t="n">
        <v>13.8442</v>
      </c>
      <c r="EA104" s="0" t="n">
        <v>12.9617</v>
      </c>
      <c r="EB104" s="0" t="n">
        <v>7.1665</v>
      </c>
      <c r="EC104" s="0" t="n">
        <v>6.2917</v>
      </c>
      <c r="ED104" s="0" t="n">
        <v>4.6307</v>
      </c>
      <c r="EE104" s="0" t="n">
        <v>4.6505</v>
      </c>
      <c r="EF104" s="0" t="n">
        <v>2.44</v>
      </c>
      <c r="EG104" s="0" t="n">
        <v>1.8097</v>
      </c>
      <c r="EH104" s="0" t="n">
        <v>2.2284</v>
      </c>
      <c r="EI104" s="0" t="n">
        <v>0.7367</v>
      </c>
      <c r="EJ104" s="0" t="n">
        <v>2.2297</v>
      </c>
      <c r="EK104" s="0" t="n">
        <v>1.7848</v>
      </c>
      <c r="EL104" s="0" t="n">
        <v>0.4378</v>
      </c>
      <c r="EM104" s="0" t="n">
        <v>0.9931</v>
      </c>
      <c r="EN104" s="0" t="n">
        <v>1.2002</v>
      </c>
      <c r="EO104" s="0" t="n">
        <v>1.3352</v>
      </c>
      <c r="EP104" s="0" t="n">
        <v>0.1726</v>
      </c>
      <c r="EQ104" s="0" t="n">
        <v>1.4428</v>
      </c>
      <c r="ER104" s="0" t="n">
        <v>0.3331</v>
      </c>
      <c r="ES104" s="0" t="n">
        <v>1.0162</v>
      </c>
      <c r="ET104" s="0" t="n">
        <v>0.8768</v>
      </c>
      <c r="EU104" s="0" t="n">
        <v>0.6335</v>
      </c>
      <c r="EV104" s="0" t="n">
        <v>0.66</v>
      </c>
      <c r="EW104" s="0" t="n">
        <v>0.446</v>
      </c>
      <c r="EX104" s="0" t="n">
        <v>0.1141</v>
      </c>
      <c r="EY104" s="0" t="n">
        <v>0.8079</v>
      </c>
      <c r="EZ104" s="0" t="n">
        <v>0.413</v>
      </c>
      <c r="FA104" s="0" t="n">
        <v>0.5413</v>
      </c>
      <c r="FB104" s="0" t="n">
        <v>0.1269</v>
      </c>
      <c r="FC104" s="0" t="n">
        <v>0.9871</v>
      </c>
      <c r="FD104" s="0" t="n">
        <v>0.6729</v>
      </c>
      <c r="FE104" s="0" t="n">
        <v>0.2418</v>
      </c>
      <c r="FF104" s="0" t="n">
        <v>0.086</v>
      </c>
      <c r="FG104" s="0" t="n">
        <v>1.0049</v>
      </c>
      <c r="FH104" s="0" t="n">
        <v>0.347</v>
      </c>
      <c r="FI104" s="0" t="n">
        <v>0.4106</v>
      </c>
      <c r="FJ104" s="0" t="n">
        <v>1.0141</v>
      </c>
      <c r="FK104" s="0" t="n">
        <v>0.0226</v>
      </c>
      <c r="FL104" s="0" t="n">
        <v>0.5777</v>
      </c>
      <c r="FM104" s="0" t="n">
        <v>0.5714</v>
      </c>
      <c r="FN104" s="0" t="n">
        <v>0.5502</v>
      </c>
      <c r="FO104" s="0" t="n">
        <v>0.0329</v>
      </c>
      <c r="FP104" s="0" t="n">
        <v>5.6562</v>
      </c>
    </row>
    <row r="105" customFormat="false" ht="13.8" hidden="false" customHeight="false" outlineLevel="0" collapsed="false">
      <c r="A105" s="2" t="s">
        <v>372</v>
      </c>
      <c r="B105" s="0" t="s">
        <v>173</v>
      </c>
      <c r="C105" s="0" t="n">
        <v>185</v>
      </c>
      <c r="D105" s="0" t="s">
        <v>373</v>
      </c>
      <c r="E105" s="0" t="e">
        <f aca="false">VLOOKUP(A105,[1]RHIZOMES!$A$1:$B$1048576,2,0)</f>
        <v>#N/A</v>
      </c>
      <c r="F105" s="0" t="e">
        <f aca="false">VLOOKUP(A105,[1]ROOT!$A$1:$C$1048576,3,0)</f>
        <v>#N/A</v>
      </c>
      <c r="G105" s="0" t="n">
        <v>2115.7043</v>
      </c>
      <c r="H105" s="0" t="n">
        <v>210.0738</v>
      </c>
      <c r="I105" s="0" t="n">
        <v>659.9662</v>
      </c>
      <c r="J105" s="0" t="n">
        <v>0.88676</v>
      </c>
      <c r="K105" s="0" t="n">
        <v>0</v>
      </c>
      <c r="L105" s="0" t="n">
        <v>5.8105</v>
      </c>
      <c r="M105" s="0" t="n">
        <v>14.5192</v>
      </c>
      <c r="N105" s="0" t="n">
        <v>116.2148</v>
      </c>
      <c r="O105" s="0" t="n">
        <v>195.9051</v>
      </c>
      <c r="P105" s="0" t="n">
        <v>173.8355</v>
      </c>
      <c r="Q105" s="0" t="n">
        <v>224.995</v>
      </c>
      <c r="R105" s="0" t="n">
        <v>97.7053</v>
      </c>
      <c r="S105" s="0" t="n">
        <v>71.5291</v>
      </c>
      <c r="T105" s="0" t="n">
        <v>54.9912</v>
      </c>
      <c r="U105" s="0" t="n">
        <v>69.0139</v>
      </c>
      <c r="V105" s="0" t="n">
        <v>33.4717</v>
      </c>
      <c r="W105" s="0" t="n">
        <v>61.5795</v>
      </c>
      <c r="X105" s="0" t="n">
        <v>46.22</v>
      </c>
      <c r="Y105" s="0" t="n">
        <v>28.6529</v>
      </c>
      <c r="Z105" s="0" t="n">
        <v>31.2126</v>
      </c>
      <c r="AA105" s="0" t="n">
        <v>30.7096</v>
      </c>
      <c r="AB105" s="0" t="n">
        <v>25.9454</v>
      </c>
      <c r="AC105" s="0" t="n">
        <v>18.9959</v>
      </c>
      <c r="AD105" s="0" t="n">
        <v>22.2922</v>
      </c>
      <c r="AE105" s="0" t="n">
        <v>21.5869</v>
      </c>
      <c r="AF105" s="0" t="n">
        <v>29.0899</v>
      </c>
      <c r="AG105" s="0" t="n">
        <v>21.6561</v>
      </c>
      <c r="AH105" s="0" t="n">
        <v>23.5862</v>
      </c>
      <c r="AI105" s="0" t="n">
        <v>30.3336</v>
      </c>
      <c r="AJ105" s="0" t="n">
        <v>25.2096</v>
      </c>
      <c r="AK105" s="0" t="n">
        <v>36.5132</v>
      </c>
      <c r="AL105" s="0" t="n">
        <v>32.3596</v>
      </c>
      <c r="AM105" s="0" t="n">
        <v>27.6076</v>
      </c>
      <c r="AN105" s="0" t="n">
        <v>41.5744</v>
      </c>
      <c r="AO105" s="0" t="n">
        <v>49.429</v>
      </c>
      <c r="AP105" s="0" t="n">
        <v>45.2222</v>
      </c>
      <c r="AQ105" s="0" t="n">
        <v>48.3879</v>
      </c>
      <c r="AR105" s="0" t="n">
        <v>52.7562</v>
      </c>
      <c r="AS105" s="0" t="n">
        <v>37.7812</v>
      </c>
      <c r="AT105" s="0" t="n">
        <v>39.5132</v>
      </c>
      <c r="AU105" s="0" t="n">
        <v>36.8186</v>
      </c>
      <c r="AV105" s="0" t="n">
        <v>21.3929</v>
      </c>
      <c r="AW105" s="0" t="n">
        <v>34.0252</v>
      </c>
      <c r="AX105" s="0" t="n">
        <v>32.9976</v>
      </c>
      <c r="AY105" s="0" t="n">
        <v>18.1438</v>
      </c>
      <c r="AZ105" s="0" t="n">
        <v>18.5074</v>
      </c>
      <c r="BA105" s="0" t="n">
        <v>7.5727</v>
      </c>
      <c r="BB105" s="0" t="n">
        <v>14.9184</v>
      </c>
      <c r="BC105" s="0" t="n">
        <v>8.9109</v>
      </c>
      <c r="BD105" s="0" t="n">
        <v>4.0826</v>
      </c>
      <c r="BE105" s="0" t="n">
        <v>4.2258</v>
      </c>
      <c r="BF105" s="0" t="n">
        <v>3.4421</v>
      </c>
      <c r="BG105" s="0" t="n">
        <v>2.8</v>
      </c>
      <c r="BH105" s="0" t="n">
        <v>4.2478</v>
      </c>
      <c r="BI105" s="0" t="n">
        <v>3.1014</v>
      </c>
      <c r="BJ105" s="0" t="n">
        <v>1.8337</v>
      </c>
      <c r="BK105" s="0" t="n">
        <v>2.1549</v>
      </c>
      <c r="BL105" s="0" t="n">
        <v>1.1082</v>
      </c>
      <c r="BM105" s="0" t="n">
        <v>1.4288</v>
      </c>
      <c r="BN105" s="0" t="n">
        <v>0.7628</v>
      </c>
      <c r="BO105" s="0" t="n">
        <v>2.0054</v>
      </c>
      <c r="BP105" s="0" t="n">
        <v>1.0133</v>
      </c>
      <c r="BQ105" s="0" t="n">
        <v>0.4924</v>
      </c>
      <c r="BR105" s="0" t="n">
        <v>0.4827</v>
      </c>
      <c r="BS105" s="0" t="n">
        <v>0.1422</v>
      </c>
      <c r="BT105" s="0" t="n">
        <v>0.4165</v>
      </c>
      <c r="BU105" s="0" t="n">
        <v>0.508</v>
      </c>
      <c r="BV105" s="0" t="n">
        <v>0.4845</v>
      </c>
      <c r="BW105" s="0" t="n">
        <v>0.3273</v>
      </c>
      <c r="BX105" s="0" t="n">
        <v>0.4104</v>
      </c>
      <c r="BY105" s="0" t="n">
        <v>0.0317</v>
      </c>
      <c r="BZ105" s="0" t="n">
        <v>0</v>
      </c>
      <c r="CA105" s="0" t="n">
        <v>0.0137</v>
      </c>
      <c r="CB105" s="0" t="n">
        <v>0.1639</v>
      </c>
      <c r="CC105" s="0" t="n">
        <v>0.4025</v>
      </c>
      <c r="CD105" s="0" t="n">
        <v>0.0069</v>
      </c>
      <c r="CE105" s="0" t="n">
        <v>0.0132</v>
      </c>
      <c r="CF105" s="0" t="n">
        <v>0.0227</v>
      </c>
      <c r="CG105" s="0" t="n">
        <v>0.0069</v>
      </c>
      <c r="CH105" s="0" t="n">
        <v>0.0137</v>
      </c>
      <c r="CI105" s="0" t="n">
        <v>0.0286</v>
      </c>
      <c r="CJ105" s="0" t="n">
        <v>0.0222</v>
      </c>
      <c r="CK105" s="0" t="n">
        <v>0.0137</v>
      </c>
      <c r="CL105" s="0" t="n">
        <v>0</v>
      </c>
      <c r="CM105" s="0" t="n">
        <v>0</v>
      </c>
      <c r="CN105" s="0" t="n">
        <v>0</v>
      </c>
      <c r="CO105" s="0" t="n">
        <v>0.1557</v>
      </c>
      <c r="CP105" s="0" t="n">
        <v>0.5974</v>
      </c>
      <c r="CQ105" s="0" t="n">
        <v>6.6606</v>
      </c>
      <c r="CR105" s="0" t="n">
        <v>13.9411</v>
      </c>
      <c r="CS105" s="0" t="n">
        <v>14.4744</v>
      </c>
      <c r="CT105" s="0" t="n">
        <v>22.5916</v>
      </c>
      <c r="CU105" s="0" t="n">
        <v>11.6215</v>
      </c>
      <c r="CV105" s="0" t="n">
        <v>9.5491</v>
      </c>
      <c r="CW105" s="0" t="n">
        <v>8.0867</v>
      </c>
      <c r="CX105" s="0" t="n">
        <v>11.4313</v>
      </c>
      <c r="CY105" s="0" t="n">
        <v>6.0642</v>
      </c>
      <c r="CZ105" s="0" t="n">
        <v>12.0976</v>
      </c>
      <c r="DA105" s="0" t="n">
        <v>9.9706</v>
      </c>
      <c r="DB105" s="0" t="n">
        <v>6.4654</v>
      </c>
      <c r="DC105" s="0" t="n">
        <v>7.5574</v>
      </c>
      <c r="DD105" s="0" t="n">
        <v>7.9438</v>
      </c>
      <c r="DE105" s="0" t="n">
        <v>7.1636</v>
      </c>
      <c r="DF105" s="0" t="n">
        <v>5.5277</v>
      </c>
      <c r="DG105" s="0" t="n">
        <v>6.8055</v>
      </c>
      <c r="DH105" s="0" t="n">
        <v>6.9284</v>
      </c>
      <c r="DI105" s="0" t="n">
        <v>9.8788</v>
      </c>
      <c r="DJ105" s="0" t="n">
        <v>7.7288</v>
      </c>
      <c r="DK105" s="0" t="n">
        <v>8.6662</v>
      </c>
      <c r="DL105" s="0" t="n">
        <v>11.6891</v>
      </c>
      <c r="DM105" s="0" t="n">
        <v>10.0991</v>
      </c>
      <c r="DN105" s="0" t="n">
        <v>15.2408</v>
      </c>
      <c r="DO105" s="0" t="n">
        <v>14.0466</v>
      </c>
      <c r="DP105" s="0" t="n">
        <v>12.3144</v>
      </c>
      <c r="DQ105" s="0" t="n">
        <v>19.2401</v>
      </c>
      <c r="DR105" s="0" t="n">
        <v>23.7805</v>
      </c>
      <c r="DS105" s="0" t="n">
        <v>22.3868</v>
      </c>
      <c r="DT105" s="0" t="n">
        <v>24.7136</v>
      </c>
      <c r="DU105" s="0" t="n">
        <v>27.726</v>
      </c>
      <c r="DV105" s="0" t="n">
        <v>20.4141</v>
      </c>
      <c r="DW105" s="0" t="n">
        <v>21.9831</v>
      </c>
      <c r="DX105" s="0" t="n">
        <v>21.1351</v>
      </c>
      <c r="DY105" s="0" t="n">
        <v>12.6293</v>
      </c>
      <c r="DZ105" s="0" t="n">
        <v>20.4959</v>
      </c>
      <c r="EA105" s="0" t="n">
        <v>20.4917</v>
      </c>
      <c r="EB105" s="0" t="n">
        <v>11.5709</v>
      </c>
      <c r="EC105" s="0" t="n">
        <v>12.0968</v>
      </c>
      <c r="ED105" s="0" t="n">
        <v>5.0281</v>
      </c>
      <c r="EE105" s="0" t="n">
        <v>10.161</v>
      </c>
      <c r="EF105" s="0" t="n">
        <v>6.2492</v>
      </c>
      <c r="EG105" s="0" t="n">
        <v>2.9306</v>
      </c>
      <c r="EH105" s="0" t="n">
        <v>3.0819</v>
      </c>
      <c r="EI105" s="0" t="n">
        <v>2.5628</v>
      </c>
      <c r="EJ105" s="0" t="n">
        <v>2.1323</v>
      </c>
      <c r="EK105" s="0" t="n">
        <v>3.3018</v>
      </c>
      <c r="EL105" s="0" t="n">
        <v>2.4624</v>
      </c>
      <c r="EM105" s="0" t="n">
        <v>1.4809</v>
      </c>
      <c r="EN105" s="0" t="n">
        <v>1.7759</v>
      </c>
      <c r="EO105" s="0" t="n">
        <v>0.9324</v>
      </c>
      <c r="EP105" s="0" t="n">
        <v>1.2224</v>
      </c>
      <c r="EQ105" s="0" t="n">
        <v>0.6662</v>
      </c>
      <c r="ER105" s="0" t="n">
        <v>1.7806</v>
      </c>
      <c r="ES105" s="0" t="n">
        <v>0.9126</v>
      </c>
      <c r="ET105" s="0" t="n">
        <v>0.4509</v>
      </c>
      <c r="EU105" s="0" t="n">
        <v>0.4529</v>
      </c>
      <c r="EV105" s="0" t="n">
        <v>0.1356</v>
      </c>
      <c r="EW105" s="0" t="n">
        <v>0.4017</v>
      </c>
      <c r="EX105" s="0" t="n">
        <v>0.4976</v>
      </c>
      <c r="EY105" s="0" t="n">
        <v>0.4827</v>
      </c>
      <c r="EZ105" s="0" t="n">
        <v>0.3319</v>
      </c>
      <c r="FA105" s="0" t="n">
        <v>0.423</v>
      </c>
      <c r="FB105" s="0" t="n">
        <v>0.0331</v>
      </c>
      <c r="FC105" s="0" t="n">
        <v>0</v>
      </c>
      <c r="FD105" s="0" t="n">
        <v>0.0148</v>
      </c>
      <c r="FE105" s="0" t="n">
        <v>0.1793</v>
      </c>
      <c r="FF105" s="0" t="n">
        <v>0.4488</v>
      </c>
      <c r="FG105" s="0" t="n">
        <v>0.0078</v>
      </c>
      <c r="FH105" s="0" t="n">
        <v>0.015</v>
      </c>
      <c r="FI105" s="0" t="n">
        <v>0.0262</v>
      </c>
      <c r="FJ105" s="0" t="n">
        <v>0.0081</v>
      </c>
      <c r="FK105" s="0" t="n">
        <v>0.0163</v>
      </c>
      <c r="FL105" s="0" t="n">
        <v>0.0343</v>
      </c>
      <c r="FM105" s="0" t="n">
        <v>0.0271</v>
      </c>
      <c r="FN105" s="0" t="n">
        <v>0.0169</v>
      </c>
      <c r="FO105" s="0" t="n">
        <v>0</v>
      </c>
      <c r="FP105" s="0" t="n">
        <v>0</v>
      </c>
    </row>
    <row r="106" customFormat="false" ht="13.8" hidden="false" customHeight="false" outlineLevel="0" collapsed="false">
      <c r="A106" s="2" t="s">
        <v>374</v>
      </c>
      <c r="B106" s="0" t="s">
        <v>176</v>
      </c>
      <c r="C106" s="0" t="n">
        <v>270</v>
      </c>
      <c r="D106" s="0" t="s">
        <v>375</v>
      </c>
      <c r="E106" s="0" t="e">
        <f aca="false">VLOOKUP(A106,[1]RHIZOMES!$A$1:$B$1048576,2,0)</f>
        <v>#N/A</v>
      </c>
      <c r="F106" s="0" t="n">
        <v>7.3025</v>
      </c>
      <c r="G106" s="0" t="n">
        <v>3712.8591</v>
      </c>
      <c r="H106" s="0" t="n">
        <v>339.3816</v>
      </c>
      <c r="I106" s="0" t="n">
        <v>1066.1987</v>
      </c>
      <c r="J106" s="0" t="n">
        <v>0.8606</v>
      </c>
      <c r="K106" s="0" t="n">
        <v>0</v>
      </c>
      <c r="L106" s="0" t="n">
        <v>189.369</v>
      </c>
      <c r="M106" s="0" t="n">
        <v>235.1204</v>
      </c>
      <c r="N106" s="0" t="n">
        <v>228.8514</v>
      </c>
      <c r="O106" s="0" t="n">
        <v>106.9733</v>
      </c>
      <c r="P106" s="0" t="n">
        <v>300.7576</v>
      </c>
      <c r="Q106" s="0" t="n">
        <v>238.3501</v>
      </c>
      <c r="R106" s="0" t="n">
        <v>193.1921</v>
      </c>
      <c r="S106" s="0" t="n">
        <v>135.8236</v>
      </c>
      <c r="T106" s="0" t="n">
        <v>67.0054</v>
      </c>
      <c r="U106" s="0" t="n">
        <v>145.6848</v>
      </c>
      <c r="V106" s="0" t="n">
        <v>92.7307</v>
      </c>
      <c r="W106" s="0" t="n">
        <v>87.7978</v>
      </c>
      <c r="X106" s="0" t="n">
        <v>85.7496</v>
      </c>
      <c r="Y106" s="0" t="n">
        <v>62.4333</v>
      </c>
      <c r="Z106" s="0" t="n">
        <v>60.079</v>
      </c>
      <c r="AA106" s="0" t="n">
        <v>51.4913</v>
      </c>
      <c r="AB106" s="0" t="n">
        <v>61.022</v>
      </c>
      <c r="AC106" s="0" t="n">
        <v>36.1964</v>
      </c>
      <c r="AD106" s="0" t="n">
        <v>59.2389</v>
      </c>
      <c r="AE106" s="0" t="n">
        <v>40.6985</v>
      </c>
      <c r="AF106" s="0" t="n">
        <v>62.344</v>
      </c>
      <c r="AG106" s="0" t="n">
        <v>22.1445</v>
      </c>
      <c r="AH106" s="0" t="n">
        <v>44.4273</v>
      </c>
      <c r="AI106" s="0" t="n">
        <v>60.2102</v>
      </c>
      <c r="AJ106" s="0" t="n">
        <v>21.6091</v>
      </c>
      <c r="AK106" s="0" t="n">
        <v>74.443</v>
      </c>
      <c r="AL106" s="0" t="n">
        <v>66.4196</v>
      </c>
      <c r="AM106" s="0" t="n">
        <v>47.166</v>
      </c>
      <c r="AN106" s="0" t="n">
        <v>42.3819</v>
      </c>
      <c r="AO106" s="0" t="n">
        <v>69.5994</v>
      </c>
      <c r="AP106" s="0" t="n">
        <v>47.7898</v>
      </c>
      <c r="AQ106" s="0" t="n">
        <v>57.9538</v>
      </c>
      <c r="AR106" s="0" t="n">
        <v>56.1981</v>
      </c>
      <c r="AS106" s="0" t="n">
        <v>49.2139</v>
      </c>
      <c r="AT106" s="0" t="n">
        <v>76.0386</v>
      </c>
      <c r="AU106" s="0" t="n">
        <v>67.965</v>
      </c>
      <c r="AV106" s="0" t="n">
        <v>14.7662</v>
      </c>
      <c r="AW106" s="0" t="n">
        <v>50.7161</v>
      </c>
      <c r="AX106" s="0" t="n">
        <v>51.8837</v>
      </c>
      <c r="AY106" s="0" t="n">
        <v>40.0999</v>
      </c>
      <c r="AZ106" s="0" t="n">
        <v>30.6168</v>
      </c>
      <c r="BA106" s="0" t="n">
        <v>22.8762</v>
      </c>
      <c r="BB106" s="0" t="n">
        <v>28.0486</v>
      </c>
      <c r="BC106" s="0" t="n">
        <v>18.3387</v>
      </c>
      <c r="BD106" s="0" t="n">
        <v>9.9755</v>
      </c>
      <c r="BE106" s="0" t="n">
        <v>18.1243</v>
      </c>
      <c r="BF106" s="0" t="n">
        <v>6.1593</v>
      </c>
      <c r="BG106" s="0" t="n">
        <v>14.1347</v>
      </c>
      <c r="BH106" s="0" t="n">
        <v>10.6052</v>
      </c>
      <c r="BI106" s="0" t="n">
        <v>3.7147</v>
      </c>
      <c r="BJ106" s="0" t="n">
        <v>5.2232</v>
      </c>
      <c r="BK106" s="0" t="n">
        <v>5.3612</v>
      </c>
      <c r="BL106" s="0" t="n">
        <v>4.084</v>
      </c>
      <c r="BM106" s="0" t="n">
        <v>3.3507</v>
      </c>
      <c r="BN106" s="0" t="n">
        <v>3.012</v>
      </c>
      <c r="BO106" s="0" t="n">
        <v>2.2996</v>
      </c>
      <c r="BP106" s="0" t="n">
        <v>2.7725</v>
      </c>
      <c r="BQ106" s="0" t="n">
        <v>1.6515</v>
      </c>
      <c r="BR106" s="0" t="n">
        <v>1.3373</v>
      </c>
      <c r="BS106" s="0" t="n">
        <v>0.8222</v>
      </c>
      <c r="BT106" s="0" t="n">
        <v>1.2966</v>
      </c>
      <c r="BU106" s="0" t="n">
        <v>1.071</v>
      </c>
      <c r="BV106" s="0" t="n">
        <v>0.9979</v>
      </c>
      <c r="BW106" s="0" t="n">
        <v>1.4726</v>
      </c>
      <c r="BX106" s="0" t="n">
        <v>0.587</v>
      </c>
      <c r="BY106" s="0" t="n">
        <v>1.1082</v>
      </c>
      <c r="BZ106" s="0" t="n">
        <v>1.1567</v>
      </c>
      <c r="CA106" s="0" t="n">
        <v>0.9356</v>
      </c>
      <c r="CB106" s="0" t="n">
        <v>0.348</v>
      </c>
      <c r="CC106" s="0" t="n">
        <v>1.4774</v>
      </c>
      <c r="CD106" s="0" t="n">
        <v>0.4457</v>
      </c>
      <c r="CE106" s="0" t="n">
        <v>0.7021</v>
      </c>
      <c r="CF106" s="0" t="n">
        <v>0.3077</v>
      </c>
      <c r="CG106" s="0" t="n">
        <v>0.6602</v>
      </c>
      <c r="CH106" s="0" t="n">
        <v>0.2964</v>
      </c>
      <c r="CI106" s="0" t="n">
        <v>0.1131</v>
      </c>
      <c r="CJ106" s="0" t="n">
        <v>0.3607</v>
      </c>
      <c r="CK106" s="0" t="n">
        <v>0.093</v>
      </c>
      <c r="CL106" s="0" t="n">
        <v>0.5824</v>
      </c>
      <c r="CM106" s="0" t="n">
        <v>2.7148</v>
      </c>
      <c r="CN106" s="0" t="n">
        <v>0</v>
      </c>
      <c r="CO106" s="0" t="n">
        <v>4.0914</v>
      </c>
      <c r="CP106" s="0" t="n">
        <v>9.9711</v>
      </c>
      <c r="CQ106" s="0" t="n">
        <v>13.7557</v>
      </c>
      <c r="CR106" s="0" t="n">
        <v>7.6255</v>
      </c>
      <c r="CS106" s="0" t="n">
        <v>25.157</v>
      </c>
      <c r="CT106" s="0" t="n">
        <v>24.0847</v>
      </c>
      <c r="CU106" s="0" t="n">
        <v>22.7084</v>
      </c>
      <c r="CV106" s="0" t="n">
        <v>18.5226</v>
      </c>
      <c r="CW106" s="0" t="n">
        <v>9.8117</v>
      </c>
      <c r="CX106" s="0" t="n">
        <v>23.9033</v>
      </c>
      <c r="CY106" s="0" t="n">
        <v>16.9137</v>
      </c>
      <c r="CZ106" s="0" t="n">
        <v>17.2974</v>
      </c>
      <c r="DA106" s="0" t="n">
        <v>18.1915</v>
      </c>
      <c r="DB106" s="0" t="n">
        <v>14.1702</v>
      </c>
      <c r="DC106" s="0" t="n">
        <v>14.6654</v>
      </c>
      <c r="DD106" s="0" t="n">
        <v>13.2478</v>
      </c>
      <c r="DE106" s="0" t="n">
        <v>16.7679</v>
      </c>
      <c r="DF106" s="0" t="n">
        <v>10.4935</v>
      </c>
      <c r="DG106" s="0" t="n">
        <v>18.0905</v>
      </c>
      <c r="DH106" s="0" t="n">
        <v>13.0516</v>
      </c>
      <c r="DI106" s="0" t="n">
        <v>21.1389</v>
      </c>
      <c r="DJ106" s="0" t="n">
        <v>7.8687</v>
      </c>
      <c r="DK106" s="0" t="n">
        <v>16.3552</v>
      </c>
      <c r="DL106" s="0" t="n">
        <v>23.3862</v>
      </c>
      <c r="DM106" s="0" t="n">
        <v>8.6315</v>
      </c>
      <c r="DN106" s="0" t="n">
        <v>30.9683</v>
      </c>
      <c r="DO106" s="0" t="n">
        <v>28.9116</v>
      </c>
      <c r="DP106" s="0" t="n">
        <v>21.2668</v>
      </c>
      <c r="DQ106" s="0" t="n">
        <v>19.56</v>
      </c>
      <c r="DR106" s="0" t="n">
        <v>33.3298</v>
      </c>
      <c r="DS106" s="0" t="n">
        <v>23.699</v>
      </c>
      <c r="DT106" s="0" t="n">
        <v>29.6406</v>
      </c>
      <c r="DU106" s="0" t="n">
        <v>29.6035</v>
      </c>
      <c r="DV106" s="0" t="n">
        <v>26.4893</v>
      </c>
      <c r="DW106" s="0" t="n">
        <v>42.285</v>
      </c>
      <c r="DX106" s="0" t="n">
        <v>39.1816</v>
      </c>
      <c r="DY106" s="0" t="n">
        <v>8.7302</v>
      </c>
      <c r="DZ106" s="0" t="n">
        <v>30.4102</v>
      </c>
      <c r="EA106" s="0" t="n">
        <v>32.1715</v>
      </c>
      <c r="EB106" s="0" t="n">
        <v>25.609</v>
      </c>
      <c r="EC106" s="0" t="n">
        <v>19.9897</v>
      </c>
      <c r="ED106" s="0" t="n">
        <v>15.1868</v>
      </c>
      <c r="EE106" s="0" t="n">
        <v>19.1362</v>
      </c>
      <c r="EF106" s="0" t="n">
        <v>12.8639</v>
      </c>
      <c r="EG106" s="0" t="n">
        <v>7.143</v>
      </c>
      <c r="EH106" s="0" t="n">
        <v>13.2564</v>
      </c>
      <c r="EI106" s="0" t="n">
        <v>4.5924</v>
      </c>
      <c r="EJ106" s="0" t="n">
        <v>10.7479</v>
      </c>
      <c r="EK106" s="0" t="n">
        <v>8.2829</v>
      </c>
      <c r="EL106" s="0" t="n">
        <v>2.948</v>
      </c>
      <c r="EM106" s="0" t="n">
        <v>4.2149</v>
      </c>
      <c r="EN106" s="0" t="n">
        <v>4.42</v>
      </c>
      <c r="EO106" s="0" t="n">
        <v>3.4371</v>
      </c>
      <c r="EP106" s="0" t="n">
        <v>2.8597</v>
      </c>
      <c r="EQ106" s="0" t="n">
        <v>2.631</v>
      </c>
      <c r="ER106" s="0" t="n">
        <v>2.0411</v>
      </c>
      <c r="ES106" s="0" t="n">
        <v>2.5053</v>
      </c>
      <c r="ET106" s="0" t="n">
        <v>1.5166</v>
      </c>
      <c r="EU106" s="0" t="n">
        <v>1.2482</v>
      </c>
      <c r="EV106" s="0" t="n">
        <v>0.7822</v>
      </c>
      <c r="EW106" s="0" t="n">
        <v>1.2541</v>
      </c>
      <c r="EX106" s="0" t="n">
        <v>1.0462</v>
      </c>
      <c r="EY106" s="0" t="n">
        <v>0.9943</v>
      </c>
      <c r="EZ106" s="0" t="n">
        <v>1.4933</v>
      </c>
      <c r="FA106" s="0" t="n">
        <v>0.6031</v>
      </c>
      <c r="FB106" s="0" t="n">
        <v>1.1573</v>
      </c>
      <c r="FC106" s="0" t="n">
        <v>1.2229</v>
      </c>
      <c r="FD106" s="0" t="n">
        <v>1.0036</v>
      </c>
      <c r="FE106" s="0" t="n">
        <v>0.3804</v>
      </c>
      <c r="FF106" s="0" t="n">
        <v>1.6375</v>
      </c>
      <c r="FG106" s="0" t="n">
        <v>0.5003</v>
      </c>
      <c r="FH106" s="0" t="n">
        <v>0.7972</v>
      </c>
      <c r="FI106" s="0" t="n">
        <v>0.3543</v>
      </c>
      <c r="FJ106" s="0" t="n">
        <v>0.774</v>
      </c>
      <c r="FK106" s="0" t="n">
        <v>0.3518</v>
      </c>
      <c r="FL106" s="0" t="n">
        <v>0.136</v>
      </c>
      <c r="FM106" s="0" t="n">
        <v>0.438</v>
      </c>
      <c r="FN106" s="0" t="n">
        <v>0.1149</v>
      </c>
      <c r="FO106" s="0" t="n">
        <v>0.7249</v>
      </c>
      <c r="FP106" s="0" t="n">
        <v>3.6042</v>
      </c>
    </row>
    <row r="107" customFormat="false" ht="13.8" hidden="false" customHeight="false" outlineLevel="0" collapsed="false">
      <c r="A107" s="2" t="s">
        <v>376</v>
      </c>
      <c r="B107" s="0" t="s">
        <v>176</v>
      </c>
      <c r="C107" s="0" t="n">
        <v>286</v>
      </c>
      <c r="D107" s="0" t="s">
        <v>377</v>
      </c>
      <c r="F107" s="0" t="e">
        <f aca="false">VLOOKUP(A107,[1]ROOT!$A$1:$C$1048576,3,0)</f>
        <v>#N/A</v>
      </c>
      <c r="G107" s="0" t="n">
        <v>1271.6106</v>
      </c>
      <c r="H107" s="0" t="n">
        <v>112.4061</v>
      </c>
      <c r="I107" s="0" t="n">
        <v>353.1343</v>
      </c>
      <c r="J107" s="0" t="n">
        <v>0.8859</v>
      </c>
      <c r="K107" s="0" t="n">
        <v>0</v>
      </c>
      <c r="L107" s="0" t="n">
        <v>142.6476</v>
      </c>
      <c r="M107" s="0" t="n">
        <v>136.831</v>
      </c>
      <c r="N107" s="0" t="n">
        <v>90.4745</v>
      </c>
      <c r="O107" s="0" t="n">
        <v>0.2955</v>
      </c>
      <c r="P107" s="0" t="n">
        <v>78.1315</v>
      </c>
      <c r="Q107" s="0" t="n">
        <v>26.071</v>
      </c>
      <c r="R107" s="0" t="n">
        <v>49.3612</v>
      </c>
      <c r="S107" s="0" t="n">
        <v>29.669</v>
      </c>
      <c r="T107" s="0" t="n">
        <v>5.858</v>
      </c>
      <c r="U107" s="0" t="n">
        <v>34.1771</v>
      </c>
      <c r="V107" s="0" t="n">
        <v>29.5442</v>
      </c>
      <c r="W107" s="0" t="n">
        <v>15.2543</v>
      </c>
      <c r="X107" s="0" t="n">
        <v>24.2119</v>
      </c>
      <c r="Y107" s="0" t="n">
        <v>18.1533</v>
      </c>
      <c r="Z107" s="0" t="n">
        <v>17.7089</v>
      </c>
      <c r="AA107" s="0" t="n">
        <v>14.4434</v>
      </c>
      <c r="AB107" s="0" t="n">
        <v>25.127</v>
      </c>
      <c r="AC107" s="0" t="n">
        <v>8.4952</v>
      </c>
      <c r="AD107" s="0" t="n">
        <v>28.4759</v>
      </c>
      <c r="AE107" s="0" t="n">
        <v>17.8772</v>
      </c>
      <c r="AF107" s="0" t="n">
        <v>29.6286</v>
      </c>
      <c r="AG107" s="0" t="n">
        <v>9.7721</v>
      </c>
      <c r="AH107" s="0" t="n">
        <v>26.899</v>
      </c>
      <c r="AI107" s="0" t="n">
        <v>27.2748</v>
      </c>
      <c r="AJ107" s="0" t="n">
        <v>5.4526</v>
      </c>
      <c r="AK107" s="0" t="n">
        <v>34.7858</v>
      </c>
      <c r="AL107" s="0" t="n">
        <v>38.2757</v>
      </c>
      <c r="AM107" s="0" t="n">
        <v>18.8789</v>
      </c>
      <c r="AN107" s="0" t="n">
        <v>17.6231</v>
      </c>
      <c r="AO107" s="0" t="n">
        <v>38.6613</v>
      </c>
      <c r="AP107" s="0" t="n">
        <v>17.3233</v>
      </c>
      <c r="AQ107" s="0" t="n">
        <v>33.4897</v>
      </c>
      <c r="AR107" s="0" t="n">
        <v>24.7176</v>
      </c>
      <c r="AS107" s="0" t="n">
        <v>19.5351</v>
      </c>
      <c r="AT107" s="0" t="n">
        <v>36.481</v>
      </c>
      <c r="AU107" s="0" t="n">
        <v>21.0619</v>
      </c>
      <c r="AV107" s="0" t="n">
        <v>2.8028</v>
      </c>
      <c r="AW107" s="0" t="n">
        <v>12.6409</v>
      </c>
      <c r="AX107" s="0" t="n">
        <v>12.6822</v>
      </c>
      <c r="AY107" s="0" t="n">
        <v>6.3807</v>
      </c>
      <c r="AZ107" s="0" t="n">
        <v>6.0105</v>
      </c>
      <c r="BA107" s="0" t="n">
        <v>5.844</v>
      </c>
      <c r="BB107" s="0" t="n">
        <v>5.266</v>
      </c>
      <c r="BC107" s="0" t="n">
        <v>2.4055</v>
      </c>
      <c r="BD107" s="0" t="n">
        <v>1.8692</v>
      </c>
      <c r="BE107" s="0" t="n">
        <v>3.1702</v>
      </c>
      <c r="BF107" s="0" t="n">
        <v>0.2162</v>
      </c>
      <c r="BG107" s="0" t="n">
        <v>3.4262</v>
      </c>
      <c r="BH107" s="0" t="n">
        <v>2.2008</v>
      </c>
      <c r="BI107" s="0" t="n">
        <v>0.9959</v>
      </c>
      <c r="BJ107" s="0" t="n">
        <v>1.3719</v>
      </c>
      <c r="BK107" s="0" t="n">
        <v>1.0986</v>
      </c>
      <c r="BL107" s="0" t="n">
        <v>0.5514</v>
      </c>
      <c r="BM107" s="0" t="n">
        <v>1.0046</v>
      </c>
      <c r="BN107" s="0" t="n">
        <v>1.6725</v>
      </c>
      <c r="BO107" s="0" t="n">
        <v>0.5036</v>
      </c>
      <c r="BP107" s="0" t="n">
        <v>0.8679</v>
      </c>
      <c r="BQ107" s="0" t="n">
        <v>0.1866</v>
      </c>
      <c r="BR107" s="0" t="n">
        <v>0.3988</v>
      </c>
      <c r="BS107" s="0" t="n">
        <v>0.8859</v>
      </c>
      <c r="BT107" s="0" t="n">
        <v>0.4991</v>
      </c>
      <c r="BU107" s="0" t="n">
        <v>0.1322</v>
      </c>
      <c r="BV107" s="0" t="n">
        <v>0.6721</v>
      </c>
      <c r="BW107" s="0" t="n">
        <v>0.2596</v>
      </c>
      <c r="BX107" s="0" t="n">
        <v>0.185</v>
      </c>
      <c r="BY107" s="0" t="n">
        <v>0.1775</v>
      </c>
      <c r="BZ107" s="0" t="n">
        <v>0.4822</v>
      </c>
      <c r="CA107" s="0" t="n">
        <v>0.3721</v>
      </c>
      <c r="CB107" s="0" t="n">
        <v>0.1513</v>
      </c>
      <c r="CC107" s="0" t="n">
        <v>0.0792</v>
      </c>
      <c r="CD107" s="0" t="n">
        <v>0.0766</v>
      </c>
      <c r="CE107" s="0" t="n">
        <v>0.0069</v>
      </c>
      <c r="CF107" s="0" t="n">
        <v>0.0497</v>
      </c>
      <c r="CG107" s="0" t="n">
        <v>0</v>
      </c>
      <c r="CH107" s="0" t="n">
        <v>0</v>
      </c>
      <c r="CI107" s="0" t="n">
        <v>0.1976</v>
      </c>
      <c r="CJ107" s="0" t="n">
        <v>0</v>
      </c>
      <c r="CK107" s="0" t="n">
        <v>0.2327</v>
      </c>
      <c r="CL107" s="0" t="n">
        <v>0</v>
      </c>
      <c r="CM107" s="0" t="n">
        <v>0.278</v>
      </c>
      <c r="CN107" s="0" t="n">
        <v>0</v>
      </c>
      <c r="CO107" s="0" t="n">
        <v>3.0486</v>
      </c>
      <c r="CP107" s="0" t="n">
        <v>5.8234</v>
      </c>
      <c r="CQ107" s="0" t="n">
        <v>5.5298</v>
      </c>
      <c r="CR107" s="0" t="n">
        <v>0.0204</v>
      </c>
      <c r="CS107" s="0" t="n">
        <v>6.5359</v>
      </c>
      <c r="CT107" s="0" t="n">
        <v>2.6549</v>
      </c>
      <c r="CU107" s="0" t="n">
        <v>5.7505</v>
      </c>
      <c r="CV107" s="0" t="n">
        <v>4.1158</v>
      </c>
      <c r="CW107" s="0" t="n">
        <v>0.847</v>
      </c>
      <c r="CX107" s="0" t="n">
        <v>5.5692</v>
      </c>
      <c r="CY107" s="0" t="n">
        <v>5.4078</v>
      </c>
      <c r="CZ107" s="0" t="n">
        <v>3.0243</v>
      </c>
      <c r="DA107" s="0" t="n">
        <v>5.0518</v>
      </c>
      <c r="DB107" s="0" t="n">
        <v>4.1232</v>
      </c>
      <c r="DC107" s="0" t="n">
        <v>4.3507</v>
      </c>
      <c r="DD107" s="0" t="n">
        <v>3.6837</v>
      </c>
      <c r="DE107" s="0" t="n">
        <v>6.912</v>
      </c>
      <c r="DF107" s="0" t="n">
        <v>2.4566</v>
      </c>
      <c r="DG107" s="0" t="n">
        <v>8.6469</v>
      </c>
      <c r="DH107" s="0" t="n">
        <v>5.7545</v>
      </c>
      <c r="DI107" s="0" t="n">
        <v>10.1034</v>
      </c>
      <c r="DJ107" s="0" t="n">
        <v>3.4602</v>
      </c>
      <c r="DK107" s="0" t="n">
        <v>9.9201</v>
      </c>
      <c r="DL107" s="0" t="n">
        <v>10.6301</v>
      </c>
      <c r="DM107" s="0" t="n">
        <v>2.1664</v>
      </c>
      <c r="DN107" s="0" t="n">
        <v>14.4657</v>
      </c>
      <c r="DO107" s="0" t="n">
        <v>16.6932</v>
      </c>
      <c r="DP107" s="0" t="n">
        <v>8.5623</v>
      </c>
      <c r="DQ107" s="0" t="n">
        <v>8.1137</v>
      </c>
      <c r="DR107" s="0" t="n">
        <v>18.5197</v>
      </c>
      <c r="DS107" s="0" t="n">
        <v>8.5982</v>
      </c>
      <c r="DT107" s="0" t="n">
        <v>17.0956</v>
      </c>
      <c r="DU107" s="0" t="n">
        <v>13.0568</v>
      </c>
      <c r="DV107" s="0" t="n">
        <v>10.4928</v>
      </c>
      <c r="DW107" s="0" t="n">
        <v>20.2662</v>
      </c>
      <c r="DX107" s="0" t="n">
        <v>12.1442</v>
      </c>
      <c r="DY107" s="0" t="n">
        <v>1.6607</v>
      </c>
      <c r="DZ107" s="0" t="n">
        <v>7.5701</v>
      </c>
      <c r="EA107" s="0" t="n">
        <v>7.8688</v>
      </c>
      <c r="EB107" s="0" t="n">
        <v>4.0798</v>
      </c>
      <c r="EC107" s="0" t="n">
        <v>3.896</v>
      </c>
      <c r="ED107" s="0" t="n">
        <v>3.8812</v>
      </c>
      <c r="EE107" s="0" t="n">
        <v>3.6002</v>
      </c>
      <c r="EF107" s="0" t="n">
        <v>1.6894</v>
      </c>
      <c r="EG107" s="0" t="n">
        <v>1.3397</v>
      </c>
      <c r="EH107" s="0" t="n">
        <v>2.3169</v>
      </c>
      <c r="EI107" s="0" t="n">
        <v>0.1608</v>
      </c>
      <c r="EJ107" s="0" t="n">
        <v>2.6054</v>
      </c>
      <c r="EK107" s="0" t="n">
        <v>1.72</v>
      </c>
      <c r="EL107" s="0" t="n">
        <v>0.7868</v>
      </c>
      <c r="EM107" s="0" t="n">
        <v>1.1059</v>
      </c>
      <c r="EN107" s="0" t="n">
        <v>0.906</v>
      </c>
      <c r="EO107" s="0" t="n">
        <v>0.4669</v>
      </c>
      <c r="EP107" s="0" t="n">
        <v>0.857</v>
      </c>
      <c r="EQ107" s="0" t="n">
        <v>1.4597</v>
      </c>
      <c r="ER107" s="0" t="n">
        <v>0.4473</v>
      </c>
      <c r="ES107" s="0" t="n">
        <v>0.782</v>
      </c>
      <c r="ET107" s="0" t="n">
        <v>0.1718</v>
      </c>
      <c r="EU107" s="0" t="n">
        <v>0.3726</v>
      </c>
      <c r="EV107" s="0" t="n">
        <v>0.8403</v>
      </c>
      <c r="EW107" s="0" t="n">
        <v>0.4827</v>
      </c>
      <c r="EX107" s="0" t="n">
        <v>0.1303</v>
      </c>
      <c r="EY107" s="0" t="n">
        <v>0.666</v>
      </c>
      <c r="EZ107" s="0" t="n">
        <v>0.2632</v>
      </c>
      <c r="FA107" s="0" t="n">
        <v>0.1917</v>
      </c>
      <c r="FB107" s="0" t="n">
        <v>0.1853</v>
      </c>
      <c r="FC107" s="0" t="n">
        <v>0.5099</v>
      </c>
      <c r="FD107" s="0" t="n">
        <v>0.4002</v>
      </c>
      <c r="FE107" s="0" t="n">
        <v>0.1657</v>
      </c>
      <c r="FF107" s="0" t="n">
        <v>0.0876</v>
      </c>
      <c r="FG107" s="0" t="n">
        <v>0.0863</v>
      </c>
      <c r="FH107" s="0" t="n">
        <v>0.0078</v>
      </c>
      <c r="FI107" s="0" t="n">
        <v>0.0572</v>
      </c>
      <c r="FJ107" s="0" t="n">
        <v>0</v>
      </c>
      <c r="FK107" s="0" t="n">
        <v>0</v>
      </c>
      <c r="FL107" s="0" t="n">
        <v>0.2367</v>
      </c>
      <c r="FM107" s="0" t="n">
        <v>0</v>
      </c>
      <c r="FN107" s="0" t="n">
        <v>0.2881</v>
      </c>
      <c r="FO107" s="0" t="n">
        <v>0</v>
      </c>
      <c r="FP107" s="0" t="n">
        <v>0.383</v>
      </c>
    </row>
    <row r="108" customFormat="false" ht="13.8" hidden="false" customHeight="false" outlineLevel="0" collapsed="false">
      <c r="A108" s="2" t="s">
        <v>378</v>
      </c>
      <c r="B108" s="0" t="s">
        <v>173</v>
      </c>
      <c r="C108" s="0" t="n">
        <v>50</v>
      </c>
      <c r="D108" s="0" t="s">
        <v>379</v>
      </c>
      <c r="G108" s="0" t="n">
        <v>2443.9356</v>
      </c>
      <c r="H108" s="0" t="n">
        <v>140.3522</v>
      </c>
      <c r="I108" s="0" t="n">
        <v>440.9295</v>
      </c>
      <c r="J108" s="0" t="n">
        <v>0.464575</v>
      </c>
      <c r="K108" s="0" t="n">
        <v>0</v>
      </c>
      <c r="L108" s="0" t="n">
        <v>226.9432</v>
      </c>
      <c r="M108" s="0" t="n">
        <v>224.8886</v>
      </c>
      <c r="N108" s="0" t="n">
        <v>347.8267</v>
      </c>
      <c r="O108" s="0" t="n">
        <v>258.1908</v>
      </c>
      <c r="P108" s="0" t="n">
        <v>167.2363</v>
      </c>
      <c r="Q108" s="0" t="n">
        <v>116.7773</v>
      </c>
      <c r="R108" s="0" t="n">
        <v>118.5274</v>
      </c>
      <c r="S108" s="0" t="n">
        <v>77.2396</v>
      </c>
      <c r="T108" s="0" t="n">
        <v>76.3771</v>
      </c>
      <c r="U108" s="0" t="n">
        <v>64.6211</v>
      </c>
      <c r="V108" s="0" t="n">
        <v>55.6514</v>
      </c>
      <c r="W108" s="0" t="n">
        <v>40.2698</v>
      </c>
      <c r="X108" s="0" t="n">
        <v>42.5498</v>
      </c>
      <c r="Y108" s="0" t="n">
        <v>33.5194</v>
      </c>
      <c r="Z108" s="0" t="n">
        <v>34.9692</v>
      </c>
      <c r="AA108" s="0" t="n">
        <v>31.2422</v>
      </c>
      <c r="AB108" s="0" t="n">
        <v>27.7536</v>
      </c>
      <c r="AC108" s="0" t="n">
        <v>24.8688</v>
      </c>
      <c r="AD108" s="0" t="n">
        <v>20.4615</v>
      </c>
      <c r="AE108" s="0" t="n">
        <v>19.0768</v>
      </c>
      <c r="AF108" s="0" t="n">
        <v>23.331</v>
      </c>
      <c r="AG108" s="0" t="n">
        <v>23.7165</v>
      </c>
      <c r="AH108" s="0" t="n">
        <v>21.2685</v>
      </c>
      <c r="AI108" s="0" t="n">
        <v>22.7317</v>
      </c>
      <c r="AJ108" s="0" t="n">
        <v>20.7999</v>
      </c>
      <c r="AK108" s="0" t="n">
        <v>21.7916</v>
      </c>
      <c r="AL108" s="0" t="n">
        <v>19.466</v>
      </c>
      <c r="AM108" s="0" t="n">
        <v>22.6107</v>
      </c>
      <c r="AN108" s="0" t="n">
        <v>26.2658</v>
      </c>
      <c r="AO108" s="0" t="n">
        <v>26.2575</v>
      </c>
      <c r="AP108" s="0" t="n">
        <v>26.1872</v>
      </c>
      <c r="AQ108" s="0" t="n">
        <v>25.56</v>
      </c>
      <c r="AR108" s="0" t="n">
        <v>23.8949</v>
      </c>
      <c r="AS108" s="0" t="n">
        <v>18.578</v>
      </c>
      <c r="AT108" s="0" t="n">
        <v>22.4219</v>
      </c>
      <c r="AU108" s="0" t="n">
        <v>17.7319</v>
      </c>
      <c r="AV108" s="0" t="n">
        <v>11.6174</v>
      </c>
      <c r="AW108" s="0" t="n">
        <v>9.4144</v>
      </c>
      <c r="AX108" s="0" t="n">
        <v>8.5667</v>
      </c>
      <c r="AY108" s="0" t="n">
        <v>7.8949</v>
      </c>
      <c r="AZ108" s="0" t="n">
        <v>6.2996</v>
      </c>
      <c r="BA108" s="0" t="n">
        <v>4.8929</v>
      </c>
      <c r="BB108" s="0" t="n">
        <v>3.6166</v>
      </c>
      <c r="BC108" s="0" t="n">
        <v>4.5792</v>
      </c>
      <c r="BD108" s="0" t="n">
        <v>3.2311</v>
      </c>
      <c r="BE108" s="0" t="n">
        <v>2.825</v>
      </c>
      <c r="BF108" s="0" t="n">
        <v>1.8361</v>
      </c>
      <c r="BG108" s="0" t="n">
        <v>1.6573</v>
      </c>
      <c r="BH108" s="0" t="n">
        <v>1.1773</v>
      </c>
      <c r="BI108" s="0" t="n">
        <v>0.9466</v>
      </c>
      <c r="BJ108" s="0" t="n">
        <v>0.442</v>
      </c>
      <c r="BK108" s="0" t="n">
        <v>0.4879</v>
      </c>
      <c r="BL108" s="0" t="n">
        <v>0.2816</v>
      </c>
      <c r="BM108" s="0" t="n">
        <v>0.396</v>
      </c>
      <c r="BN108" s="0" t="n">
        <v>0.3631</v>
      </c>
      <c r="BO108" s="0" t="n">
        <v>0.1689</v>
      </c>
      <c r="BP108" s="0" t="n">
        <v>0.0776</v>
      </c>
      <c r="BQ108" s="0" t="n">
        <v>0.0496</v>
      </c>
      <c r="BR108" s="0" t="n">
        <v>0.0902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0.0404</v>
      </c>
      <c r="BX108" s="0" t="n">
        <v>0</v>
      </c>
      <c r="BY108" s="0" t="n">
        <v>0</v>
      </c>
      <c r="BZ108" s="0" t="n">
        <v>0</v>
      </c>
      <c r="CA108" s="0" t="n">
        <v>0.0465</v>
      </c>
      <c r="CB108" s="0" t="n">
        <v>0.0734</v>
      </c>
      <c r="CC108" s="0" t="n">
        <v>0</v>
      </c>
      <c r="CD108" s="0" t="n">
        <v>0.0338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5.9637</v>
      </c>
      <c r="CP108" s="0" t="n">
        <v>8.8914</v>
      </c>
      <c r="CQ108" s="0" t="n">
        <v>19.1482</v>
      </c>
      <c r="CR108" s="0" t="n">
        <v>17.9812</v>
      </c>
      <c r="CS108" s="0" t="n">
        <v>14.3278</v>
      </c>
      <c r="CT108" s="0" t="n">
        <v>11.9107</v>
      </c>
      <c r="CU108" s="0" t="n">
        <v>13.9421</v>
      </c>
      <c r="CV108" s="0" t="n">
        <v>10.335</v>
      </c>
      <c r="CW108" s="0" t="n">
        <v>11.3552</v>
      </c>
      <c r="CX108" s="0" t="n">
        <v>10.6295</v>
      </c>
      <c r="CY108" s="0" t="n">
        <v>10.0486</v>
      </c>
      <c r="CZ108" s="0" t="n">
        <v>7.904</v>
      </c>
      <c r="DA108" s="0" t="n">
        <v>8.9973</v>
      </c>
      <c r="DB108" s="0" t="n">
        <v>7.6351</v>
      </c>
      <c r="DC108" s="0" t="n">
        <v>8.5173</v>
      </c>
      <c r="DD108" s="0" t="n">
        <v>8.0943</v>
      </c>
      <c r="DE108" s="0" t="n">
        <v>7.6095</v>
      </c>
      <c r="DF108" s="0" t="n">
        <v>7.2238</v>
      </c>
      <c r="DG108" s="0" t="n">
        <v>6.2718</v>
      </c>
      <c r="DH108" s="0" t="n">
        <v>6.1323</v>
      </c>
      <c r="DI108" s="0" t="n">
        <v>7.8867</v>
      </c>
      <c r="DJ108" s="0" t="n">
        <v>8.375</v>
      </c>
      <c r="DK108" s="0" t="n">
        <v>7.8536</v>
      </c>
      <c r="DL108" s="0" t="n">
        <v>8.7497</v>
      </c>
      <c r="DM108" s="0" t="n">
        <v>8.3157</v>
      </c>
      <c r="DN108" s="0" t="n">
        <v>9.0649</v>
      </c>
      <c r="DO108" s="0" t="n">
        <v>8.4183</v>
      </c>
      <c r="DP108" s="0" t="n">
        <v>10.1242</v>
      </c>
      <c r="DQ108" s="0" t="n">
        <v>12.1579</v>
      </c>
      <c r="DR108" s="0" t="n">
        <v>12.5788</v>
      </c>
      <c r="DS108" s="0" t="n">
        <v>12.9655</v>
      </c>
      <c r="DT108" s="0" t="n">
        <v>13.0571</v>
      </c>
      <c r="DU108" s="0" t="n">
        <v>12.5685</v>
      </c>
      <c r="DV108" s="0" t="n">
        <v>10.0559</v>
      </c>
      <c r="DW108" s="0" t="n">
        <v>12.5023</v>
      </c>
      <c r="DX108" s="0" t="n">
        <v>10.1773</v>
      </c>
      <c r="DY108" s="0" t="n">
        <v>6.8431</v>
      </c>
      <c r="DZ108" s="0" t="n">
        <v>5.6889</v>
      </c>
      <c r="EA108" s="0" t="n">
        <v>5.3128</v>
      </c>
      <c r="EB108" s="0" t="n">
        <v>5.0266</v>
      </c>
      <c r="EC108" s="0" t="n">
        <v>4.0982</v>
      </c>
      <c r="ED108" s="0" t="n">
        <v>3.2556</v>
      </c>
      <c r="EE108" s="0" t="n">
        <v>2.4711</v>
      </c>
      <c r="EF108" s="0" t="n">
        <v>3.2014</v>
      </c>
      <c r="EG108" s="0" t="n">
        <v>2.3122</v>
      </c>
      <c r="EH108" s="0" t="n">
        <v>2.0648</v>
      </c>
      <c r="EI108" s="0" t="n">
        <v>1.3722</v>
      </c>
      <c r="EJ108" s="0" t="n">
        <v>1.2644</v>
      </c>
      <c r="EK108" s="0" t="n">
        <v>0.9149</v>
      </c>
      <c r="EL108" s="0" t="n">
        <v>0.7493</v>
      </c>
      <c r="EM108" s="0" t="n">
        <v>0.3572</v>
      </c>
      <c r="EN108" s="0" t="n">
        <v>0.4027</v>
      </c>
      <c r="EO108" s="0" t="n">
        <v>0.2355</v>
      </c>
      <c r="EP108" s="0" t="n">
        <v>0.3392</v>
      </c>
      <c r="EQ108" s="0" t="n">
        <v>0.317</v>
      </c>
      <c r="ER108" s="0" t="n">
        <v>0.15</v>
      </c>
      <c r="ES108" s="0" t="n">
        <v>0.0697</v>
      </c>
      <c r="ET108" s="0" t="n">
        <v>0.0455</v>
      </c>
      <c r="EU108" s="0" t="n">
        <v>0.0843</v>
      </c>
      <c r="EV108" s="0" t="n">
        <v>0</v>
      </c>
      <c r="EW108" s="0" t="n">
        <v>0</v>
      </c>
      <c r="EX108" s="0" t="n">
        <v>0</v>
      </c>
      <c r="EY108" s="0" t="n">
        <v>0</v>
      </c>
      <c r="EZ108" s="0" t="n">
        <v>0.099</v>
      </c>
      <c r="FA108" s="0" t="n">
        <v>0</v>
      </c>
      <c r="FB108" s="0" t="n">
        <v>0</v>
      </c>
      <c r="FC108" s="0" t="n">
        <v>0</v>
      </c>
      <c r="FD108" s="0" t="n">
        <v>0.0502</v>
      </c>
      <c r="FE108" s="0" t="n">
        <v>0.0807</v>
      </c>
      <c r="FF108" s="0" t="n">
        <v>0</v>
      </c>
      <c r="FG108" s="0" t="n">
        <v>0.0378</v>
      </c>
      <c r="FH108" s="0" t="n">
        <v>0</v>
      </c>
      <c r="FI108" s="0" t="n">
        <v>0</v>
      </c>
      <c r="FJ108" s="0" t="n">
        <v>0</v>
      </c>
      <c r="FK108" s="0" t="n">
        <v>0</v>
      </c>
      <c r="FL108" s="0" t="n">
        <v>0</v>
      </c>
      <c r="FM108" s="0" t="n">
        <v>0</v>
      </c>
      <c r="FN108" s="0" t="n">
        <v>0</v>
      </c>
      <c r="FO108" s="0" t="n">
        <v>0</v>
      </c>
      <c r="FP108" s="0" t="n">
        <v>0</v>
      </c>
    </row>
    <row r="109" customFormat="false" ht="13.8" hidden="false" customHeight="false" outlineLevel="0" collapsed="false">
      <c r="A109" s="2" t="s">
        <v>380</v>
      </c>
      <c r="B109" s="0" t="s">
        <v>176</v>
      </c>
      <c r="C109" s="0" t="n">
        <v>328</v>
      </c>
      <c r="D109" s="0" t="s">
        <v>381</v>
      </c>
      <c r="G109" s="0" t="n">
        <v>2463.0635</v>
      </c>
      <c r="H109" s="0" t="n">
        <v>242.5817</v>
      </c>
      <c r="I109" s="0" t="n">
        <v>762.0928</v>
      </c>
      <c r="J109" s="0" t="n">
        <v>0.9853</v>
      </c>
      <c r="K109" s="0" t="n">
        <v>0.199</v>
      </c>
      <c r="L109" s="0" t="n">
        <v>173.9208</v>
      </c>
      <c r="M109" s="0" t="n">
        <v>144.7088</v>
      </c>
      <c r="N109" s="0" t="n">
        <v>214.4942</v>
      </c>
      <c r="O109" s="0" t="n">
        <v>179.7171</v>
      </c>
      <c r="P109" s="0" t="n">
        <v>119.9163</v>
      </c>
      <c r="Q109" s="0" t="n">
        <v>89.3731</v>
      </c>
      <c r="R109" s="0" t="n">
        <v>89.1615</v>
      </c>
      <c r="S109" s="0" t="n">
        <v>54.2369</v>
      </c>
      <c r="T109" s="0" t="n">
        <v>55.1348</v>
      </c>
      <c r="U109" s="0" t="n">
        <v>55.4896</v>
      </c>
      <c r="V109" s="0" t="n">
        <v>49.5964</v>
      </c>
      <c r="W109" s="0" t="n">
        <v>54.802</v>
      </c>
      <c r="X109" s="0" t="n">
        <v>54.5742</v>
      </c>
      <c r="Y109" s="0" t="n">
        <v>46.727</v>
      </c>
      <c r="Z109" s="0" t="n">
        <v>42.0209</v>
      </c>
      <c r="AA109" s="0" t="n">
        <v>36.8798</v>
      </c>
      <c r="AB109" s="0" t="n">
        <v>34.1398</v>
      </c>
      <c r="AC109" s="0" t="n">
        <v>29.355</v>
      </c>
      <c r="AD109" s="0" t="n">
        <v>36.417</v>
      </c>
      <c r="AE109" s="0" t="n">
        <v>37.044</v>
      </c>
      <c r="AF109" s="0" t="n">
        <v>35.6152</v>
      </c>
      <c r="AG109" s="0" t="n">
        <v>31.357</v>
      </c>
      <c r="AH109" s="0" t="n">
        <v>29.8205</v>
      </c>
      <c r="AI109" s="0" t="n">
        <v>31.3125</v>
      </c>
      <c r="AJ109" s="0" t="n">
        <v>26.2815</v>
      </c>
      <c r="AK109" s="0" t="n">
        <v>31.0111</v>
      </c>
      <c r="AL109" s="0" t="n">
        <v>27.953</v>
      </c>
      <c r="AM109" s="0" t="n">
        <v>25.4917</v>
      </c>
      <c r="AN109" s="0" t="n">
        <v>27.0813</v>
      </c>
      <c r="AO109" s="0" t="n">
        <v>27.881</v>
      </c>
      <c r="AP109" s="0" t="n">
        <v>26.9752</v>
      </c>
      <c r="AQ109" s="0" t="n">
        <v>34.551</v>
      </c>
      <c r="AR109" s="0" t="n">
        <v>30.479</v>
      </c>
      <c r="AS109" s="0" t="n">
        <v>26.1986</v>
      </c>
      <c r="AT109" s="0" t="n">
        <v>26.4637</v>
      </c>
      <c r="AU109" s="0" t="n">
        <v>30.2376</v>
      </c>
      <c r="AV109" s="0" t="n">
        <v>23.5144</v>
      </c>
      <c r="AW109" s="0" t="n">
        <v>21.5947</v>
      </c>
      <c r="AX109" s="0" t="n">
        <v>21.6219</v>
      </c>
      <c r="AY109" s="0" t="n">
        <v>20.7003</v>
      </c>
      <c r="AZ109" s="0" t="n">
        <v>23.3847</v>
      </c>
      <c r="BA109" s="0" t="n">
        <v>22.3787</v>
      </c>
      <c r="BB109" s="0" t="n">
        <v>20.3106</v>
      </c>
      <c r="BC109" s="0" t="n">
        <v>20.7775</v>
      </c>
      <c r="BD109" s="0" t="n">
        <v>16.4784</v>
      </c>
      <c r="BE109" s="0" t="n">
        <v>13.542</v>
      </c>
      <c r="BF109" s="0" t="n">
        <v>13.6557</v>
      </c>
      <c r="BG109" s="0" t="n">
        <v>15.1989</v>
      </c>
      <c r="BH109" s="0" t="n">
        <v>13.4161</v>
      </c>
      <c r="BI109" s="0" t="n">
        <v>10.8567</v>
      </c>
      <c r="BJ109" s="0" t="n">
        <v>13.0874</v>
      </c>
      <c r="BK109" s="0" t="n">
        <v>8.7354</v>
      </c>
      <c r="BL109" s="0" t="n">
        <v>5.5636</v>
      </c>
      <c r="BM109" s="0" t="n">
        <v>9.2288</v>
      </c>
      <c r="BN109" s="0" t="n">
        <v>10.3666</v>
      </c>
      <c r="BO109" s="0" t="n">
        <v>6.4554</v>
      </c>
      <c r="BP109" s="0" t="n">
        <v>5.2079</v>
      </c>
      <c r="BQ109" s="0" t="n">
        <v>4.826</v>
      </c>
      <c r="BR109" s="0" t="n">
        <v>7.8027</v>
      </c>
      <c r="BS109" s="0" t="n">
        <v>3.4502</v>
      </c>
      <c r="BT109" s="0" t="n">
        <v>6.2403</v>
      </c>
      <c r="BU109" s="0" t="n">
        <v>3.6608</v>
      </c>
      <c r="BV109" s="0" t="n">
        <v>3.8327</v>
      </c>
      <c r="BW109" s="0" t="n">
        <v>4.2466</v>
      </c>
      <c r="BX109" s="0" t="n">
        <v>2.1018</v>
      </c>
      <c r="BY109" s="0" t="n">
        <v>3.3133</v>
      </c>
      <c r="BZ109" s="0" t="n">
        <v>2.4723</v>
      </c>
      <c r="CA109" s="0" t="n">
        <v>2.1091</v>
      </c>
      <c r="CB109" s="0" t="n">
        <v>4.8427</v>
      </c>
      <c r="CC109" s="0" t="n">
        <v>1.4443</v>
      </c>
      <c r="CD109" s="0" t="n">
        <v>1.195</v>
      </c>
      <c r="CE109" s="0" t="n">
        <v>3.1439</v>
      </c>
      <c r="CF109" s="0" t="n">
        <v>3.9428</v>
      </c>
      <c r="CG109" s="0" t="n">
        <v>0.9654</v>
      </c>
      <c r="CH109" s="0" t="n">
        <v>1.3988</v>
      </c>
      <c r="CI109" s="0" t="n">
        <v>1.5903</v>
      </c>
      <c r="CJ109" s="0" t="n">
        <v>1.8203</v>
      </c>
      <c r="CK109" s="0" t="n">
        <v>1.9844</v>
      </c>
      <c r="CL109" s="0" t="n">
        <v>1.7966</v>
      </c>
      <c r="CM109" s="0" t="n">
        <v>10.316</v>
      </c>
      <c r="CN109" s="0" t="n">
        <v>0.0023</v>
      </c>
      <c r="CO109" s="0" t="n">
        <v>4.5263</v>
      </c>
      <c r="CP109" s="0" t="n">
        <v>5.5838</v>
      </c>
      <c r="CQ109" s="0" t="n">
        <v>11.8085</v>
      </c>
      <c r="CR109" s="0" t="n">
        <v>12.4924</v>
      </c>
      <c r="CS109" s="0" t="n">
        <v>10.3133</v>
      </c>
      <c r="CT109" s="0" t="n">
        <v>9.1114</v>
      </c>
      <c r="CU109" s="0" t="n">
        <v>10.5298</v>
      </c>
      <c r="CV109" s="0" t="n">
        <v>7.2207</v>
      </c>
      <c r="CW109" s="0" t="n">
        <v>8.227</v>
      </c>
      <c r="CX109" s="0" t="n">
        <v>9.1323</v>
      </c>
      <c r="CY109" s="0" t="n">
        <v>8.9829</v>
      </c>
      <c r="CZ109" s="0" t="n">
        <v>10.7459</v>
      </c>
      <c r="DA109" s="0" t="n">
        <v>11.5672</v>
      </c>
      <c r="DB109" s="0" t="n">
        <v>10.6493</v>
      </c>
      <c r="DC109" s="0" t="n">
        <v>10.2409</v>
      </c>
      <c r="DD109" s="0" t="n">
        <v>9.5364</v>
      </c>
      <c r="DE109" s="0" t="n">
        <v>9.3762</v>
      </c>
      <c r="DF109" s="0" t="n">
        <v>8.5301</v>
      </c>
      <c r="DG109" s="0" t="n">
        <v>11.1503</v>
      </c>
      <c r="DH109" s="0" t="n">
        <v>11.9272</v>
      </c>
      <c r="DI109" s="0" t="n">
        <v>12.0263</v>
      </c>
      <c r="DJ109" s="0" t="n">
        <v>11.0548</v>
      </c>
      <c r="DK109" s="0" t="n">
        <v>11.0118</v>
      </c>
      <c r="DL109" s="0" t="n">
        <v>12.0524</v>
      </c>
      <c r="DM109" s="0" t="n">
        <v>10.5094</v>
      </c>
      <c r="DN109" s="0" t="n">
        <v>12.9002</v>
      </c>
      <c r="DO109" s="0" t="n">
        <v>12.0966</v>
      </c>
      <c r="DP109" s="0" t="n">
        <v>11.3886</v>
      </c>
      <c r="DQ109" s="0" t="n">
        <v>12.5347</v>
      </c>
      <c r="DR109" s="0" t="n">
        <v>13.3447</v>
      </c>
      <c r="DS109" s="0" t="n">
        <v>13.3493</v>
      </c>
      <c r="DT109" s="0" t="n">
        <v>17.626</v>
      </c>
      <c r="DU109" s="0" t="n">
        <v>16.0476</v>
      </c>
      <c r="DV109" s="0" t="n">
        <v>14.1827</v>
      </c>
      <c r="DW109" s="0" t="n">
        <v>14.7513</v>
      </c>
      <c r="DX109" s="0" t="n">
        <v>17.352</v>
      </c>
      <c r="DY109" s="0" t="n">
        <v>13.8433</v>
      </c>
      <c r="DZ109" s="0" t="n">
        <v>13.0565</v>
      </c>
      <c r="EA109" s="0" t="n">
        <v>13.4269</v>
      </c>
      <c r="EB109" s="0" t="n">
        <v>13.1808</v>
      </c>
      <c r="EC109" s="0" t="n">
        <v>15.2508</v>
      </c>
      <c r="ED109" s="0" t="n">
        <v>14.9578</v>
      </c>
      <c r="EE109" s="0" t="n">
        <v>13.8833</v>
      </c>
      <c r="EF109" s="0" t="n">
        <v>14.5078</v>
      </c>
      <c r="EG109" s="0" t="n">
        <v>11.7762</v>
      </c>
      <c r="EH109" s="0" t="n">
        <v>9.8942</v>
      </c>
      <c r="EI109" s="0" t="n">
        <v>10.1912</v>
      </c>
      <c r="EJ109" s="0" t="n">
        <v>11.5851</v>
      </c>
      <c r="EK109" s="0" t="n">
        <v>10.4326</v>
      </c>
      <c r="EL109" s="0" t="n">
        <v>8.6163</v>
      </c>
      <c r="EM109" s="0" t="n">
        <v>10.5857</v>
      </c>
      <c r="EN109" s="0" t="n">
        <v>7.2115</v>
      </c>
      <c r="EO109" s="0" t="n">
        <v>4.6838</v>
      </c>
      <c r="EP109" s="0" t="n">
        <v>7.9071</v>
      </c>
      <c r="EQ109" s="0" t="n">
        <v>9.0424</v>
      </c>
      <c r="ER109" s="0" t="n">
        <v>5.7265</v>
      </c>
      <c r="ES109" s="0" t="n">
        <v>4.7076</v>
      </c>
      <c r="ET109" s="0" t="n">
        <v>4.4324</v>
      </c>
      <c r="EU109" s="0" t="n">
        <v>7.3041</v>
      </c>
      <c r="EV109" s="0" t="n">
        <v>3.279</v>
      </c>
      <c r="EW109" s="0" t="n">
        <v>6.0346</v>
      </c>
      <c r="EX109" s="0" t="n">
        <v>3.5947</v>
      </c>
      <c r="EY109" s="0" t="n">
        <v>3.8175</v>
      </c>
      <c r="EZ109" s="0" t="n">
        <v>4.2994</v>
      </c>
      <c r="FA109" s="0" t="n">
        <v>2.1667</v>
      </c>
      <c r="FB109" s="0" t="n">
        <v>3.4643</v>
      </c>
      <c r="FC109" s="0" t="n">
        <v>2.6248</v>
      </c>
      <c r="FD109" s="0" t="n">
        <v>2.2712</v>
      </c>
      <c r="FE109" s="0" t="n">
        <v>5.2959</v>
      </c>
      <c r="FF109" s="0" t="n">
        <v>1.6001</v>
      </c>
      <c r="FG109" s="0" t="n">
        <v>1.3408</v>
      </c>
      <c r="FH109" s="0" t="n">
        <v>3.5693</v>
      </c>
      <c r="FI109" s="0" t="n">
        <v>4.5472</v>
      </c>
      <c r="FJ109" s="0" t="n">
        <v>1.1298</v>
      </c>
      <c r="FK109" s="0" t="n">
        <v>1.6596</v>
      </c>
      <c r="FL109" s="0" t="n">
        <v>1.9054</v>
      </c>
      <c r="FM109" s="0" t="n">
        <v>2.2147</v>
      </c>
      <c r="FN109" s="0" t="n">
        <v>2.4485</v>
      </c>
      <c r="FO109" s="0" t="n">
        <v>2.246</v>
      </c>
      <c r="FP109" s="0" t="n">
        <v>14.4174</v>
      </c>
    </row>
    <row r="110" customFormat="false" ht="13.8" hidden="false" customHeight="false" outlineLevel="0" collapsed="false">
      <c r="A110" s="2" t="s">
        <v>382</v>
      </c>
      <c r="B110" s="0" t="s">
        <v>173</v>
      </c>
      <c r="C110" s="0" t="n">
        <v>59</v>
      </c>
      <c r="D110" s="0" t="s">
        <v>383</v>
      </c>
      <c r="E110" s="0" t="e">
        <f aca="false">VLOOKUP(A110,[1]RHIZOMES!$A$1:$B$1048576,2,0)</f>
        <v>#N/A</v>
      </c>
      <c r="F110" s="0" t="n">
        <v>2.3058</v>
      </c>
      <c r="G110" s="0" t="n">
        <v>1680.4576</v>
      </c>
      <c r="H110" s="0" t="n">
        <v>121.7485</v>
      </c>
      <c r="I110" s="0" t="n">
        <v>382.4843</v>
      </c>
      <c r="J110" s="0" t="n">
        <v>0.6554</v>
      </c>
      <c r="K110" s="0" t="n">
        <v>0</v>
      </c>
      <c r="L110" s="0" t="n">
        <v>186.8487</v>
      </c>
      <c r="M110" s="0" t="n">
        <v>192.0614</v>
      </c>
      <c r="N110" s="0" t="n">
        <v>121.4657</v>
      </c>
      <c r="O110" s="0" t="n">
        <v>0.1897</v>
      </c>
      <c r="P110" s="0" t="n">
        <v>120.6174</v>
      </c>
      <c r="Q110" s="0" t="n">
        <v>46.2944</v>
      </c>
      <c r="R110" s="0" t="n">
        <v>78.8032</v>
      </c>
      <c r="S110" s="0" t="n">
        <v>62.4387</v>
      </c>
      <c r="T110" s="0" t="n">
        <v>14.1014</v>
      </c>
      <c r="U110" s="0" t="n">
        <v>70.2044</v>
      </c>
      <c r="V110" s="0" t="n">
        <v>61.7886</v>
      </c>
      <c r="W110" s="0" t="n">
        <v>47.1323</v>
      </c>
      <c r="X110" s="0" t="n">
        <v>53.6688</v>
      </c>
      <c r="Y110" s="0" t="n">
        <v>41.8706</v>
      </c>
      <c r="Z110" s="0" t="n">
        <v>38.8497</v>
      </c>
      <c r="AA110" s="0" t="n">
        <v>26.4674</v>
      </c>
      <c r="AB110" s="0" t="n">
        <v>43.819</v>
      </c>
      <c r="AC110" s="0" t="n">
        <v>16.4213</v>
      </c>
      <c r="AD110" s="0" t="n">
        <v>35.485</v>
      </c>
      <c r="AE110" s="0" t="n">
        <v>16.6372</v>
      </c>
      <c r="AF110" s="0" t="n">
        <v>37.7032</v>
      </c>
      <c r="AG110" s="0" t="n">
        <v>16.6207</v>
      </c>
      <c r="AH110" s="0" t="n">
        <v>25.8613</v>
      </c>
      <c r="AI110" s="0" t="n">
        <v>29.9704</v>
      </c>
      <c r="AJ110" s="0" t="n">
        <v>6.4752</v>
      </c>
      <c r="AK110" s="0" t="n">
        <v>30.7081</v>
      </c>
      <c r="AL110" s="0" t="n">
        <v>30.6318</v>
      </c>
      <c r="AM110" s="0" t="n">
        <v>15.4785</v>
      </c>
      <c r="AN110" s="0" t="n">
        <v>9.9777</v>
      </c>
      <c r="AO110" s="0" t="n">
        <v>23.4506</v>
      </c>
      <c r="AP110" s="0" t="n">
        <v>16.0653</v>
      </c>
      <c r="AQ110" s="0" t="n">
        <v>20.7395</v>
      </c>
      <c r="AR110" s="0" t="n">
        <v>11.0104</v>
      </c>
      <c r="AS110" s="0" t="n">
        <v>12.6299</v>
      </c>
      <c r="AT110" s="0" t="n">
        <v>13.5936</v>
      </c>
      <c r="AU110" s="0" t="n">
        <v>15.1916</v>
      </c>
      <c r="AV110" s="0" t="n">
        <v>0.8131</v>
      </c>
      <c r="AW110" s="0" t="n">
        <v>12.2411</v>
      </c>
      <c r="AX110" s="0" t="n">
        <v>12.5976</v>
      </c>
      <c r="AY110" s="0" t="n">
        <v>10.7418</v>
      </c>
      <c r="AZ110" s="0" t="n">
        <v>6.6847</v>
      </c>
      <c r="BA110" s="0" t="n">
        <v>5.5999</v>
      </c>
      <c r="BB110" s="0" t="n">
        <v>7.6316</v>
      </c>
      <c r="BC110" s="0" t="n">
        <v>4.1676</v>
      </c>
      <c r="BD110" s="0" t="n">
        <v>3.8104</v>
      </c>
      <c r="BE110" s="0" t="n">
        <v>4.4201</v>
      </c>
      <c r="BF110" s="0" t="n">
        <v>0.9633</v>
      </c>
      <c r="BG110" s="0" t="n">
        <v>3.9617</v>
      </c>
      <c r="BH110" s="0" t="n">
        <v>1.8902</v>
      </c>
      <c r="BI110" s="0" t="n">
        <v>1.2892</v>
      </c>
      <c r="BJ110" s="0" t="n">
        <v>1.3226</v>
      </c>
      <c r="BK110" s="0" t="n">
        <v>1.8079</v>
      </c>
      <c r="BL110" s="0" t="n">
        <v>1.2261</v>
      </c>
      <c r="BM110" s="0" t="n">
        <v>0.451</v>
      </c>
      <c r="BN110" s="0" t="n">
        <v>1.279</v>
      </c>
      <c r="BO110" s="0" t="n">
        <v>0.2099</v>
      </c>
      <c r="BP110" s="0" t="n">
        <v>1.0269</v>
      </c>
      <c r="BQ110" s="0" t="n">
        <v>0.408</v>
      </c>
      <c r="BR110" s="0" t="n">
        <v>0.6888</v>
      </c>
      <c r="BS110" s="0" t="n">
        <v>0.6186</v>
      </c>
      <c r="BT110" s="0" t="n">
        <v>0.5984</v>
      </c>
      <c r="BU110" s="0" t="n">
        <v>0.0703</v>
      </c>
      <c r="BV110" s="0" t="n">
        <v>0.3375</v>
      </c>
      <c r="BW110" s="0" t="n">
        <v>0.1925</v>
      </c>
      <c r="BX110" s="0" t="n">
        <v>0.1857</v>
      </c>
      <c r="BY110" s="0" t="n">
        <v>0.0132</v>
      </c>
      <c r="BZ110" s="0" t="n">
        <v>0.0634</v>
      </c>
      <c r="CA110" s="0" t="n">
        <v>0.2936</v>
      </c>
      <c r="CB110" s="0" t="n">
        <v>0</v>
      </c>
      <c r="CC110" s="0" t="n">
        <v>0</v>
      </c>
      <c r="CD110" s="0" t="n">
        <v>0.0883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4.0045</v>
      </c>
      <c r="CP110" s="0" t="n">
        <v>8.1324</v>
      </c>
      <c r="CQ110" s="0" t="n">
        <v>7.4158</v>
      </c>
      <c r="CR110" s="0" t="n">
        <v>0.0131</v>
      </c>
      <c r="CS110" s="0" t="n">
        <v>10.0375</v>
      </c>
      <c r="CT110" s="0" t="n">
        <v>4.7006</v>
      </c>
      <c r="CU110" s="0" t="n">
        <v>9.242</v>
      </c>
      <c r="CV110" s="0" t="n">
        <v>8.6774</v>
      </c>
      <c r="CW110" s="0" t="n">
        <v>2.0389</v>
      </c>
      <c r="CX110" s="0" t="n">
        <v>11.3815</v>
      </c>
      <c r="CY110" s="0" t="n">
        <v>11.3051</v>
      </c>
      <c r="CZ110" s="0" t="n">
        <v>9.3542</v>
      </c>
      <c r="DA110" s="0" t="n">
        <v>11.2899</v>
      </c>
      <c r="DB110" s="0" t="n">
        <v>9.5188</v>
      </c>
      <c r="DC110" s="0" t="n">
        <v>9.5126</v>
      </c>
      <c r="DD110" s="0" t="n">
        <v>6.7861</v>
      </c>
      <c r="DE110" s="0" t="n">
        <v>11.9986</v>
      </c>
      <c r="DF110" s="0" t="n">
        <v>4.7486</v>
      </c>
      <c r="DG110" s="0" t="n">
        <v>10.774</v>
      </c>
      <c r="DH110" s="0" t="n">
        <v>5.3448</v>
      </c>
      <c r="DI110" s="0" t="n">
        <v>12.8326</v>
      </c>
      <c r="DJ110" s="0" t="n">
        <v>5.9102</v>
      </c>
      <c r="DK110" s="0" t="n">
        <v>9.5617</v>
      </c>
      <c r="DL110" s="0" t="n">
        <v>11.668</v>
      </c>
      <c r="DM110" s="0" t="n">
        <v>2.5782</v>
      </c>
      <c r="DN110" s="0" t="n">
        <v>12.7656</v>
      </c>
      <c r="DO110" s="0" t="n">
        <v>13.3461</v>
      </c>
      <c r="DP110" s="0" t="n">
        <v>7.0297</v>
      </c>
      <c r="DQ110" s="0" t="n">
        <v>4.5892</v>
      </c>
      <c r="DR110" s="0" t="n">
        <v>11.2099</v>
      </c>
      <c r="DS110" s="0" t="n">
        <v>7.9759</v>
      </c>
      <c r="DT110" s="0" t="n">
        <v>10.607</v>
      </c>
      <c r="DU110" s="0" t="n">
        <v>5.802</v>
      </c>
      <c r="DV110" s="0" t="n">
        <v>6.7862</v>
      </c>
      <c r="DW110" s="0" t="n">
        <v>7.557</v>
      </c>
      <c r="DX110" s="0" t="n">
        <v>8.7655</v>
      </c>
      <c r="DY110" s="0" t="n">
        <v>0.4817</v>
      </c>
      <c r="DZ110" s="0" t="n">
        <v>7.33</v>
      </c>
      <c r="EA110" s="0" t="n">
        <v>7.8072</v>
      </c>
      <c r="EB110" s="0" t="n">
        <v>6.8675</v>
      </c>
      <c r="EC110" s="0" t="n">
        <v>4.3416</v>
      </c>
      <c r="ED110" s="0" t="n">
        <v>3.7163</v>
      </c>
      <c r="EE110" s="0" t="n">
        <v>5.2102</v>
      </c>
      <c r="EF110" s="0" t="n">
        <v>2.9218</v>
      </c>
      <c r="EG110" s="0" t="n">
        <v>2.7268</v>
      </c>
      <c r="EH110" s="0" t="n">
        <v>3.2361</v>
      </c>
      <c r="EI110" s="0" t="n">
        <v>0.7163</v>
      </c>
      <c r="EJ110" s="0" t="n">
        <v>3.0161</v>
      </c>
      <c r="EK110" s="0" t="n">
        <v>1.4779</v>
      </c>
      <c r="EL110" s="0" t="n">
        <v>1.0279</v>
      </c>
      <c r="EM110" s="0" t="n">
        <v>1.0657</v>
      </c>
      <c r="EN110" s="0" t="n">
        <v>1.4849</v>
      </c>
      <c r="EO110" s="0" t="n">
        <v>1.0316</v>
      </c>
      <c r="EP110" s="0" t="n">
        <v>0.3852</v>
      </c>
      <c r="EQ110" s="0" t="n">
        <v>1.1138</v>
      </c>
      <c r="ER110" s="0" t="n">
        <v>0.1864</v>
      </c>
      <c r="ES110" s="0" t="n">
        <v>0.9252</v>
      </c>
      <c r="ET110" s="0" t="n">
        <v>0.3752</v>
      </c>
      <c r="EU110" s="0" t="n">
        <v>0.6411</v>
      </c>
      <c r="EV110" s="0" t="n">
        <v>0.5881</v>
      </c>
      <c r="EW110" s="0" t="n">
        <v>0.5786</v>
      </c>
      <c r="EX110" s="0" t="n">
        <v>0.0693</v>
      </c>
      <c r="EY110" s="0" t="n">
        <v>0.3345</v>
      </c>
      <c r="EZ110" s="0" t="n">
        <v>0.1948</v>
      </c>
      <c r="FA110" s="0" t="n">
        <v>0.1918</v>
      </c>
      <c r="FB110" s="0" t="n">
        <v>0.0138</v>
      </c>
      <c r="FC110" s="0" t="n">
        <v>0.0672</v>
      </c>
      <c r="FD110" s="0" t="n">
        <v>0.333</v>
      </c>
      <c r="FE110" s="0" t="n">
        <v>0</v>
      </c>
      <c r="FF110" s="0" t="n">
        <v>0</v>
      </c>
      <c r="FG110" s="0" t="n">
        <v>0.0985</v>
      </c>
      <c r="FH110" s="0" t="n">
        <v>0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0</v>
      </c>
    </row>
    <row r="111" customFormat="false" ht="13.8" hidden="false" customHeight="false" outlineLevel="0" collapsed="false">
      <c r="A111" s="2" t="s">
        <v>384</v>
      </c>
      <c r="B111" s="0" t="s">
        <v>173</v>
      </c>
      <c r="C111" s="0" t="n">
        <v>80</v>
      </c>
      <c r="D111" s="0" t="s">
        <v>385</v>
      </c>
      <c r="G111" s="0" t="n">
        <v>3104.978</v>
      </c>
      <c r="H111" s="0" t="n">
        <v>181.4154</v>
      </c>
      <c r="I111" s="0" t="n">
        <v>569.9332</v>
      </c>
      <c r="J111" s="0" t="n">
        <v>0.565866666666667</v>
      </c>
      <c r="K111" s="0" t="n">
        <v>0</v>
      </c>
      <c r="L111" s="0" t="n">
        <v>292.7512</v>
      </c>
      <c r="M111" s="0" t="n">
        <v>268.1677</v>
      </c>
      <c r="N111" s="0" t="n">
        <v>411.5223</v>
      </c>
      <c r="O111" s="0" t="n">
        <v>336.1951</v>
      </c>
      <c r="P111" s="0" t="n">
        <v>261.0402</v>
      </c>
      <c r="Q111" s="0" t="n">
        <v>153.9081</v>
      </c>
      <c r="R111" s="0" t="n">
        <v>147.5374</v>
      </c>
      <c r="S111" s="0" t="n">
        <v>86.251</v>
      </c>
      <c r="T111" s="0" t="n">
        <v>73.2694</v>
      </c>
      <c r="U111" s="0" t="n">
        <v>60.6544</v>
      </c>
      <c r="V111" s="0" t="n">
        <v>58.4367</v>
      </c>
      <c r="W111" s="0" t="n">
        <v>53.8654</v>
      </c>
      <c r="X111" s="0" t="n">
        <v>50.2237</v>
      </c>
      <c r="Y111" s="0" t="n">
        <v>39.9428</v>
      </c>
      <c r="Z111" s="0" t="n">
        <v>39.798</v>
      </c>
      <c r="AA111" s="0" t="n">
        <v>38.7699</v>
      </c>
      <c r="AB111" s="0" t="n">
        <v>37.6874</v>
      </c>
      <c r="AC111" s="0" t="n">
        <v>33.9034</v>
      </c>
      <c r="AD111" s="0" t="n">
        <v>38.8632</v>
      </c>
      <c r="AE111" s="0" t="n">
        <v>39.1981</v>
      </c>
      <c r="AF111" s="0" t="n">
        <v>42.9535</v>
      </c>
      <c r="AG111" s="0" t="n">
        <v>29.9832</v>
      </c>
      <c r="AH111" s="0" t="n">
        <v>30.9908</v>
      </c>
      <c r="AI111" s="0" t="n">
        <v>25.0951</v>
      </c>
      <c r="AJ111" s="0" t="n">
        <v>28.0389</v>
      </c>
      <c r="AK111" s="0" t="n">
        <v>32.0005</v>
      </c>
      <c r="AL111" s="0" t="n">
        <v>34.8655</v>
      </c>
      <c r="AM111" s="0" t="n">
        <v>39.1782</v>
      </c>
      <c r="AN111" s="0" t="n">
        <v>33.5173</v>
      </c>
      <c r="AO111" s="0" t="n">
        <v>38.433</v>
      </c>
      <c r="AP111" s="0" t="n">
        <v>32.4922</v>
      </c>
      <c r="AQ111" s="0" t="n">
        <v>29.0336</v>
      </c>
      <c r="AR111" s="0" t="n">
        <v>32.4297</v>
      </c>
      <c r="AS111" s="0" t="n">
        <v>27.2798</v>
      </c>
      <c r="AT111" s="0" t="n">
        <v>25.0287</v>
      </c>
      <c r="AU111" s="0" t="n">
        <v>20.371</v>
      </c>
      <c r="AV111" s="0" t="n">
        <v>14.6067</v>
      </c>
      <c r="AW111" s="0" t="n">
        <v>11.4882</v>
      </c>
      <c r="AX111" s="0" t="n">
        <v>11.1163</v>
      </c>
      <c r="AY111" s="0" t="n">
        <v>9.257</v>
      </c>
      <c r="AZ111" s="0" t="n">
        <v>5.8169</v>
      </c>
      <c r="BA111" s="0" t="n">
        <v>5.0487</v>
      </c>
      <c r="BB111" s="0" t="n">
        <v>2.705</v>
      </c>
      <c r="BC111" s="0" t="n">
        <v>2.2667</v>
      </c>
      <c r="BD111" s="0" t="n">
        <v>2.6615</v>
      </c>
      <c r="BE111" s="0" t="n">
        <v>1.9672</v>
      </c>
      <c r="BF111" s="0" t="n">
        <v>2.0075</v>
      </c>
      <c r="BG111" s="0" t="n">
        <v>0.9074</v>
      </c>
      <c r="BH111" s="0" t="n">
        <v>1.4435</v>
      </c>
      <c r="BI111" s="0" t="n">
        <v>0.4771</v>
      </c>
      <c r="BJ111" s="0" t="n">
        <v>1.5237</v>
      </c>
      <c r="BK111" s="0" t="n">
        <v>0.5942</v>
      </c>
      <c r="BL111" s="0" t="n">
        <v>0.5204</v>
      </c>
      <c r="BM111" s="0" t="n">
        <v>0.5356</v>
      </c>
      <c r="BN111" s="0" t="n">
        <v>0.5802</v>
      </c>
      <c r="BO111" s="0" t="n">
        <v>0.0667</v>
      </c>
      <c r="BP111" s="0" t="n">
        <v>0.0281</v>
      </c>
      <c r="BQ111" s="0" t="n">
        <v>0.1919</v>
      </c>
      <c r="BR111" s="0" t="n">
        <v>0.1966</v>
      </c>
      <c r="BS111" s="0" t="n">
        <v>0.1206</v>
      </c>
      <c r="BT111" s="0" t="n">
        <v>0.3455</v>
      </c>
      <c r="BU111" s="0" t="n">
        <v>0.5742</v>
      </c>
      <c r="BV111" s="0" t="n">
        <v>0</v>
      </c>
      <c r="BW111" s="0" t="n">
        <v>0.166</v>
      </c>
      <c r="BX111" s="0" t="n">
        <v>0.0651</v>
      </c>
      <c r="BY111" s="0" t="n">
        <v>0.2188</v>
      </c>
      <c r="BZ111" s="0" t="n">
        <v>0.0836</v>
      </c>
      <c r="CA111" s="0" t="n">
        <v>0.018</v>
      </c>
      <c r="CB111" s="0" t="n">
        <v>0.0677</v>
      </c>
      <c r="CC111" s="0" t="n">
        <v>0.0069</v>
      </c>
      <c r="CD111" s="0" t="n">
        <v>0.5115</v>
      </c>
      <c r="CE111" s="0" t="n">
        <v>0.0666</v>
      </c>
      <c r="CF111" s="0" t="n">
        <v>0.2518</v>
      </c>
      <c r="CG111" s="0" t="n">
        <v>0.0227</v>
      </c>
      <c r="CH111" s="0" t="n">
        <v>0</v>
      </c>
      <c r="CI111" s="0" t="n">
        <v>0</v>
      </c>
      <c r="CJ111" s="0" t="n">
        <v>0</v>
      </c>
      <c r="CK111" s="0" t="n">
        <v>0.0993</v>
      </c>
      <c r="CL111" s="0" t="n">
        <v>0</v>
      </c>
      <c r="CM111" s="0" t="n">
        <v>0.8307</v>
      </c>
      <c r="CN111" s="0" t="n">
        <v>0</v>
      </c>
      <c r="CO111" s="0" t="n">
        <v>7.6765</v>
      </c>
      <c r="CP111" s="0" t="n">
        <v>10.4817</v>
      </c>
      <c r="CQ111" s="0" t="n">
        <v>22.6539</v>
      </c>
      <c r="CR111" s="0" t="n">
        <v>23.4379</v>
      </c>
      <c r="CS111" s="0" t="n">
        <v>22.3984</v>
      </c>
      <c r="CT111" s="0" t="n">
        <v>15.6524</v>
      </c>
      <c r="CU111" s="0" t="n">
        <v>17.374</v>
      </c>
      <c r="CV111" s="0" t="n">
        <v>11.5232</v>
      </c>
      <c r="CW111" s="0" t="n">
        <v>10.8983</v>
      </c>
      <c r="CX111" s="0" t="n">
        <v>9.9667</v>
      </c>
      <c r="CY111" s="0" t="n">
        <v>10.5857</v>
      </c>
      <c r="CZ111" s="0" t="n">
        <v>10.5632</v>
      </c>
      <c r="DA111" s="0" t="n">
        <v>10.6241</v>
      </c>
      <c r="DB111" s="0" t="n">
        <v>9.0981</v>
      </c>
      <c r="DC111" s="0" t="n">
        <v>9.6988</v>
      </c>
      <c r="DD111" s="0" t="n">
        <v>10.0558</v>
      </c>
      <c r="DE111" s="0" t="n">
        <v>10.3704</v>
      </c>
      <c r="DF111" s="0" t="n">
        <v>9.8626</v>
      </c>
      <c r="DG111" s="0" t="n">
        <v>11.9151</v>
      </c>
      <c r="DH111" s="0" t="n">
        <v>12.631</v>
      </c>
      <c r="DI111" s="0" t="n">
        <v>14.5144</v>
      </c>
      <c r="DJ111" s="0" t="n">
        <v>10.5609</v>
      </c>
      <c r="DK111" s="0" t="n">
        <v>11.4452</v>
      </c>
      <c r="DL111" s="0" t="n">
        <v>9.6535</v>
      </c>
      <c r="DM111" s="0" t="n">
        <v>11.2135</v>
      </c>
      <c r="DN111" s="0" t="n">
        <v>13.307</v>
      </c>
      <c r="DO111" s="0" t="n">
        <v>15.0941</v>
      </c>
      <c r="DP111" s="0" t="n">
        <v>17.5454</v>
      </c>
      <c r="DQ111" s="0" t="n">
        <v>15.5522</v>
      </c>
      <c r="DR111" s="0" t="n">
        <v>18.4168</v>
      </c>
      <c r="DS111" s="0" t="n">
        <v>16.0741</v>
      </c>
      <c r="DT111" s="0" t="n">
        <v>14.8084</v>
      </c>
      <c r="DU111" s="0" t="n">
        <v>17.0769</v>
      </c>
      <c r="DV111" s="0" t="n">
        <v>14.7595</v>
      </c>
      <c r="DW111" s="0" t="n">
        <v>13.956</v>
      </c>
      <c r="DX111" s="0" t="n">
        <v>11.6952</v>
      </c>
      <c r="DY111" s="0" t="n">
        <v>8.5958</v>
      </c>
      <c r="DZ111" s="0" t="n">
        <v>6.9496</v>
      </c>
      <c r="EA111" s="0" t="n">
        <v>6.8882</v>
      </c>
      <c r="EB111" s="0" t="n">
        <v>5.8926</v>
      </c>
      <c r="EC111" s="0" t="n">
        <v>3.7869</v>
      </c>
      <c r="ED111" s="0" t="n">
        <v>3.3621</v>
      </c>
      <c r="EE111" s="0" t="n">
        <v>1.849</v>
      </c>
      <c r="EF111" s="0" t="n">
        <v>1.5862</v>
      </c>
      <c r="EG111" s="0" t="n">
        <v>1.9</v>
      </c>
      <c r="EH111" s="0" t="n">
        <v>1.4407</v>
      </c>
      <c r="EI111" s="0" t="n">
        <v>1.4978</v>
      </c>
      <c r="EJ111" s="0" t="n">
        <v>0.6899</v>
      </c>
      <c r="EK111" s="0" t="n">
        <v>1.1178</v>
      </c>
      <c r="EL111" s="0" t="n">
        <v>0.378</v>
      </c>
      <c r="EM111" s="0" t="n">
        <v>1.2303</v>
      </c>
      <c r="EN111" s="0" t="n">
        <v>0.489</v>
      </c>
      <c r="EO111" s="0" t="n">
        <v>0.436</v>
      </c>
      <c r="EP111" s="0" t="n">
        <v>0.458</v>
      </c>
      <c r="EQ111" s="0" t="n">
        <v>0.5051</v>
      </c>
      <c r="ER111" s="0" t="n">
        <v>0.059</v>
      </c>
      <c r="ES111" s="0" t="n">
        <v>0.0251</v>
      </c>
      <c r="ET111" s="0" t="n">
        <v>0.1759</v>
      </c>
      <c r="EU111" s="0" t="n">
        <v>0.183</v>
      </c>
      <c r="EV111" s="0" t="n">
        <v>0.1155</v>
      </c>
      <c r="EW111" s="0" t="n">
        <v>0.3328</v>
      </c>
      <c r="EX111" s="0" t="n">
        <v>0.5634</v>
      </c>
      <c r="EY111" s="0" t="n">
        <v>0</v>
      </c>
      <c r="EZ111" s="0" t="n">
        <v>0.168</v>
      </c>
      <c r="FA111" s="0" t="n">
        <v>0.0667</v>
      </c>
      <c r="FB111" s="0" t="n">
        <v>0.2283</v>
      </c>
      <c r="FC111" s="0" t="n">
        <v>0.0884</v>
      </c>
      <c r="FD111" s="0" t="n">
        <v>0.0193</v>
      </c>
      <c r="FE111" s="0" t="n">
        <v>0.0734</v>
      </c>
      <c r="FF111" s="0" t="n">
        <v>0.0076</v>
      </c>
      <c r="FG111" s="0" t="n">
        <v>0.5748</v>
      </c>
      <c r="FH111" s="0" t="n">
        <v>0.0754</v>
      </c>
      <c r="FI111" s="0" t="n">
        <v>0.2902</v>
      </c>
      <c r="FJ111" s="0" t="n">
        <v>0.0266</v>
      </c>
      <c r="FK111" s="0" t="n">
        <v>0</v>
      </c>
      <c r="FL111" s="0" t="n">
        <v>0</v>
      </c>
      <c r="FM111" s="0" t="n">
        <v>0</v>
      </c>
      <c r="FN111" s="0" t="n">
        <v>0.122</v>
      </c>
      <c r="FO111" s="0" t="n">
        <v>0</v>
      </c>
      <c r="FP111" s="0" t="n">
        <v>1.1914</v>
      </c>
    </row>
    <row r="112" customFormat="false" ht="13.8" hidden="false" customHeight="false" outlineLevel="0" collapsed="false">
      <c r="A112" s="2" t="s">
        <v>386</v>
      </c>
      <c r="B112" s="0" t="s">
        <v>176</v>
      </c>
      <c r="C112" s="0" t="n">
        <v>353</v>
      </c>
      <c r="D112" s="0" t="s">
        <v>387</v>
      </c>
      <c r="E112" s="0" t="e">
        <f aca="false">VLOOKUP(A112,[1]RHIZOMES!$A$1:$B$1048576,2,0)</f>
        <v>#N/A</v>
      </c>
      <c r="G112" s="0" t="n">
        <v>2523.1952</v>
      </c>
      <c r="H112" s="0" t="n">
        <v>174.2059</v>
      </c>
      <c r="I112" s="0" t="n">
        <v>547.284</v>
      </c>
      <c r="J112" s="0" t="n">
        <v>0.6807</v>
      </c>
      <c r="K112" s="0" t="n">
        <v>0</v>
      </c>
      <c r="L112" s="0" t="n">
        <v>396.7615</v>
      </c>
      <c r="M112" s="0" t="n">
        <v>385.1963</v>
      </c>
      <c r="N112" s="0" t="n">
        <v>259.1573</v>
      </c>
      <c r="O112" s="0" t="n">
        <v>0.6946</v>
      </c>
      <c r="P112" s="0" t="n">
        <v>262.6358</v>
      </c>
      <c r="Q112" s="0" t="n">
        <v>92.5453</v>
      </c>
      <c r="R112" s="0" t="n">
        <v>121.9205</v>
      </c>
      <c r="S112" s="0" t="n">
        <v>74.4813</v>
      </c>
      <c r="T112" s="0" t="n">
        <v>10.9623</v>
      </c>
      <c r="U112" s="0" t="n">
        <v>61.6727</v>
      </c>
      <c r="V112" s="0" t="n">
        <v>47.1019</v>
      </c>
      <c r="W112" s="0" t="n">
        <v>25.8405</v>
      </c>
      <c r="X112" s="0" t="n">
        <v>36.4662</v>
      </c>
      <c r="Y112" s="0" t="n">
        <v>28.5812</v>
      </c>
      <c r="Z112" s="0" t="n">
        <v>20.7411</v>
      </c>
      <c r="AA112" s="0" t="n">
        <v>20.3345</v>
      </c>
      <c r="AB112" s="0" t="n">
        <v>35.364</v>
      </c>
      <c r="AC112" s="0" t="n">
        <v>12.9231</v>
      </c>
      <c r="AD112" s="0" t="n">
        <v>32.8369</v>
      </c>
      <c r="AE112" s="0" t="n">
        <v>21.2639</v>
      </c>
      <c r="AF112" s="0" t="n">
        <v>30.1425</v>
      </c>
      <c r="AG112" s="0" t="n">
        <v>11.2122</v>
      </c>
      <c r="AH112" s="0" t="n">
        <v>30.7312</v>
      </c>
      <c r="AI112" s="0" t="n">
        <v>33.8573</v>
      </c>
      <c r="AJ112" s="0" t="n">
        <v>5.6817</v>
      </c>
      <c r="AK112" s="0" t="n">
        <v>25.4047</v>
      </c>
      <c r="AL112" s="0" t="n">
        <v>17.4887</v>
      </c>
      <c r="AM112" s="0" t="n">
        <v>10.6287</v>
      </c>
      <c r="AN112" s="0" t="n">
        <v>10.2793</v>
      </c>
      <c r="AO112" s="0" t="n">
        <v>27.8943</v>
      </c>
      <c r="AP112" s="0" t="n">
        <v>14.111</v>
      </c>
      <c r="AQ112" s="0" t="n">
        <v>23.54</v>
      </c>
      <c r="AR112" s="0" t="n">
        <v>19.1938</v>
      </c>
      <c r="AS112" s="0" t="n">
        <v>13.3987</v>
      </c>
      <c r="AT112" s="0" t="n">
        <v>21.1989</v>
      </c>
      <c r="AU112" s="0" t="n">
        <v>25.1256</v>
      </c>
      <c r="AV112" s="0" t="n">
        <v>4.0511</v>
      </c>
      <c r="AW112" s="0" t="n">
        <v>20.0588</v>
      </c>
      <c r="AX112" s="0" t="n">
        <v>28.6464</v>
      </c>
      <c r="AY112" s="0" t="n">
        <v>16.4105</v>
      </c>
      <c r="AZ112" s="0" t="n">
        <v>20.3833</v>
      </c>
      <c r="BA112" s="0" t="n">
        <v>24.3841</v>
      </c>
      <c r="BB112" s="0" t="n">
        <v>21.0886</v>
      </c>
      <c r="BC112" s="0" t="n">
        <v>12.5045</v>
      </c>
      <c r="BD112" s="0" t="n">
        <v>8.3235</v>
      </c>
      <c r="BE112" s="0" t="n">
        <v>20.2299</v>
      </c>
      <c r="BF112" s="0" t="n">
        <v>6.533</v>
      </c>
      <c r="BG112" s="0" t="n">
        <v>15.3105</v>
      </c>
      <c r="BH112" s="0" t="n">
        <v>9.4005</v>
      </c>
      <c r="BI112" s="0" t="n">
        <v>3.8344</v>
      </c>
      <c r="BJ112" s="0" t="n">
        <v>5.9156</v>
      </c>
      <c r="BK112" s="0" t="n">
        <v>7.8805</v>
      </c>
      <c r="BL112" s="0" t="n">
        <v>4.3476</v>
      </c>
      <c r="BM112" s="0" t="n">
        <v>2.0949</v>
      </c>
      <c r="BN112" s="0" t="n">
        <v>4.3142</v>
      </c>
      <c r="BO112" s="0" t="n">
        <v>1.3106</v>
      </c>
      <c r="BP112" s="0" t="n">
        <v>3.5381</v>
      </c>
      <c r="BQ112" s="0" t="n">
        <v>1.0701</v>
      </c>
      <c r="BR112" s="0" t="n">
        <v>1.6625</v>
      </c>
      <c r="BS112" s="0" t="n">
        <v>2.0132</v>
      </c>
      <c r="BT112" s="0" t="n">
        <v>0.9256</v>
      </c>
      <c r="BU112" s="0" t="n">
        <v>0.4293</v>
      </c>
      <c r="BV112" s="0" t="n">
        <v>0.6341</v>
      </c>
      <c r="BW112" s="0" t="n">
        <v>1.5599</v>
      </c>
      <c r="BX112" s="0" t="n">
        <v>0.5711</v>
      </c>
      <c r="BY112" s="0" t="n">
        <v>0.4762</v>
      </c>
      <c r="BZ112" s="0" t="n">
        <v>0.8722</v>
      </c>
      <c r="CA112" s="0" t="n">
        <v>0.6473</v>
      </c>
      <c r="CB112" s="0" t="n">
        <v>0.2644</v>
      </c>
      <c r="CC112" s="0" t="n">
        <v>0.7298</v>
      </c>
      <c r="CD112" s="0" t="n">
        <v>0.3505</v>
      </c>
      <c r="CE112" s="0" t="n">
        <v>0.0069</v>
      </c>
      <c r="CF112" s="0" t="n">
        <v>0.2775</v>
      </c>
      <c r="CG112" s="0" t="n">
        <v>0.2887</v>
      </c>
      <c r="CH112" s="0" t="n">
        <v>0.0338</v>
      </c>
      <c r="CI112" s="0" t="n">
        <v>0.1306</v>
      </c>
      <c r="CJ112" s="0" t="n">
        <v>0.4621</v>
      </c>
      <c r="CK112" s="0" t="n">
        <v>0.1179</v>
      </c>
      <c r="CL112" s="0" t="n">
        <v>0.111</v>
      </c>
      <c r="CM112" s="0" t="n">
        <v>0.5451</v>
      </c>
      <c r="CN112" s="0" t="n">
        <v>0</v>
      </c>
      <c r="CO112" s="0" t="n">
        <v>8.468</v>
      </c>
      <c r="CP112" s="0" t="n">
        <v>16.3463</v>
      </c>
      <c r="CQ112" s="0" t="n">
        <v>15.8427</v>
      </c>
      <c r="CR112" s="0" t="n">
        <v>0.0481</v>
      </c>
      <c r="CS112" s="0" t="n">
        <v>21.8919</v>
      </c>
      <c r="CT112" s="0" t="n">
        <v>9.396</v>
      </c>
      <c r="CU112" s="0" t="n">
        <v>14.2222</v>
      </c>
      <c r="CV112" s="0" t="n">
        <v>10.3353</v>
      </c>
      <c r="CW112" s="0" t="n">
        <v>1.585</v>
      </c>
      <c r="CX112" s="0" t="n">
        <v>10.0373</v>
      </c>
      <c r="CY112" s="0" t="n">
        <v>8.6214</v>
      </c>
      <c r="CZ112" s="0" t="n">
        <v>5.1223</v>
      </c>
      <c r="DA112" s="0" t="n">
        <v>7.6502</v>
      </c>
      <c r="DB112" s="0" t="n">
        <v>6.4911</v>
      </c>
      <c r="DC112" s="0" t="n">
        <v>5.0979</v>
      </c>
      <c r="DD112" s="0" t="n">
        <v>5.1965</v>
      </c>
      <c r="DE112" s="0" t="n">
        <v>9.6874</v>
      </c>
      <c r="DF112" s="0" t="n">
        <v>3.737</v>
      </c>
      <c r="DG112" s="0" t="n">
        <v>9.9833</v>
      </c>
      <c r="DH112" s="0" t="n">
        <v>6.8384</v>
      </c>
      <c r="DI112" s="0" t="n">
        <v>10.2438</v>
      </c>
      <c r="DJ112" s="0" t="n">
        <v>3.9763</v>
      </c>
      <c r="DK112" s="0" t="n">
        <v>11.3542</v>
      </c>
      <c r="DL112" s="0" t="n">
        <v>13.1982</v>
      </c>
      <c r="DM112" s="0" t="n">
        <v>2.2582</v>
      </c>
      <c r="DN112" s="0" t="n">
        <v>10.5559</v>
      </c>
      <c r="DO112" s="0" t="n">
        <v>7.6172</v>
      </c>
      <c r="DP112" s="0" t="n">
        <v>4.8265</v>
      </c>
      <c r="DQ112" s="0" t="n">
        <v>4.7282</v>
      </c>
      <c r="DR112" s="0" t="n">
        <v>13.3562</v>
      </c>
      <c r="DS112" s="0" t="n">
        <v>7.0051</v>
      </c>
      <c r="DT112" s="0" t="n">
        <v>12.0198</v>
      </c>
      <c r="DU112" s="0" t="n">
        <v>10.1294</v>
      </c>
      <c r="DV112" s="0" t="n">
        <v>7.1986</v>
      </c>
      <c r="DW112" s="0" t="n">
        <v>11.7842</v>
      </c>
      <c r="DX112" s="0" t="n">
        <v>14.497</v>
      </c>
      <c r="DY112" s="0" t="n">
        <v>2.4003</v>
      </c>
      <c r="DZ112" s="0" t="n">
        <v>12.012</v>
      </c>
      <c r="EA112" s="0" t="n">
        <v>17.7755</v>
      </c>
      <c r="EB112" s="0" t="n">
        <v>10.4941</v>
      </c>
      <c r="EC112" s="0" t="n">
        <v>13.223</v>
      </c>
      <c r="ED112" s="0" t="n">
        <v>16.2165</v>
      </c>
      <c r="EE112" s="0" t="n">
        <v>14.4233</v>
      </c>
      <c r="EF112" s="0" t="n">
        <v>8.7763</v>
      </c>
      <c r="EG112" s="0" t="n">
        <v>5.9588</v>
      </c>
      <c r="EH112" s="0" t="n">
        <v>14.7999</v>
      </c>
      <c r="EI112" s="0" t="n">
        <v>4.8578</v>
      </c>
      <c r="EJ112" s="0" t="n">
        <v>11.6465</v>
      </c>
      <c r="EK112" s="0" t="n">
        <v>7.3564</v>
      </c>
      <c r="EL112" s="0" t="n">
        <v>3.0501</v>
      </c>
      <c r="EM112" s="0" t="n">
        <v>4.767</v>
      </c>
      <c r="EN112" s="0" t="n">
        <v>6.4891</v>
      </c>
      <c r="EO112" s="0" t="n">
        <v>3.6736</v>
      </c>
      <c r="EP112" s="0" t="n">
        <v>1.7909</v>
      </c>
      <c r="EQ112" s="0" t="n">
        <v>3.7656</v>
      </c>
      <c r="ER112" s="0" t="n">
        <v>1.1641</v>
      </c>
      <c r="ES112" s="0" t="n">
        <v>3.1919</v>
      </c>
      <c r="ET112" s="0" t="n">
        <v>0.9856</v>
      </c>
      <c r="EU112" s="0" t="n">
        <v>1.5529</v>
      </c>
      <c r="EV112" s="0" t="n">
        <v>1.911</v>
      </c>
      <c r="EW112" s="0" t="n">
        <v>0.8965</v>
      </c>
      <c r="EX112" s="0" t="n">
        <v>0.4228</v>
      </c>
      <c r="EY112" s="0" t="n">
        <v>0.6294</v>
      </c>
      <c r="EZ112" s="0" t="n">
        <v>1.5812</v>
      </c>
      <c r="FA112" s="0" t="n">
        <v>0.5909</v>
      </c>
      <c r="FB112" s="0" t="n">
        <v>0.4969</v>
      </c>
      <c r="FC112" s="0" t="n">
        <v>0.9223</v>
      </c>
      <c r="FD112" s="0" t="n">
        <v>0.6968</v>
      </c>
      <c r="FE112" s="0" t="n">
        <v>0.2898</v>
      </c>
      <c r="FF112" s="0" t="n">
        <v>0.8056</v>
      </c>
      <c r="FG112" s="0" t="n">
        <v>0.3931</v>
      </c>
      <c r="FH112" s="0" t="n">
        <v>0.0078</v>
      </c>
      <c r="FI112" s="0" t="n">
        <v>0.3199</v>
      </c>
      <c r="FJ112" s="0" t="n">
        <v>0.3397</v>
      </c>
      <c r="FK112" s="0" t="n">
        <v>0.0401</v>
      </c>
      <c r="FL112" s="0" t="n">
        <v>0.1564</v>
      </c>
      <c r="FM112" s="0" t="n">
        <v>0.562</v>
      </c>
      <c r="FN112" s="0" t="n">
        <v>0.1461</v>
      </c>
      <c r="FO112" s="0" t="n">
        <v>0.1379</v>
      </c>
      <c r="FP112" s="0" t="n">
        <v>0.7112</v>
      </c>
    </row>
    <row r="113" customFormat="false" ht="13.8" hidden="false" customHeight="false" outlineLevel="0" collapsed="false">
      <c r="A113" s="2" t="s">
        <v>388</v>
      </c>
      <c r="B113" s="0" t="s">
        <v>173</v>
      </c>
      <c r="C113" s="0" t="n">
        <v>161</v>
      </c>
      <c r="D113" s="0" t="s">
        <v>389</v>
      </c>
      <c r="G113" s="0" t="n">
        <v>3402.8628</v>
      </c>
      <c r="H113" s="0" t="n">
        <v>283.5972</v>
      </c>
      <c r="I113" s="0" t="n">
        <v>890.947</v>
      </c>
      <c r="J113" s="0" t="n">
        <v>0.8352</v>
      </c>
      <c r="K113" s="0" t="n">
        <v>0.096</v>
      </c>
      <c r="L113" s="0" t="n">
        <v>313.3588</v>
      </c>
      <c r="M113" s="0" t="n">
        <v>217.2334</v>
      </c>
      <c r="N113" s="0" t="n">
        <v>249.1493</v>
      </c>
      <c r="O113" s="0" t="n">
        <v>212.8055</v>
      </c>
      <c r="P113" s="0" t="n">
        <v>197.9081</v>
      </c>
      <c r="Q113" s="0" t="n">
        <v>147.9324</v>
      </c>
      <c r="R113" s="0" t="n">
        <v>149.8111</v>
      </c>
      <c r="S113" s="0" t="n">
        <v>95.8045</v>
      </c>
      <c r="T113" s="0" t="n">
        <v>80.6516</v>
      </c>
      <c r="U113" s="0" t="n">
        <v>73.7492</v>
      </c>
      <c r="V113" s="0" t="n">
        <v>63.0131</v>
      </c>
      <c r="W113" s="0" t="n">
        <v>62.2349</v>
      </c>
      <c r="X113" s="0" t="n">
        <v>61.2112</v>
      </c>
      <c r="Y113" s="0" t="n">
        <v>48.1353</v>
      </c>
      <c r="Z113" s="0" t="n">
        <v>48.4016</v>
      </c>
      <c r="AA113" s="0" t="n">
        <v>56.6614</v>
      </c>
      <c r="AB113" s="0" t="n">
        <v>53.2253</v>
      </c>
      <c r="AC113" s="0" t="n">
        <v>45.8652</v>
      </c>
      <c r="AD113" s="0" t="n">
        <v>50.7556</v>
      </c>
      <c r="AE113" s="0" t="n">
        <v>50.6995</v>
      </c>
      <c r="AF113" s="0" t="n">
        <v>51.7863</v>
      </c>
      <c r="AG113" s="0" t="n">
        <v>49.102</v>
      </c>
      <c r="AH113" s="0" t="n">
        <v>49.0477</v>
      </c>
      <c r="AI113" s="0" t="n">
        <v>45.2373</v>
      </c>
      <c r="AJ113" s="0" t="n">
        <v>52.8242</v>
      </c>
      <c r="AK113" s="0" t="n">
        <v>55.1469</v>
      </c>
      <c r="AL113" s="0" t="n">
        <v>54.7206</v>
      </c>
      <c r="AM113" s="0" t="n">
        <v>51.138</v>
      </c>
      <c r="AN113" s="0" t="n">
        <v>47.8349</v>
      </c>
      <c r="AO113" s="0" t="n">
        <v>53.1316</v>
      </c>
      <c r="AP113" s="0" t="n">
        <v>49.6589</v>
      </c>
      <c r="AQ113" s="0" t="n">
        <v>43.9657</v>
      </c>
      <c r="AR113" s="0" t="n">
        <v>47.4387</v>
      </c>
      <c r="AS113" s="0" t="n">
        <v>49.896</v>
      </c>
      <c r="AT113" s="0" t="n">
        <v>47.6477</v>
      </c>
      <c r="AU113" s="0" t="n">
        <v>46.8525</v>
      </c>
      <c r="AV113" s="0" t="n">
        <v>44.1551</v>
      </c>
      <c r="AW113" s="0" t="n">
        <v>36.6267</v>
      </c>
      <c r="AX113" s="0" t="n">
        <v>35.8992</v>
      </c>
      <c r="AY113" s="0" t="n">
        <v>29.7487</v>
      </c>
      <c r="AZ113" s="0" t="n">
        <v>24.6659</v>
      </c>
      <c r="BA113" s="0" t="n">
        <v>26.6989</v>
      </c>
      <c r="BB113" s="0" t="n">
        <v>22.707</v>
      </c>
      <c r="BC113" s="0" t="n">
        <v>16.1692</v>
      </c>
      <c r="BD113" s="0" t="n">
        <v>15.3913</v>
      </c>
      <c r="BE113" s="0" t="n">
        <v>12.7298</v>
      </c>
      <c r="BF113" s="0" t="n">
        <v>9.9276</v>
      </c>
      <c r="BG113" s="0" t="n">
        <v>8.9929</v>
      </c>
      <c r="BH113" s="0" t="n">
        <v>9.5589</v>
      </c>
      <c r="BI113" s="0" t="n">
        <v>5.9018</v>
      </c>
      <c r="BJ113" s="0" t="n">
        <v>5.0818</v>
      </c>
      <c r="BK113" s="0" t="n">
        <v>4.0189</v>
      </c>
      <c r="BL113" s="0" t="n">
        <v>3.3676</v>
      </c>
      <c r="BM113" s="0" t="n">
        <v>1.7443</v>
      </c>
      <c r="BN113" s="0" t="n">
        <v>3.4026</v>
      </c>
      <c r="BO113" s="0" t="n">
        <v>1.6949</v>
      </c>
      <c r="BP113" s="0" t="n">
        <v>0.7141</v>
      </c>
      <c r="BQ113" s="0" t="n">
        <v>0.9844</v>
      </c>
      <c r="BR113" s="0" t="n">
        <v>1.2153</v>
      </c>
      <c r="BS113" s="0" t="n">
        <v>0.4458</v>
      </c>
      <c r="BT113" s="0" t="n">
        <v>1.2928</v>
      </c>
      <c r="BU113" s="0" t="n">
        <v>0.7029</v>
      </c>
      <c r="BV113" s="0" t="n">
        <v>0.2303</v>
      </c>
      <c r="BW113" s="0" t="n">
        <v>0.6326</v>
      </c>
      <c r="BX113" s="0" t="n">
        <v>0.1479</v>
      </c>
      <c r="BY113" s="0" t="n">
        <v>0.2126</v>
      </c>
      <c r="BZ113" s="0" t="n">
        <v>0.404</v>
      </c>
      <c r="CA113" s="0" t="n">
        <v>0.0797</v>
      </c>
      <c r="CB113" s="0" t="n">
        <v>0.3426</v>
      </c>
      <c r="CC113" s="0" t="n">
        <v>0.0275</v>
      </c>
      <c r="CD113" s="0" t="n">
        <v>0.0628</v>
      </c>
      <c r="CE113" s="0" t="n">
        <v>0.1911</v>
      </c>
      <c r="CF113" s="0" t="n">
        <v>0.2609</v>
      </c>
      <c r="CG113" s="0" t="n">
        <v>0.0333</v>
      </c>
      <c r="CH113" s="0" t="n">
        <v>0.0654</v>
      </c>
      <c r="CI113" s="0" t="n">
        <v>0.0069</v>
      </c>
      <c r="CJ113" s="0" t="n">
        <v>0.075</v>
      </c>
      <c r="CK113" s="0" t="n">
        <v>0</v>
      </c>
      <c r="CL113" s="0" t="n">
        <v>0</v>
      </c>
      <c r="CM113" s="0" t="n">
        <v>0.3848</v>
      </c>
      <c r="CN113" s="0" t="n">
        <v>0.0011</v>
      </c>
      <c r="CO113" s="0" t="n">
        <v>7.8647</v>
      </c>
      <c r="CP113" s="0" t="n">
        <v>8.5453</v>
      </c>
      <c r="CQ113" s="0" t="n">
        <v>13.7321</v>
      </c>
      <c r="CR113" s="0" t="n">
        <v>14.9022</v>
      </c>
      <c r="CS113" s="0" t="n">
        <v>17.0307</v>
      </c>
      <c r="CT113" s="0" t="n">
        <v>15.1025</v>
      </c>
      <c r="CU113" s="0" t="n">
        <v>17.6465</v>
      </c>
      <c r="CV113" s="0" t="n">
        <v>12.7589</v>
      </c>
      <c r="CW113" s="0" t="n">
        <v>11.989</v>
      </c>
      <c r="CX113" s="0" t="n">
        <v>12.1156</v>
      </c>
      <c r="CY113" s="0" t="n">
        <v>11.3896</v>
      </c>
      <c r="CZ113" s="0" t="n">
        <v>12.2101</v>
      </c>
      <c r="DA113" s="0" t="n">
        <v>12.9644</v>
      </c>
      <c r="DB113" s="0" t="n">
        <v>10.9584</v>
      </c>
      <c r="DC113" s="0" t="n">
        <v>11.8094</v>
      </c>
      <c r="DD113" s="0" t="n">
        <v>14.6837</v>
      </c>
      <c r="DE113" s="0" t="n">
        <v>14.599</v>
      </c>
      <c r="DF113" s="0" t="n">
        <v>13.3149</v>
      </c>
      <c r="DG113" s="0" t="n">
        <v>15.533</v>
      </c>
      <c r="DH113" s="0" t="n">
        <v>16.3134</v>
      </c>
      <c r="DI113" s="0" t="n">
        <v>17.497</v>
      </c>
      <c r="DJ113" s="0" t="n">
        <v>17.3311</v>
      </c>
      <c r="DK113" s="0" t="n">
        <v>18.1126</v>
      </c>
      <c r="DL113" s="0" t="n">
        <v>17.4376</v>
      </c>
      <c r="DM113" s="0" t="n">
        <v>21.1448</v>
      </c>
      <c r="DN113" s="0" t="n">
        <v>22.9289</v>
      </c>
      <c r="DO113" s="0" t="n">
        <v>23.6569</v>
      </c>
      <c r="DP113" s="0" t="n">
        <v>22.8996</v>
      </c>
      <c r="DQ113" s="0" t="n">
        <v>22.1673</v>
      </c>
      <c r="DR113" s="0" t="n">
        <v>25.4329</v>
      </c>
      <c r="DS113" s="0" t="n">
        <v>24.5761</v>
      </c>
      <c r="DT113" s="0" t="n">
        <v>22.4244</v>
      </c>
      <c r="DU113" s="0" t="n">
        <v>24.9872</v>
      </c>
      <c r="DV113" s="0" t="n">
        <v>27.0195</v>
      </c>
      <c r="DW113" s="0" t="n">
        <v>26.5479</v>
      </c>
      <c r="DX113" s="0" t="n">
        <v>26.8814</v>
      </c>
      <c r="DY113" s="0" t="n">
        <v>26.0065</v>
      </c>
      <c r="DZ113" s="0" t="n">
        <v>22.1341</v>
      </c>
      <c r="EA113" s="0" t="n">
        <v>22.2834</v>
      </c>
      <c r="EB113" s="0" t="n">
        <v>18.9331</v>
      </c>
      <c r="EC113" s="0" t="n">
        <v>16.066</v>
      </c>
      <c r="ED113" s="0" t="n">
        <v>17.822</v>
      </c>
      <c r="EE113" s="0" t="n">
        <v>15.5059</v>
      </c>
      <c r="EF113" s="0" t="n">
        <v>11.2999</v>
      </c>
      <c r="EG113" s="0" t="n">
        <v>10.9925</v>
      </c>
      <c r="EH113" s="0" t="n">
        <v>9.2933</v>
      </c>
      <c r="EI113" s="0" t="n">
        <v>7.401</v>
      </c>
      <c r="EJ113" s="0" t="n">
        <v>6.8443</v>
      </c>
      <c r="EK113" s="0" t="n">
        <v>7.4339</v>
      </c>
      <c r="EL113" s="0" t="n">
        <v>4.6828</v>
      </c>
      <c r="EM113" s="0" t="n">
        <v>4.1096</v>
      </c>
      <c r="EN113" s="0" t="n">
        <v>3.311</v>
      </c>
      <c r="EO113" s="0" t="n">
        <v>2.8326</v>
      </c>
      <c r="EP113" s="0" t="n">
        <v>1.491</v>
      </c>
      <c r="EQ113" s="0" t="n">
        <v>2.9649</v>
      </c>
      <c r="ER113" s="0" t="n">
        <v>1.502</v>
      </c>
      <c r="ES113" s="0" t="n">
        <v>0.6441</v>
      </c>
      <c r="ET113" s="0" t="n">
        <v>0.9033</v>
      </c>
      <c r="EU113" s="0" t="n">
        <v>1.1612</v>
      </c>
      <c r="EV113" s="0" t="n">
        <v>0.4246</v>
      </c>
      <c r="EW113" s="0" t="n">
        <v>1.2492</v>
      </c>
      <c r="EX113" s="0" t="n">
        <v>0.6889</v>
      </c>
      <c r="EY113" s="0" t="n">
        <v>0.2291</v>
      </c>
      <c r="EZ113" s="0" t="n">
        <v>0.6423</v>
      </c>
      <c r="FA113" s="0" t="n">
        <v>0.1521</v>
      </c>
      <c r="FB113" s="0" t="n">
        <v>0.2231</v>
      </c>
      <c r="FC113" s="0" t="n">
        <v>0.4287</v>
      </c>
      <c r="FD113" s="0" t="n">
        <v>0.0856</v>
      </c>
      <c r="FE113" s="0" t="n">
        <v>0.3745</v>
      </c>
      <c r="FF113" s="0" t="n">
        <v>0.0304</v>
      </c>
      <c r="FG113" s="0" t="n">
        <v>0.0709</v>
      </c>
      <c r="FH113" s="0" t="n">
        <v>0.219</v>
      </c>
      <c r="FI113" s="0" t="n">
        <v>0.301</v>
      </c>
      <c r="FJ113" s="0" t="n">
        <v>0.0389</v>
      </c>
      <c r="FK113" s="0" t="n">
        <v>0.0776</v>
      </c>
      <c r="FL113" s="0" t="n">
        <v>0.0082</v>
      </c>
      <c r="FM113" s="0" t="n">
        <v>0.0913</v>
      </c>
      <c r="FN113" s="0" t="n">
        <v>0</v>
      </c>
      <c r="FO113" s="0" t="n">
        <v>0</v>
      </c>
      <c r="FP113" s="0" t="n">
        <v>0.5177</v>
      </c>
    </row>
    <row r="114" customFormat="false" ht="13.8" hidden="false" customHeight="false" outlineLevel="0" collapsed="false">
      <c r="A114" s="2" t="s">
        <v>390</v>
      </c>
      <c r="B114" s="0" t="s">
        <v>176</v>
      </c>
      <c r="C114" s="0" t="n">
        <v>280</v>
      </c>
      <c r="D114" s="0" t="s">
        <v>391</v>
      </c>
      <c r="F114" s="0" t="e">
        <f aca="false">VLOOKUP(A114,[1]ROOT!$A$1:$C$1048576,3,0)</f>
        <v>#N/A</v>
      </c>
      <c r="G114" s="0" t="n">
        <v>3199.1319</v>
      </c>
      <c r="H114" s="0" t="n">
        <v>243.0127</v>
      </c>
      <c r="I114" s="0" t="n">
        <v>763.4467</v>
      </c>
      <c r="J114" s="0" t="n">
        <v>0.73165</v>
      </c>
      <c r="K114" s="0" t="n">
        <v>0.0127</v>
      </c>
      <c r="L114" s="0" t="n">
        <v>15.8493</v>
      </c>
      <c r="M114" s="0" t="n">
        <v>38.4747</v>
      </c>
      <c r="N114" s="0" t="n">
        <v>264.8618</v>
      </c>
      <c r="O114" s="0" t="n">
        <v>277.4078</v>
      </c>
      <c r="P114" s="0" t="n">
        <v>233.1343</v>
      </c>
      <c r="Q114" s="0" t="n">
        <v>399.8054</v>
      </c>
      <c r="R114" s="0" t="n">
        <v>215.2959</v>
      </c>
      <c r="S114" s="0" t="n">
        <v>192.3414</v>
      </c>
      <c r="T114" s="0" t="n">
        <v>165.2137</v>
      </c>
      <c r="U114" s="0" t="n">
        <v>206.4816</v>
      </c>
      <c r="V114" s="0" t="n">
        <v>96.7002</v>
      </c>
      <c r="W114" s="0" t="n">
        <v>142.0617</v>
      </c>
      <c r="X114" s="0" t="n">
        <v>84.2262</v>
      </c>
      <c r="Y114" s="0" t="n">
        <v>46.6558</v>
      </c>
      <c r="Z114" s="0" t="n">
        <v>53.7214</v>
      </c>
      <c r="AA114" s="0" t="n">
        <v>47.4861</v>
      </c>
      <c r="AB114" s="0" t="n">
        <v>40.6597</v>
      </c>
      <c r="AC114" s="0" t="n">
        <v>26.5648</v>
      </c>
      <c r="AD114" s="0" t="n">
        <v>33.3148</v>
      </c>
      <c r="AE114" s="0" t="n">
        <v>31.9761</v>
      </c>
      <c r="AF114" s="0" t="n">
        <v>41.7615</v>
      </c>
      <c r="AG114" s="0" t="n">
        <v>19.7229</v>
      </c>
      <c r="AH114" s="0" t="n">
        <v>22.5896</v>
      </c>
      <c r="AI114" s="0" t="n">
        <v>31.4979</v>
      </c>
      <c r="AJ114" s="0" t="n">
        <v>27.5874</v>
      </c>
      <c r="AK114" s="0" t="n">
        <v>24.1839</v>
      </c>
      <c r="AL114" s="0" t="n">
        <v>21.682</v>
      </c>
      <c r="AM114" s="0" t="n">
        <v>22.1605</v>
      </c>
      <c r="AN114" s="0" t="n">
        <v>28.686</v>
      </c>
      <c r="AO114" s="0" t="n">
        <v>24.6005</v>
      </c>
      <c r="AP114" s="0" t="n">
        <v>22.7287</v>
      </c>
      <c r="AQ114" s="0" t="n">
        <v>19.9851</v>
      </c>
      <c r="AR114" s="0" t="n">
        <v>23.779</v>
      </c>
      <c r="AS114" s="0" t="n">
        <v>24.5969</v>
      </c>
      <c r="AT114" s="0" t="n">
        <v>28.8403</v>
      </c>
      <c r="AU114" s="0" t="n">
        <v>25.9573</v>
      </c>
      <c r="AV114" s="0" t="n">
        <v>13.146</v>
      </c>
      <c r="AW114" s="0" t="n">
        <v>19.887</v>
      </c>
      <c r="AX114" s="0" t="n">
        <v>28.6269</v>
      </c>
      <c r="AY114" s="0" t="n">
        <v>18.9573</v>
      </c>
      <c r="AZ114" s="0" t="n">
        <v>20.5662</v>
      </c>
      <c r="BA114" s="0" t="n">
        <v>10.0493</v>
      </c>
      <c r="BB114" s="0" t="n">
        <v>14.6794</v>
      </c>
      <c r="BC114" s="0" t="n">
        <v>14.1141</v>
      </c>
      <c r="BD114" s="0" t="n">
        <v>7.6624</v>
      </c>
      <c r="BE114" s="0" t="n">
        <v>4.5132</v>
      </c>
      <c r="BF114" s="0" t="n">
        <v>3.6265</v>
      </c>
      <c r="BG114" s="0" t="n">
        <v>2.1551</v>
      </c>
      <c r="BH114" s="0" t="n">
        <v>2.8472</v>
      </c>
      <c r="BI114" s="0" t="n">
        <v>1.877</v>
      </c>
      <c r="BJ114" s="0" t="n">
        <v>1.0622</v>
      </c>
      <c r="BK114" s="0" t="n">
        <v>1.2528</v>
      </c>
      <c r="BL114" s="0" t="n">
        <v>0.6612</v>
      </c>
      <c r="BM114" s="0" t="n">
        <v>1.3132</v>
      </c>
      <c r="BN114" s="0" t="n">
        <v>1.3425</v>
      </c>
      <c r="BO114" s="0" t="n">
        <v>1.3547</v>
      </c>
      <c r="BP114" s="0" t="n">
        <v>0.4505</v>
      </c>
      <c r="BQ114" s="0" t="n">
        <v>0.6065</v>
      </c>
      <c r="BR114" s="0" t="n">
        <v>1.0516</v>
      </c>
      <c r="BS114" s="0" t="n">
        <v>0.6778</v>
      </c>
      <c r="BT114" s="0" t="n">
        <v>0.2047</v>
      </c>
      <c r="BU114" s="0" t="n">
        <v>0.6609</v>
      </c>
      <c r="BV114" s="0" t="n">
        <v>1.1168</v>
      </c>
      <c r="BW114" s="0" t="n">
        <v>0.0894</v>
      </c>
      <c r="BX114" s="0" t="n">
        <v>0.0655</v>
      </c>
      <c r="BY114" s="0" t="n">
        <v>0.0063</v>
      </c>
      <c r="BZ114" s="0" t="n">
        <v>0.3447</v>
      </c>
      <c r="CA114" s="0" t="n">
        <v>0.1995</v>
      </c>
      <c r="CB114" s="0" t="n">
        <v>0.4134</v>
      </c>
      <c r="CC114" s="0" t="n">
        <v>0.1216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0.1819</v>
      </c>
      <c r="CM114" s="0" t="n">
        <v>0.2526</v>
      </c>
      <c r="CN114" s="0" t="n">
        <v>0.0002</v>
      </c>
      <c r="CO114" s="0" t="n">
        <v>0.419</v>
      </c>
      <c r="CP114" s="0" t="n">
        <v>1.5363</v>
      </c>
      <c r="CQ114" s="0" t="n">
        <v>14.8805</v>
      </c>
      <c r="CR114" s="0" t="n">
        <v>19.6272</v>
      </c>
      <c r="CS114" s="0" t="n">
        <v>19.4689</v>
      </c>
      <c r="CT114" s="0" t="n">
        <v>40.2129</v>
      </c>
      <c r="CU114" s="0" t="n">
        <v>25.6176</v>
      </c>
      <c r="CV114" s="0" t="n">
        <v>25.6773</v>
      </c>
      <c r="CW114" s="0" t="n">
        <v>24.258</v>
      </c>
      <c r="CX114" s="0" t="n">
        <v>34.2738</v>
      </c>
      <c r="CY114" s="0" t="n">
        <v>17.5652</v>
      </c>
      <c r="CZ114" s="0" t="n">
        <v>27.8655</v>
      </c>
      <c r="DA114" s="0" t="n">
        <v>18.1519</v>
      </c>
      <c r="DB114" s="0" t="n">
        <v>10.5551</v>
      </c>
      <c r="DC114" s="0" t="n">
        <v>12.9942</v>
      </c>
      <c r="DD114" s="0" t="n">
        <v>12.2706</v>
      </c>
      <c r="DE114" s="0" t="n">
        <v>11.2238</v>
      </c>
      <c r="DF114" s="0" t="n">
        <v>7.7383</v>
      </c>
      <c r="DG114" s="0" t="n">
        <v>10.1981</v>
      </c>
      <c r="DH114" s="0" t="n">
        <v>10.2283</v>
      </c>
      <c r="DI114" s="0" t="n">
        <v>14.1556</v>
      </c>
      <c r="DJ114" s="0" t="n">
        <v>7.0354</v>
      </c>
      <c r="DK114" s="0" t="n">
        <v>8.3034</v>
      </c>
      <c r="DL114" s="0" t="n">
        <v>12.142</v>
      </c>
      <c r="DM114" s="0" t="n">
        <v>11.0335</v>
      </c>
      <c r="DN114" s="0" t="n">
        <v>10.0868</v>
      </c>
      <c r="DO114" s="0" t="n">
        <v>9.3946</v>
      </c>
      <c r="DP114" s="0" t="n">
        <v>9.8934</v>
      </c>
      <c r="DQ114" s="0" t="n">
        <v>13.2592</v>
      </c>
      <c r="DR114" s="0" t="n">
        <v>11.8283</v>
      </c>
      <c r="DS114" s="0" t="n">
        <v>11.2603</v>
      </c>
      <c r="DT114" s="0" t="n">
        <v>10.1945</v>
      </c>
      <c r="DU114" s="0" t="n">
        <v>12.4886</v>
      </c>
      <c r="DV114" s="0" t="n">
        <v>13.2884</v>
      </c>
      <c r="DW114" s="0" t="n">
        <v>16.0479</v>
      </c>
      <c r="DX114" s="0" t="n">
        <v>14.9117</v>
      </c>
      <c r="DY114" s="0" t="n">
        <v>7.762</v>
      </c>
      <c r="DZ114" s="0" t="n">
        <v>11.9753</v>
      </c>
      <c r="EA114" s="0" t="n">
        <v>17.7829</v>
      </c>
      <c r="EB114" s="0" t="n">
        <v>12.0998</v>
      </c>
      <c r="EC114" s="0" t="n">
        <v>13.4427</v>
      </c>
      <c r="ED114" s="0" t="n">
        <v>6.6717</v>
      </c>
      <c r="EE114" s="0" t="n">
        <v>10.0015</v>
      </c>
      <c r="EF114" s="0" t="n">
        <v>9.8847</v>
      </c>
      <c r="EG114" s="0" t="n">
        <v>5.4874</v>
      </c>
      <c r="EH114" s="0" t="n">
        <v>3.2925</v>
      </c>
      <c r="EI114" s="0" t="n">
        <v>2.6989</v>
      </c>
      <c r="EJ114" s="0" t="n">
        <v>1.6372</v>
      </c>
      <c r="EK114" s="0" t="n">
        <v>2.2115</v>
      </c>
      <c r="EL114" s="0" t="n">
        <v>1.4864</v>
      </c>
      <c r="EM114" s="0" t="n">
        <v>0.856</v>
      </c>
      <c r="EN114" s="0" t="n">
        <v>1.0313</v>
      </c>
      <c r="EO114" s="0" t="n">
        <v>0.5558</v>
      </c>
      <c r="EP114" s="0" t="n">
        <v>1.1221</v>
      </c>
      <c r="EQ114" s="0" t="n">
        <v>1.1726</v>
      </c>
      <c r="ER114" s="0" t="n">
        <v>1.2022</v>
      </c>
      <c r="ES114" s="0" t="n">
        <v>0.4068</v>
      </c>
      <c r="ET114" s="0" t="n">
        <v>0.558</v>
      </c>
      <c r="EU114" s="0" t="n">
        <v>0.9887</v>
      </c>
      <c r="EV114" s="0" t="n">
        <v>0.643</v>
      </c>
      <c r="EW114" s="0" t="n">
        <v>0.1977</v>
      </c>
      <c r="EX114" s="0" t="n">
        <v>0.6458</v>
      </c>
      <c r="EY114" s="0" t="n">
        <v>1.1104</v>
      </c>
      <c r="EZ114" s="0" t="n">
        <v>0.0905</v>
      </c>
      <c r="FA114" s="0" t="n">
        <v>0.0677</v>
      </c>
      <c r="FB114" s="0" t="n">
        <v>0.0066</v>
      </c>
      <c r="FC114" s="0" t="n">
        <v>0.3644</v>
      </c>
      <c r="FD114" s="0" t="n">
        <v>0.216</v>
      </c>
      <c r="FE114" s="0" t="n">
        <v>0.4541</v>
      </c>
      <c r="FF114" s="0" t="n">
        <v>0.1356</v>
      </c>
      <c r="FG114" s="0" t="n">
        <v>0</v>
      </c>
      <c r="FH114" s="0" t="n">
        <v>0</v>
      </c>
      <c r="FI114" s="0" t="n">
        <v>0</v>
      </c>
      <c r="FJ114" s="0" t="n">
        <v>0</v>
      </c>
      <c r="FK114" s="0" t="n">
        <v>0</v>
      </c>
      <c r="FL114" s="0" t="n">
        <v>0</v>
      </c>
      <c r="FM114" s="0" t="n">
        <v>0</v>
      </c>
      <c r="FN114" s="0" t="n">
        <v>0</v>
      </c>
      <c r="FO114" s="0" t="n">
        <v>0.2284</v>
      </c>
      <c r="FP114" s="0" t="n">
        <v>0.3618</v>
      </c>
    </row>
    <row r="115" customFormat="false" ht="13.8" hidden="false" customHeight="false" outlineLevel="0" collapsed="false">
      <c r="A115" s="2" t="s">
        <v>392</v>
      </c>
      <c r="B115" s="0" t="s">
        <v>176</v>
      </c>
      <c r="C115" s="0" t="n">
        <v>378</v>
      </c>
      <c r="D115" s="0" t="s">
        <v>393</v>
      </c>
      <c r="F115" s="0" t="e">
        <f aca="false">VLOOKUP(A115,[1]ROOT!$A$1:$C$1048576,3,0)</f>
        <v>#N/A</v>
      </c>
      <c r="G115" s="0" t="n">
        <v>2112.9683</v>
      </c>
      <c r="H115" s="0" t="n">
        <v>151.5217</v>
      </c>
      <c r="I115" s="0" t="n">
        <v>476.0195</v>
      </c>
      <c r="J115" s="0" t="n">
        <v>0.7163</v>
      </c>
      <c r="K115" s="0" t="n">
        <v>0</v>
      </c>
      <c r="L115" s="0" t="n">
        <v>282.7094</v>
      </c>
      <c r="M115" s="0" t="n">
        <v>272.9014</v>
      </c>
      <c r="N115" s="0" t="n">
        <v>175.0695</v>
      </c>
      <c r="O115" s="0" t="n">
        <v>0.2401</v>
      </c>
      <c r="P115" s="0" t="n">
        <v>181.562</v>
      </c>
      <c r="Q115" s="0" t="n">
        <v>69.0322</v>
      </c>
      <c r="R115" s="0" t="n">
        <v>95.3073</v>
      </c>
      <c r="S115" s="0" t="n">
        <v>57.2162</v>
      </c>
      <c r="T115" s="0" t="n">
        <v>12.6837</v>
      </c>
      <c r="U115" s="0" t="n">
        <v>67.287</v>
      </c>
      <c r="V115" s="0" t="n">
        <v>58.7558</v>
      </c>
      <c r="W115" s="0" t="n">
        <v>37.1969</v>
      </c>
      <c r="X115" s="0" t="n">
        <v>42.8629</v>
      </c>
      <c r="Y115" s="0" t="n">
        <v>29.9645</v>
      </c>
      <c r="Z115" s="0" t="n">
        <v>26.7287</v>
      </c>
      <c r="AA115" s="0" t="n">
        <v>19.4523</v>
      </c>
      <c r="AB115" s="0" t="n">
        <v>44.1779</v>
      </c>
      <c r="AC115" s="0" t="n">
        <v>20.807</v>
      </c>
      <c r="AD115" s="0" t="n">
        <v>40.4152</v>
      </c>
      <c r="AE115" s="0" t="n">
        <v>18.7001</v>
      </c>
      <c r="AF115" s="0" t="n">
        <v>36.8657</v>
      </c>
      <c r="AG115" s="0" t="n">
        <v>17.8976</v>
      </c>
      <c r="AH115" s="0" t="n">
        <v>26.921</v>
      </c>
      <c r="AI115" s="0" t="n">
        <v>35.2577</v>
      </c>
      <c r="AJ115" s="0" t="n">
        <v>8.4698</v>
      </c>
      <c r="AK115" s="0" t="n">
        <v>36.8256</v>
      </c>
      <c r="AL115" s="0" t="n">
        <v>36.4178</v>
      </c>
      <c r="AM115" s="0" t="n">
        <v>20.0567</v>
      </c>
      <c r="AN115" s="0" t="n">
        <v>14.3031</v>
      </c>
      <c r="AO115" s="0" t="n">
        <v>43.3119</v>
      </c>
      <c r="AP115" s="0" t="n">
        <v>25.2171</v>
      </c>
      <c r="AQ115" s="0" t="n">
        <v>32.0762</v>
      </c>
      <c r="AR115" s="0" t="n">
        <v>23.3378</v>
      </c>
      <c r="AS115" s="0" t="n">
        <v>23.3471</v>
      </c>
      <c r="AT115" s="0" t="n">
        <v>29.3331</v>
      </c>
      <c r="AU115" s="0" t="n">
        <v>22.5547</v>
      </c>
      <c r="AV115" s="0" t="n">
        <v>1.1253</v>
      </c>
      <c r="AW115" s="0" t="n">
        <v>17.6318</v>
      </c>
      <c r="AX115" s="0" t="n">
        <v>18.7299</v>
      </c>
      <c r="AY115" s="0" t="n">
        <v>11.7202</v>
      </c>
      <c r="AZ115" s="0" t="n">
        <v>10.1719</v>
      </c>
      <c r="BA115" s="0" t="n">
        <v>9.5197</v>
      </c>
      <c r="BB115" s="0" t="n">
        <v>13.6918</v>
      </c>
      <c r="BC115" s="0" t="n">
        <v>8.0142</v>
      </c>
      <c r="BD115" s="0" t="n">
        <v>2.564</v>
      </c>
      <c r="BE115" s="0" t="n">
        <v>5.618</v>
      </c>
      <c r="BF115" s="0" t="n">
        <v>1.8161</v>
      </c>
      <c r="BG115" s="0" t="n">
        <v>6.1935</v>
      </c>
      <c r="BH115" s="0" t="n">
        <v>3.7935</v>
      </c>
      <c r="BI115" s="0" t="n">
        <v>0.9465</v>
      </c>
      <c r="BJ115" s="0" t="n">
        <v>3.2002</v>
      </c>
      <c r="BK115" s="0" t="n">
        <v>3.6245</v>
      </c>
      <c r="BL115" s="0" t="n">
        <v>1.1985</v>
      </c>
      <c r="BM115" s="0" t="n">
        <v>0.4104</v>
      </c>
      <c r="BN115" s="0" t="n">
        <v>1.4731</v>
      </c>
      <c r="BO115" s="0" t="n">
        <v>0.1703</v>
      </c>
      <c r="BP115" s="0" t="n">
        <v>1.3347</v>
      </c>
      <c r="BQ115" s="0" t="n">
        <v>0.3717</v>
      </c>
      <c r="BR115" s="0" t="n">
        <v>0.1808</v>
      </c>
      <c r="BS115" s="0" t="n">
        <v>0.4569</v>
      </c>
      <c r="BT115" s="0" t="n">
        <v>0.6709</v>
      </c>
      <c r="BU115" s="0" t="n">
        <v>0.2879</v>
      </c>
      <c r="BV115" s="0" t="n">
        <v>0.4013</v>
      </c>
      <c r="BW115" s="0" t="n">
        <v>0.4593</v>
      </c>
      <c r="BX115" s="0" t="n">
        <v>0.1052</v>
      </c>
      <c r="BY115" s="0" t="n">
        <v>0.1671</v>
      </c>
      <c r="BZ115" s="0" t="n">
        <v>0.0715</v>
      </c>
      <c r="CA115" s="0" t="n">
        <v>0.2115</v>
      </c>
      <c r="CB115" s="0" t="n">
        <v>0.0132</v>
      </c>
      <c r="CC115" s="0" t="n">
        <v>0.2341</v>
      </c>
      <c r="CD115" s="0" t="n">
        <v>0.0317</v>
      </c>
      <c r="CE115" s="0" t="n">
        <v>0</v>
      </c>
      <c r="CF115" s="0" t="n">
        <v>0.091</v>
      </c>
      <c r="CG115" s="0" t="n">
        <v>0</v>
      </c>
      <c r="CH115" s="0" t="n">
        <v>0</v>
      </c>
      <c r="CI115" s="0" t="n">
        <v>0.0587</v>
      </c>
      <c r="CJ115" s="0" t="n">
        <v>0</v>
      </c>
      <c r="CK115" s="0" t="n">
        <v>0</v>
      </c>
      <c r="CL115" s="0" t="n">
        <v>0</v>
      </c>
      <c r="CM115" s="0" t="n">
        <v>0</v>
      </c>
      <c r="CN115" s="0" t="n">
        <v>0</v>
      </c>
      <c r="CO115" s="0" t="n">
        <v>6.0256</v>
      </c>
      <c r="CP115" s="0" t="n">
        <v>11.558</v>
      </c>
      <c r="CQ115" s="0" t="n">
        <v>10.6912</v>
      </c>
      <c r="CR115" s="0" t="n">
        <v>0.0166</v>
      </c>
      <c r="CS115" s="0" t="n">
        <v>15.1014</v>
      </c>
      <c r="CT115" s="0" t="n">
        <v>7.0114</v>
      </c>
      <c r="CU115" s="0" t="n">
        <v>11.162</v>
      </c>
      <c r="CV115" s="0" t="n">
        <v>7.9515</v>
      </c>
      <c r="CW115" s="0" t="n">
        <v>1.8339</v>
      </c>
      <c r="CX115" s="0" t="n">
        <v>10.9308</v>
      </c>
      <c r="CY115" s="0" t="n">
        <v>10.7324</v>
      </c>
      <c r="CZ115" s="0" t="n">
        <v>7.3797</v>
      </c>
      <c r="DA115" s="0" t="n">
        <v>8.9841</v>
      </c>
      <c r="DB115" s="0" t="n">
        <v>6.8101</v>
      </c>
      <c r="DC115" s="0" t="n">
        <v>6.575</v>
      </c>
      <c r="DD115" s="0" t="n">
        <v>4.9825</v>
      </c>
      <c r="DE115" s="0" t="n">
        <v>12.0819</v>
      </c>
      <c r="DF115" s="0" t="n">
        <v>6.0167</v>
      </c>
      <c r="DG115" s="0" t="n">
        <v>12.2902</v>
      </c>
      <c r="DH115" s="0" t="n">
        <v>6.0004</v>
      </c>
      <c r="DI115" s="0" t="n">
        <v>12.524</v>
      </c>
      <c r="DJ115" s="0" t="n">
        <v>6.3545</v>
      </c>
      <c r="DK115" s="0" t="n">
        <v>9.946</v>
      </c>
      <c r="DL115" s="0" t="n">
        <v>13.7288</v>
      </c>
      <c r="DM115" s="0" t="n">
        <v>3.3763</v>
      </c>
      <c r="DN115" s="0" t="n">
        <v>15.3074</v>
      </c>
      <c r="DO115" s="0" t="n">
        <v>15.8702</v>
      </c>
      <c r="DP115" s="0" t="n">
        <v>9.1033</v>
      </c>
      <c r="DQ115" s="0" t="n">
        <v>6.5805</v>
      </c>
      <c r="DR115" s="0" t="n">
        <v>20.6976</v>
      </c>
      <c r="DS115" s="0" t="n">
        <v>12.5209</v>
      </c>
      <c r="DT115" s="0" t="n">
        <v>16.4234</v>
      </c>
      <c r="DU115" s="0" t="n">
        <v>12.2903</v>
      </c>
      <c r="DV115" s="0" t="n">
        <v>12.5452</v>
      </c>
      <c r="DW115" s="0" t="n">
        <v>16.3171</v>
      </c>
      <c r="DX115" s="0" t="n">
        <v>13.0253</v>
      </c>
      <c r="DY115" s="0" t="n">
        <v>0.6668</v>
      </c>
      <c r="DZ115" s="0" t="n">
        <v>10.5582</v>
      </c>
      <c r="EA115" s="0" t="n">
        <v>11.6054</v>
      </c>
      <c r="EB115" s="0" t="n">
        <v>7.4921</v>
      </c>
      <c r="EC115" s="0" t="n">
        <v>6.6131</v>
      </c>
      <c r="ED115" s="0" t="n">
        <v>6.325</v>
      </c>
      <c r="EE115" s="0" t="n">
        <v>9.334</v>
      </c>
      <c r="EF115" s="0" t="n">
        <v>5.6284</v>
      </c>
      <c r="EG115" s="0" t="n">
        <v>1.8383</v>
      </c>
      <c r="EH115" s="0" t="n">
        <v>4.1005</v>
      </c>
      <c r="EI115" s="0" t="n">
        <v>1.3504</v>
      </c>
      <c r="EJ115" s="0" t="n">
        <v>4.7159</v>
      </c>
      <c r="EK115" s="0" t="n">
        <v>2.9665</v>
      </c>
      <c r="EL115" s="0" t="n">
        <v>0.7539</v>
      </c>
      <c r="EM115" s="0" t="n">
        <v>2.5786</v>
      </c>
      <c r="EN115" s="0" t="n">
        <v>2.9821</v>
      </c>
      <c r="EO115" s="0" t="n">
        <v>1.0107</v>
      </c>
      <c r="EP115" s="0" t="n">
        <v>0.3507</v>
      </c>
      <c r="EQ115" s="0" t="n">
        <v>1.2859</v>
      </c>
      <c r="ER115" s="0" t="n">
        <v>0.1513</v>
      </c>
      <c r="ES115" s="0" t="n">
        <v>1.2016</v>
      </c>
      <c r="ET115" s="0" t="n">
        <v>0.3423</v>
      </c>
      <c r="EU115" s="0" t="n">
        <v>0.1683</v>
      </c>
      <c r="EV115" s="0" t="n">
        <v>0.4332</v>
      </c>
      <c r="EW115" s="0" t="n">
        <v>0.6501</v>
      </c>
      <c r="EX115" s="0" t="n">
        <v>0.2825</v>
      </c>
      <c r="EY115" s="0" t="n">
        <v>0.3981</v>
      </c>
      <c r="EZ115" s="0" t="n">
        <v>0.4662</v>
      </c>
      <c r="FA115" s="0" t="n">
        <v>0.1088</v>
      </c>
      <c r="FB115" s="0" t="n">
        <v>0.1745</v>
      </c>
      <c r="FC115" s="0" t="n">
        <v>0.0753</v>
      </c>
      <c r="FD115" s="0" t="n">
        <v>0.228</v>
      </c>
      <c r="FE115" s="0" t="n">
        <v>0.0145</v>
      </c>
      <c r="FF115" s="0" t="n">
        <v>0.2576</v>
      </c>
      <c r="FG115" s="0" t="n">
        <v>0.0358</v>
      </c>
      <c r="FH115" s="0" t="n">
        <v>0</v>
      </c>
      <c r="FI115" s="0" t="n">
        <v>0.1053</v>
      </c>
      <c r="FJ115" s="0" t="n">
        <v>0</v>
      </c>
      <c r="FK115" s="0" t="n">
        <v>0</v>
      </c>
      <c r="FL115" s="0" t="n">
        <v>0.0704</v>
      </c>
      <c r="FM115" s="0" t="n">
        <v>0</v>
      </c>
      <c r="FN115" s="0" t="n">
        <v>0</v>
      </c>
      <c r="FO115" s="0" t="n">
        <v>0</v>
      </c>
      <c r="FP115" s="0" t="n">
        <v>0</v>
      </c>
    </row>
    <row r="116" customFormat="false" ht="13.8" hidden="false" customHeight="false" outlineLevel="0" collapsed="false">
      <c r="A116" s="2" t="s">
        <v>394</v>
      </c>
      <c r="B116" s="0" t="s">
        <v>173</v>
      </c>
      <c r="C116" s="0" t="n">
        <v>154</v>
      </c>
      <c r="D116" s="0" t="s">
        <v>395</v>
      </c>
      <c r="E116" s="0" t="e">
        <f aca="false">VLOOKUP(A116,[1]RHIZOMES!$A$1:$B$1048576,2,0)</f>
        <v>#N/A</v>
      </c>
      <c r="G116" s="0" t="n">
        <v>2988.1213</v>
      </c>
      <c r="H116" s="0" t="n">
        <v>307.9862</v>
      </c>
      <c r="I116" s="0" t="n">
        <v>967.5673</v>
      </c>
      <c r="J116" s="0" t="n">
        <v>1.03045</v>
      </c>
      <c r="K116" s="0" t="n">
        <v>0</v>
      </c>
      <c r="L116" s="0" t="n">
        <v>7.164</v>
      </c>
      <c r="M116" s="0" t="n">
        <v>16.974</v>
      </c>
      <c r="N116" s="0" t="n">
        <v>154.0731</v>
      </c>
      <c r="O116" s="0" t="n">
        <v>225.2149</v>
      </c>
      <c r="P116" s="0" t="n">
        <v>171.2262</v>
      </c>
      <c r="Q116" s="0" t="n">
        <v>272.5434</v>
      </c>
      <c r="R116" s="0" t="n">
        <v>131.1254</v>
      </c>
      <c r="S116" s="0" t="n">
        <v>127.9447</v>
      </c>
      <c r="T116" s="0" t="n">
        <v>122.5668</v>
      </c>
      <c r="U116" s="0" t="n">
        <v>159.0161</v>
      </c>
      <c r="V116" s="0" t="n">
        <v>67.7632</v>
      </c>
      <c r="W116" s="0" t="n">
        <v>107.9698</v>
      </c>
      <c r="X116" s="0" t="n">
        <v>70.29</v>
      </c>
      <c r="Y116" s="0" t="n">
        <v>47.7365</v>
      </c>
      <c r="Z116" s="0" t="n">
        <v>61.4246</v>
      </c>
      <c r="AA116" s="0" t="n">
        <v>70.7549</v>
      </c>
      <c r="AB116" s="0" t="n">
        <v>61.8643</v>
      </c>
      <c r="AC116" s="0" t="n">
        <v>37.7786</v>
      </c>
      <c r="AD116" s="0" t="n">
        <v>49.0892</v>
      </c>
      <c r="AE116" s="0" t="n">
        <v>31.931</v>
      </c>
      <c r="AF116" s="0" t="n">
        <v>44.4899</v>
      </c>
      <c r="AG116" s="0" t="n">
        <v>17.7513</v>
      </c>
      <c r="AH116" s="0" t="n">
        <v>38.2356</v>
      </c>
      <c r="AI116" s="0" t="n">
        <v>48.307</v>
      </c>
      <c r="AJ116" s="0" t="n">
        <v>27.3405</v>
      </c>
      <c r="AK116" s="0" t="n">
        <v>57.7379</v>
      </c>
      <c r="AL116" s="0" t="n">
        <v>31.7061</v>
      </c>
      <c r="AM116" s="0" t="n">
        <v>40.9829</v>
      </c>
      <c r="AN116" s="0" t="n">
        <v>45.0584</v>
      </c>
      <c r="AO116" s="0" t="n">
        <v>41.2334</v>
      </c>
      <c r="AP116" s="0" t="n">
        <v>40.9511</v>
      </c>
      <c r="AQ116" s="0" t="n">
        <v>48.4378</v>
      </c>
      <c r="AR116" s="0" t="n">
        <v>46.6202</v>
      </c>
      <c r="AS116" s="0" t="n">
        <v>37.1591</v>
      </c>
      <c r="AT116" s="0" t="n">
        <v>58.8012</v>
      </c>
      <c r="AU116" s="0" t="n">
        <v>44.0444</v>
      </c>
      <c r="AV116" s="0" t="n">
        <v>27.9615</v>
      </c>
      <c r="AW116" s="0" t="n">
        <v>34.1839</v>
      </c>
      <c r="AX116" s="0" t="n">
        <v>38.5847</v>
      </c>
      <c r="AY116" s="0" t="n">
        <v>23.7329</v>
      </c>
      <c r="AZ116" s="0" t="n">
        <v>28.0143</v>
      </c>
      <c r="BA116" s="0" t="n">
        <v>12.376</v>
      </c>
      <c r="BB116" s="0" t="n">
        <v>30.3188</v>
      </c>
      <c r="BC116" s="0" t="n">
        <v>17.9611</v>
      </c>
      <c r="BD116" s="0" t="n">
        <v>11.2842</v>
      </c>
      <c r="BE116" s="0" t="n">
        <v>12.5947</v>
      </c>
      <c r="BF116" s="0" t="n">
        <v>9.0479</v>
      </c>
      <c r="BG116" s="0" t="n">
        <v>8.2491</v>
      </c>
      <c r="BH116" s="0" t="n">
        <v>8.4419</v>
      </c>
      <c r="BI116" s="0" t="n">
        <v>5.6577</v>
      </c>
      <c r="BJ116" s="0" t="n">
        <v>4.4578</v>
      </c>
      <c r="BK116" s="0" t="n">
        <v>6.1794</v>
      </c>
      <c r="BL116" s="0" t="n">
        <v>2.6877</v>
      </c>
      <c r="BM116" s="0" t="n">
        <v>6.0545</v>
      </c>
      <c r="BN116" s="0" t="n">
        <v>3.2084</v>
      </c>
      <c r="BO116" s="0" t="n">
        <v>1.55</v>
      </c>
      <c r="BP116" s="0" t="n">
        <v>1.993</v>
      </c>
      <c r="BQ116" s="0" t="n">
        <v>2.4794</v>
      </c>
      <c r="BR116" s="0" t="n">
        <v>1.4424</v>
      </c>
      <c r="BS116" s="0" t="n">
        <v>1.8795</v>
      </c>
      <c r="BT116" s="0" t="n">
        <v>1.4223</v>
      </c>
      <c r="BU116" s="0" t="n">
        <v>1.2969</v>
      </c>
      <c r="BV116" s="0" t="n">
        <v>2.4848</v>
      </c>
      <c r="BW116" s="0" t="n">
        <v>1.199</v>
      </c>
      <c r="BX116" s="0" t="n">
        <v>0.7762</v>
      </c>
      <c r="BY116" s="0" t="n">
        <v>1.11</v>
      </c>
      <c r="BZ116" s="0" t="n">
        <v>0.725</v>
      </c>
      <c r="CA116" s="0" t="n">
        <v>1.6094</v>
      </c>
      <c r="CB116" s="0" t="n">
        <v>1.3833</v>
      </c>
      <c r="CC116" s="0" t="n">
        <v>0.902</v>
      </c>
      <c r="CD116" s="0" t="n">
        <v>0.8067</v>
      </c>
      <c r="CE116" s="0" t="n">
        <v>0.4646</v>
      </c>
      <c r="CF116" s="0" t="n">
        <v>1.3915</v>
      </c>
      <c r="CG116" s="0" t="n">
        <v>0.5044</v>
      </c>
      <c r="CH116" s="0" t="n">
        <v>0.9165</v>
      </c>
      <c r="CI116" s="0" t="n">
        <v>0.4964</v>
      </c>
      <c r="CJ116" s="0" t="n">
        <v>0.3045</v>
      </c>
      <c r="CK116" s="0" t="n">
        <v>0.3623</v>
      </c>
      <c r="CL116" s="0" t="n">
        <v>0.1756</v>
      </c>
      <c r="CM116" s="0" t="n">
        <v>5.8535</v>
      </c>
      <c r="CN116" s="0" t="n">
        <v>0</v>
      </c>
      <c r="CO116" s="0" t="n">
        <v>0.1943</v>
      </c>
      <c r="CP116" s="0" t="n">
        <v>0.6879</v>
      </c>
      <c r="CQ116" s="0" t="n">
        <v>8.791</v>
      </c>
      <c r="CR116" s="0" t="n">
        <v>15.9447</v>
      </c>
      <c r="CS116" s="0" t="n">
        <v>14.295</v>
      </c>
      <c r="CT116" s="0" t="n">
        <v>27.5011</v>
      </c>
      <c r="CU116" s="0" t="n">
        <v>15.6134</v>
      </c>
      <c r="CV116" s="0" t="n">
        <v>17.0537</v>
      </c>
      <c r="CW116" s="0" t="n">
        <v>17.9896</v>
      </c>
      <c r="CX116" s="0" t="n">
        <v>26.4556</v>
      </c>
      <c r="CY116" s="0" t="n">
        <v>12.3155</v>
      </c>
      <c r="CZ116" s="0" t="n">
        <v>21.1389</v>
      </c>
      <c r="DA116" s="0" t="n">
        <v>15.2006</v>
      </c>
      <c r="DB116" s="0" t="n">
        <v>10.8078</v>
      </c>
      <c r="DC116" s="0" t="n">
        <v>14.8782</v>
      </c>
      <c r="DD116" s="0" t="n">
        <v>18.2817</v>
      </c>
      <c r="DE116" s="0" t="n">
        <v>17.0581</v>
      </c>
      <c r="DF116" s="0" t="n">
        <v>10.9891</v>
      </c>
      <c r="DG116" s="0" t="n">
        <v>15.0508</v>
      </c>
      <c r="DH116" s="0" t="n">
        <v>10.2269</v>
      </c>
      <c r="DI116" s="0" t="n">
        <v>15.0872</v>
      </c>
      <c r="DJ116" s="0" t="n">
        <v>6.332</v>
      </c>
      <c r="DK116" s="0" t="n">
        <v>14.0269</v>
      </c>
      <c r="DL116" s="0" t="n">
        <v>18.6979</v>
      </c>
      <c r="DM116" s="0" t="n">
        <v>10.938</v>
      </c>
      <c r="DN116" s="0" t="n">
        <v>24.0692</v>
      </c>
      <c r="DO116" s="0" t="n">
        <v>13.7396</v>
      </c>
      <c r="DP116" s="0" t="n">
        <v>18.2419</v>
      </c>
      <c r="DQ116" s="0" t="n">
        <v>20.8796</v>
      </c>
      <c r="DR116" s="0" t="n">
        <v>19.8448</v>
      </c>
      <c r="DS116" s="0" t="n">
        <v>20.1573</v>
      </c>
      <c r="DT116" s="0" t="n">
        <v>24.6813</v>
      </c>
      <c r="DU116" s="0" t="n">
        <v>24.5878</v>
      </c>
      <c r="DV116" s="0" t="n">
        <v>20.103</v>
      </c>
      <c r="DW116" s="0" t="n">
        <v>32.6225</v>
      </c>
      <c r="DX116" s="0" t="n">
        <v>25.2805</v>
      </c>
      <c r="DY116" s="0" t="n">
        <v>16.5435</v>
      </c>
      <c r="DZ116" s="0" t="n">
        <v>20.5881</v>
      </c>
      <c r="EA116" s="0" t="n">
        <v>23.9637</v>
      </c>
      <c r="EB116" s="0" t="n">
        <v>15.1158</v>
      </c>
      <c r="EC116" s="0" t="n">
        <v>18.2697</v>
      </c>
      <c r="ED116" s="0" t="n">
        <v>8.2256</v>
      </c>
      <c r="EE116" s="0" t="n">
        <v>20.66</v>
      </c>
      <c r="EF116" s="0" t="n">
        <v>12.6065</v>
      </c>
      <c r="EG116" s="0" t="n">
        <v>8.0867</v>
      </c>
      <c r="EH116" s="0" t="n">
        <v>9.2057</v>
      </c>
      <c r="EI116" s="0" t="n">
        <v>6.7362</v>
      </c>
      <c r="EJ116" s="0" t="n">
        <v>6.284</v>
      </c>
      <c r="EK116" s="0" t="n">
        <v>6.5749</v>
      </c>
      <c r="EL116" s="0" t="n">
        <v>4.4888</v>
      </c>
      <c r="EM116" s="0" t="n">
        <v>3.6004</v>
      </c>
      <c r="EN116" s="0" t="n">
        <v>5.1026</v>
      </c>
      <c r="EO116" s="0" t="n">
        <v>2.2573</v>
      </c>
      <c r="EP116" s="0" t="n">
        <v>5.1754</v>
      </c>
      <c r="EQ116" s="0" t="n">
        <v>2.8</v>
      </c>
      <c r="ER116" s="0" t="n">
        <v>1.3756</v>
      </c>
      <c r="ES116" s="0" t="n">
        <v>1.7998</v>
      </c>
      <c r="ET116" s="0" t="n">
        <v>2.2765</v>
      </c>
      <c r="EU116" s="0" t="n">
        <v>1.3479</v>
      </c>
      <c r="EV116" s="0" t="n">
        <v>1.7865</v>
      </c>
      <c r="EW116" s="0" t="n">
        <v>1.3707</v>
      </c>
      <c r="EX116" s="0" t="n">
        <v>1.2749</v>
      </c>
      <c r="EY116" s="0" t="n">
        <v>2.4737</v>
      </c>
      <c r="EZ116" s="0" t="n">
        <v>1.2141</v>
      </c>
      <c r="FA116" s="0" t="n">
        <v>0.7982</v>
      </c>
      <c r="FB116" s="0" t="n">
        <v>1.1571</v>
      </c>
      <c r="FC116" s="0" t="n">
        <v>0.7704</v>
      </c>
      <c r="FD116" s="0" t="n">
        <v>1.7358</v>
      </c>
      <c r="FE116" s="0" t="n">
        <v>1.5119</v>
      </c>
      <c r="FF116" s="0" t="n">
        <v>0.9986</v>
      </c>
      <c r="FG116" s="0" t="n">
        <v>0.9075</v>
      </c>
      <c r="FH116" s="0" t="n">
        <v>0.5293</v>
      </c>
      <c r="FI116" s="0" t="n">
        <v>1.6074</v>
      </c>
      <c r="FJ116" s="0" t="n">
        <v>0.5908</v>
      </c>
      <c r="FK116" s="0" t="n">
        <v>1.0876</v>
      </c>
      <c r="FL116" s="0" t="n">
        <v>0.5953</v>
      </c>
      <c r="FM116" s="0" t="n">
        <v>0.3709</v>
      </c>
      <c r="FN116" s="0" t="n">
        <v>0.4473</v>
      </c>
      <c r="FO116" s="0" t="n">
        <v>0.2192</v>
      </c>
      <c r="FP116" s="0" t="n">
        <v>8.6324</v>
      </c>
    </row>
    <row r="117" customFormat="false" ht="13.8" hidden="false" customHeight="false" outlineLevel="0" collapsed="false">
      <c r="A117" s="2" t="s">
        <v>396</v>
      </c>
      <c r="B117" s="0" t="s">
        <v>176</v>
      </c>
      <c r="C117" s="0" t="n">
        <v>216</v>
      </c>
      <c r="D117" s="0" t="s">
        <v>397</v>
      </c>
      <c r="F117" s="0" t="e">
        <f aca="false">VLOOKUP(A117,[1]ROOT!$A$1:$C$1048576,3,0)</f>
        <v>#N/A</v>
      </c>
      <c r="G117" s="0" t="n">
        <v>1543.3141</v>
      </c>
      <c r="H117" s="0" t="n">
        <v>140.4183</v>
      </c>
      <c r="I117" s="0" t="n">
        <v>441.137</v>
      </c>
      <c r="J117" s="0" t="n">
        <v>0.91005</v>
      </c>
      <c r="K117" s="0" t="n">
        <v>0</v>
      </c>
      <c r="L117" s="0" t="n">
        <v>162.4059</v>
      </c>
      <c r="M117" s="0" t="n">
        <v>153.1967</v>
      </c>
      <c r="N117" s="0" t="n">
        <v>83.5122</v>
      </c>
      <c r="O117" s="0" t="n">
        <v>0.1819</v>
      </c>
      <c r="P117" s="0" t="n">
        <v>87.6346</v>
      </c>
      <c r="Q117" s="0" t="n">
        <v>28.8162</v>
      </c>
      <c r="R117" s="0" t="n">
        <v>48.3912</v>
      </c>
      <c r="S117" s="0" t="n">
        <v>37.4687</v>
      </c>
      <c r="T117" s="0" t="n">
        <v>9.7571</v>
      </c>
      <c r="U117" s="0" t="n">
        <v>53.8751</v>
      </c>
      <c r="V117" s="0" t="n">
        <v>45.0918</v>
      </c>
      <c r="W117" s="0" t="n">
        <v>28.4277</v>
      </c>
      <c r="X117" s="0" t="n">
        <v>34.8954</v>
      </c>
      <c r="Y117" s="0" t="n">
        <v>35.6994</v>
      </c>
      <c r="Z117" s="0" t="n">
        <v>35.9611</v>
      </c>
      <c r="AA117" s="0" t="n">
        <v>23.8551</v>
      </c>
      <c r="AB117" s="0" t="n">
        <v>37.6757</v>
      </c>
      <c r="AC117" s="0" t="n">
        <v>13.4795</v>
      </c>
      <c r="AD117" s="0" t="n">
        <v>33.68</v>
      </c>
      <c r="AE117" s="0" t="n">
        <v>17.4174</v>
      </c>
      <c r="AF117" s="0" t="n">
        <v>30.7565</v>
      </c>
      <c r="AG117" s="0" t="n">
        <v>11.1495</v>
      </c>
      <c r="AH117" s="0" t="n">
        <v>22.3293</v>
      </c>
      <c r="AI117" s="0" t="n">
        <v>27.9718</v>
      </c>
      <c r="AJ117" s="0" t="n">
        <v>6.659</v>
      </c>
      <c r="AK117" s="0" t="n">
        <v>45.0893</v>
      </c>
      <c r="AL117" s="0" t="n">
        <v>40.6761</v>
      </c>
      <c r="AM117" s="0" t="n">
        <v>22.3005</v>
      </c>
      <c r="AN117" s="0" t="n">
        <v>13.9169</v>
      </c>
      <c r="AO117" s="0" t="n">
        <v>46.9057</v>
      </c>
      <c r="AP117" s="0" t="n">
        <v>23.4395</v>
      </c>
      <c r="AQ117" s="0" t="n">
        <v>30.7442</v>
      </c>
      <c r="AR117" s="0" t="n">
        <v>24.1479</v>
      </c>
      <c r="AS117" s="0" t="n">
        <v>26.5022</v>
      </c>
      <c r="AT117" s="0" t="n">
        <v>35.4655</v>
      </c>
      <c r="AU117" s="0" t="n">
        <v>33.6414</v>
      </c>
      <c r="AV117" s="0" t="n">
        <v>4.4239</v>
      </c>
      <c r="AW117" s="0" t="n">
        <v>21.3668</v>
      </c>
      <c r="AX117" s="0" t="n">
        <v>17.3701</v>
      </c>
      <c r="AY117" s="0" t="n">
        <v>10.4079</v>
      </c>
      <c r="AZ117" s="0" t="n">
        <v>11.5861</v>
      </c>
      <c r="BA117" s="0" t="n">
        <v>8.7029</v>
      </c>
      <c r="BB117" s="0" t="n">
        <v>10.8723</v>
      </c>
      <c r="BC117" s="0" t="n">
        <v>7.6807</v>
      </c>
      <c r="BD117" s="0" t="n">
        <v>3.8102</v>
      </c>
      <c r="BE117" s="0" t="n">
        <v>5.6831</v>
      </c>
      <c r="BF117" s="0" t="n">
        <v>1.2641</v>
      </c>
      <c r="BG117" s="0" t="n">
        <v>5.0628</v>
      </c>
      <c r="BH117" s="0" t="n">
        <v>2.5902</v>
      </c>
      <c r="BI117" s="0" t="n">
        <v>1.336</v>
      </c>
      <c r="BJ117" s="0" t="n">
        <v>1.646</v>
      </c>
      <c r="BK117" s="0" t="n">
        <v>3.4412</v>
      </c>
      <c r="BL117" s="0" t="n">
        <v>1.9497</v>
      </c>
      <c r="BM117" s="0" t="n">
        <v>0.4774</v>
      </c>
      <c r="BN117" s="0" t="n">
        <v>1.5514</v>
      </c>
      <c r="BO117" s="0" t="n">
        <v>0.7606</v>
      </c>
      <c r="BP117" s="0" t="n">
        <v>1.4258</v>
      </c>
      <c r="BQ117" s="0" t="n">
        <v>0.7624</v>
      </c>
      <c r="BR117" s="0" t="n">
        <v>0.2623</v>
      </c>
      <c r="BS117" s="0" t="n">
        <v>0.9969</v>
      </c>
      <c r="BT117" s="0" t="n">
        <v>0.3902</v>
      </c>
      <c r="BU117" s="0" t="n">
        <v>0.0941</v>
      </c>
      <c r="BV117" s="0" t="n">
        <v>0.7685</v>
      </c>
      <c r="BW117" s="0" t="n">
        <v>0.4302</v>
      </c>
      <c r="BX117" s="0" t="n">
        <v>0.146</v>
      </c>
      <c r="BY117" s="0" t="n">
        <v>0.0883</v>
      </c>
      <c r="BZ117" s="0" t="n">
        <v>0.1809</v>
      </c>
      <c r="CA117" s="0" t="n">
        <v>0.528</v>
      </c>
      <c r="CB117" s="0" t="n">
        <v>0.139</v>
      </c>
      <c r="CC117" s="0" t="n">
        <v>0.1375</v>
      </c>
      <c r="CD117" s="0" t="n">
        <v>0.0852</v>
      </c>
      <c r="CE117" s="0" t="n">
        <v>0.0069</v>
      </c>
      <c r="CF117" s="0" t="n">
        <v>0.0872</v>
      </c>
      <c r="CG117" s="0" t="n">
        <v>0.027</v>
      </c>
      <c r="CH117" s="0" t="n">
        <v>0</v>
      </c>
      <c r="CI117" s="0" t="n">
        <v>0.0127</v>
      </c>
      <c r="CJ117" s="0" t="n">
        <v>0.0608</v>
      </c>
      <c r="CK117" s="0" t="n">
        <v>0.0196</v>
      </c>
      <c r="CL117" s="0" t="n">
        <v>0.0418</v>
      </c>
      <c r="CM117" s="0" t="n">
        <v>0.466</v>
      </c>
      <c r="CN117" s="0" t="n">
        <v>0</v>
      </c>
      <c r="CO117" s="0" t="n">
        <v>3.4715</v>
      </c>
      <c r="CP117" s="0" t="n">
        <v>6.4677</v>
      </c>
      <c r="CQ117" s="0" t="n">
        <v>5.1045</v>
      </c>
      <c r="CR117" s="0" t="n">
        <v>0.0126</v>
      </c>
      <c r="CS117" s="0" t="n">
        <v>7.297</v>
      </c>
      <c r="CT117" s="0" t="n">
        <v>2.9317</v>
      </c>
      <c r="CU117" s="0" t="n">
        <v>5.6609</v>
      </c>
      <c r="CV117" s="0" t="n">
        <v>5.2037</v>
      </c>
      <c r="CW117" s="0" t="n">
        <v>1.4108</v>
      </c>
      <c r="CX117" s="0" t="n">
        <v>8.7404</v>
      </c>
      <c r="CY117" s="0" t="n">
        <v>8.2508</v>
      </c>
      <c r="CZ117" s="0" t="n">
        <v>5.6376</v>
      </c>
      <c r="DA117" s="0" t="n">
        <v>7.3314</v>
      </c>
      <c r="DB117" s="0" t="n">
        <v>8.1168</v>
      </c>
      <c r="DC117" s="0" t="n">
        <v>8.8314</v>
      </c>
      <c r="DD117" s="0" t="n">
        <v>6.1005</v>
      </c>
      <c r="DE117" s="0" t="n">
        <v>10.3177</v>
      </c>
      <c r="DF117" s="0" t="n">
        <v>3.8979</v>
      </c>
      <c r="DG117" s="0" t="n">
        <v>10.2519</v>
      </c>
      <c r="DH117" s="0" t="n">
        <v>5.5973</v>
      </c>
      <c r="DI117" s="0" t="n">
        <v>10.4676</v>
      </c>
      <c r="DJ117" s="0" t="n">
        <v>3.9563</v>
      </c>
      <c r="DK117" s="0" t="n">
        <v>8.2373</v>
      </c>
      <c r="DL117" s="0" t="n">
        <v>10.9178</v>
      </c>
      <c r="DM117" s="0" t="n">
        <v>2.6477</v>
      </c>
      <c r="DN117" s="0" t="n">
        <v>18.7518</v>
      </c>
      <c r="DO117" s="0" t="n">
        <v>17.7267</v>
      </c>
      <c r="DP117" s="0" t="n">
        <v>10.1256</v>
      </c>
      <c r="DQ117" s="0" t="n">
        <v>6.4022</v>
      </c>
      <c r="DR117" s="0" t="n">
        <v>22.4294</v>
      </c>
      <c r="DS117" s="0" t="n">
        <v>11.6387</v>
      </c>
      <c r="DT117" s="0" t="n">
        <v>15.7442</v>
      </c>
      <c r="DU117" s="0" t="n">
        <v>12.7289</v>
      </c>
      <c r="DV117" s="0" t="n">
        <v>14.2394</v>
      </c>
      <c r="DW117" s="0" t="n">
        <v>19.7209</v>
      </c>
      <c r="DX117" s="0" t="n">
        <v>19.4173</v>
      </c>
      <c r="DY117" s="0" t="n">
        <v>2.6213</v>
      </c>
      <c r="DZ117" s="0" t="n">
        <v>12.7943</v>
      </c>
      <c r="EA117" s="0" t="n">
        <v>10.7651</v>
      </c>
      <c r="EB117" s="0" t="n">
        <v>6.6531</v>
      </c>
      <c r="EC117" s="0" t="n">
        <v>7.5431</v>
      </c>
      <c r="ED117" s="0" t="n">
        <v>5.7872</v>
      </c>
      <c r="EE117" s="0" t="n">
        <v>7.4167</v>
      </c>
      <c r="EF117" s="0" t="n">
        <v>5.3855</v>
      </c>
      <c r="EG117" s="0" t="n">
        <v>2.7307</v>
      </c>
      <c r="EH117" s="0" t="n">
        <v>4.1619</v>
      </c>
      <c r="EI117" s="0" t="n">
        <v>0.94</v>
      </c>
      <c r="EJ117" s="0" t="n">
        <v>3.8509</v>
      </c>
      <c r="EK117" s="0" t="n">
        <v>2.0262</v>
      </c>
      <c r="EL117" s="0" t="n">
        <v>1.0618</v>
      </c>
      <c r="EM117" s="0" t="n">
        <v>1.3265</v>
      </c>
      <c r="EN117" s="0" t="n">
        <v>2.832</v>
      </c>
      <c r="EO117" s="0" t="n">
        <v>1.6454</v>
      </c>
      <c r="EP117" s="0" t="n">
        <v>0.4077</v>
      </c>
      <c r="EQ117" s="0" t="n">
        <v>1.3554</v>
      </c>
      <c r="ER117" s="0" t="n">
        <v>0.6755</v>
      </c>
      <c r="ES117" s="0" t="n">
        <v>1.2831</v>
      </c>
      <c r="ET117" s="0" t="n">
        <v>0.7025</v>
      </c>
      <c r="EU117" s="0" t="n">
        <v>0.2441</v>
      </c>
      <c r="EV117" s="0" t="n">
        <v>0.9482</v>
      </c>
      <c r="EW117" s="0" t="n">
        <v>0.3773</v>
      </c>
      <c r="EX117" s="0" t="n">
        <v>0.0925</v>
      </c>
      <c r="EY117" s="0" t="n">
        <v>0.7644</v>
      </c>
      <c r="EZ117" s="0" t="n">
        <v>0.4364</v>
      </c>
      <c r="FA117" s="0" t="n">
        <v>0.1511</v>
      </c>
      <c r="FB117" s="0" t="n">
        <v>0.092</v>
      </c>
      <c r="FC117" s="0" t="n">
        <v>0.1907</v>
      </c>
      <c r="FD117" s="0" t="n">
        <v>0.5688</v>
      </c>
      <c r="FE117" s="0" t="n">
        <v>0.1522</v>
      </c>
      <c r="FF117" s="0" t="n">
        <v>0.1513</v>
      </c>
      <c r="FG117" s="0" t="n">
        <v>0.096</v>
      </c>
      <c r="FH117" s="0" t="n">
        <v>0.0078</v>
      </c>
      <c r="FI117" s="0" t="n">
        <v>0.1006</v>
      </c>
      <c r="FJ117" s="0" t="n">
        <v>0.0317</v>
      </c>
      <c r="FK117" s="0" t="n">
        <v>0</v>
      </c>
      <c r="FL117" s="0" t="n">
        <v>0.0152</v>
      </c>
      <c r="FM117" s="0" t="n">
        <v>0.0739</v>
      </c>
      <c r="FN117" s="0" t="n">
        <v>0.0243</v>
      </c>
      <c r="FO117" s="0" t="n">
        <v>0.0519</v>
      </c>
      <c r="FP117" s="0" t="n">
        <v>0.6256</v>
      </c>
    </row>
    <row r="118" customFormat="false" ht="13.8" hidden="false" customHeight="false" outlineLevel="0" collapsed="false">
      <c r="A118" s="2" t="s">
        <v>398</v>
      </c>
      <c r="B118" s="0" t="s">
        <v>176</v>
      </c>
      <c r="C118" s="0" t="n">
        <v>320</v>
      </c>
      <c r="D118" s="0" t="s">
        <v>399</v>
      </c>
      <c r="G118" s="0" t="n">
        <v>743.6223</v>
      </c>
      <c r="H118" s="0" t="n">
        <v>76.9311</v>
      </c>
      <c r="I118" s="0" t="n">
        <v>241.6862</v>
      </c>
      <c r="J118" s="0" t="n">
        <v>1.0345</v>
      </c>
      <c r="K118" s="0" t="n">
        <v>0.0127</v>
      </c>
      <c r="L118" s="0" t="n">
        <v>7.6747</v>
      </c>
      <c r="M118" s="0" t="n">
        <v>11.6265</v>
      </c>
      <c r="N118" s="0" t="n">
        <v>42.9506</v>
      </c>
      <c r="O118" s="0" t="n">
        <v>46.7162</v>
      </c>
      <c r="P118" s="0" t="n">
        <v>37.9367</v>
      </c>
      <c r="Q118" s="0" t="n">
        <v>58.9077</v>
      </c>
      <c r="R118" s="0" t="n">
        <v>33.3329</v>
      </c>
      <c r="S118" s="0" t="n">
        <v>26.5812</v>
      </c>
      <c r="T118" s="0" t="n">
        <v>26.7161</v>
      </c>
      <c r="U118" s="0" t="n">
        <v>41.4094</v>
      </c>
      <c r="V118" s="0" t="n">
        <v>21.116</v>
      </c>
      <c r="W118" s="0" t="n">
        <v>30.516</v>
      </c>
      <c r="X118" s="0" t="n">
        <v>16.3491</v>
      </c>
      <c r="Y118" s="0" t="n">
        <v>10.7341</v>
      </c>
      <c r="Z118" s="0" t="n">
        <v>14.6443</v>
      </c>
      <c r="AA118" s="0" t="n">
        <v>13.7773</v>
      </c>
      <c r="AB118" s="0" t="n">
        <v>9.838</v>
      </c>
      <c r="AC118" s="0" t="n">
        <v>6.5266</v>
      </c>
      <c r="AD118" s="0" t="n">
        <v>8.0049</v>
      </c>
      <c r="AE118" s="0" t="n">
        <v>6.8589</v>
      </c>
      <c r="AF118" s="0" t="n">
        <v>13.9664</v>
      </c>
      <c r="AG118" s="0" t="n">
        <v>9.7606</v>
      </c>
      <c r="AH118" s="0" t="n">
        <v>13.0028</v>
      </c>
      <c r="AI118" s="0" t="n">
        <v>14.5121</v>
      </c>
      <c r="AJ118" s="0" t="n">
        <v>7.3586</v>
      </c>
      <c r="AK118" s="0" t="n">
        <v>11.5487</v>
      </c>
      <c r="AL118" s="0" t="n">
        <v>8.6727</v>
      </c>
      <c r="AM118" s="0" t="n">
        <v>8.841</v>
      </c>
      <c r="AN118" s="0" t="n">
        <v>10.6016</v>
      </c>
      <c r="AO118" s="0" t="n">
        <v>7.8472</v>
      </c>
      <c r="AP118" s="0" t="n">
        <v>9.0684</v>
      </c>
      <c r="AQ118" s="0" t="n">
        <v>10.1633</v>
      </c>
      <c r="AR118" s="0" t="n">
        <v>12.8279</v>
      </c>
      <c r="AS118" s="0" t="n">
        <v>7.8376</v>
      </c>
      <c r="AT118" s="0" t="n">
        <v>11.492</v>
      </c>
      <c r="AU118" s="0" t="n">
        <v>12.8922</v>
      </c>
      <c r="AV118" s="0" t="n">
        <v>8.1054</v>
      </c>
      <c r="AW118" s="0" t="n">
        <v>9.8645</v>
      </c>
      <c r="AX118" s="0" t="n">
        <v>14.7537</v>
      </c>
      <c r="AY118" s="0" t="n">
        <v>11.3568</v>
      </c>
      <c r="AZ118" s="0" t="n">
        <v>12.407</v>
      </c>
      <c r="BA118" s="0" t="n">
        <v>7.2533</v>
      </c>
      <c r="BB118" s="0" t="n">
        <v>8.4858</v>
      </c>
      <c r="BC118" s="0" t="n">
        <v>7.3533</v>
      </c>
      <c r="BD118" s="0" t="n">
        <v>4.854</v>
      </c>
      <c r="BE118" s="0" t="n">
        <v>2.8605</v>
      </c>
      <c r="BF118" s="0" t="n">
        <v>1.7432</v>
      </c>
      <c r="BG118" s="0" t="n">
        <v>3.004</v>
      </c>
      <c r="BH118" s="0" t="n">
        <v>2.7728</v>
      </c>
      <c r="BI118" s="0" t="n">
        <v>1.3332</v>
      </c>
      <c r="BJ118" s="0" t="n">
        <v>0.8817</v>
      </c>
      <c r="BK118" s="0" t="n">
        <v>1.4343</v>
      </c>
      <c r="BL118" s="0" t="n">
        <v>0.4631</v>
      </c>
      <c r="BM118" s="0" t="n">
        <v>0.1893</v>
      </c>
      <c r="BN118" s="0" t="n">
        <v>0.7542</v>
      </c>
      <c r="BO118" s="0" t="n">
        <v>0.2341</v>
      </c>
      <c r="BP118" s="0" t="n">
        <v>0.1861</v>
      </c>
      <c r="BQ118" s="0" t="n">
        <v>0.0465</v>
      </c>
      <c r="BR118" s="0" t="n">
        <v>0.0386</v>
      </c>
      <c r="BS118" s="0" t="n">
        <v>0.0159</v>
      </c>
      <c r="BT118" s="0" t="n">
        <v>0.0264</v>
      </c>
      <c r="BU118" s="0" t="n">
        <v>0.1576</v>
      </c>
      <c r="BV118" s="0" t="n">
        <v>0.1084</v>
      </c>
      <c r="BW118" s="0" t="n">
        <v>0.0391</v>
      </c>
      <c r="BX118" s="0" t="n">
        <v>0.0063</v>
      </c>
      <c r="BY118" s="0" t="n">
        <v>0.0063</v>
      </c>
      <c r="BZ118" s="0" t="n">
        <v>0.0259</v>
      </c>
      <c r="CA118" s="0" t="n">
        <v>0.0063</v>
      </c>
      <c r="CB118" s="0" t="n">
        <v>0.0159</v>
      </c>
      <c r="CC118" s="0" t="n">
        <v>0.009</v>
      </c>
      <c r="CD118" s="0" t="n">
        <v>0.009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0.0002</v>
      </c>
      <c r="CO118" s="0" t="n">
        <v>0.2091</v>
      </c>
      <c r="CP118" s="0" t="n">
        <v>0.4714</v>
      </c>
      <c r="CQ118" s="0" t="n">
        <v>2.4111</v>
      </c>
      <c r="CR118" s="0" t="n">
        <v>3.3477</v>
      </c>
      <c r="CS118" s="0" t="n">
        <v>3.2033</v>
      </c>
      <c r="CT118" s="0" t="n">
        <v>5.9441</v>
      </c>
      <c r="CU118" s="0" t="n">
        <v>3.9652</v>
      </c>
      <c r="CV118" s="0" t="n">
        <v>3.5541</v>
      </c>
      <c r="CW118" s="0" t="n">
        <v>3.9188</v>
      </c>
      <c r="CX118" s="0" t="n">
        <v>6.8841</v>
      </c>
      <c r="CY118" s="0" t="n">
        <v>3.8452</v>
      </c>
      <c r="CZ118" s="0" t="n">
        <v>5.9741</v>
      </c>
      <c r="DA118" s="0" t="n">
        <v>3.5182</v>
      </c>
      <c r="DB118" s="0" t="n">
        <v>2.4326</v>
      </c>
      <c r="DC118" s="0" t="n">
        <v>3.5399</v>
      </c>
      <c r="DD118" s="0" t="n">
        <v>3.5542</v>
      </c>
      <c r="DE118" s="0" t="n">
        <v>2.7145</v>
      </c>
      <c r="DF118" s="0" t="n">
        <v>1.8941</v>
      </c>
      <c r="DG118" s="0" t="n">
        <v>2.4459</v>
      </c>
      <c r="DH118" s="0" t="n">
        <v>2.1983</v>
      </c>
      <c r="DI118" s="0" t="n">
        <v>4.7462</v>
      </c>
      <c r="DJ118" s="0" t="n">
        <v>3.488</v>
      </c>
      <c r="DK118" s="0" t="n">
        <v>4.7854</v>
      </c>
      <c r="DL118" s="0" t="n">
        <v>5.6</v>
      </c>
      <c r="DM118" s="0" t="n">
        <v>2.9449</v>
      </c>
      <c r="DN118" s="0" t="n">
        <v>4.8123</v>
      </c>
      <c r="DO118" s="0" t="n">
        <v>3.7652</v>
      </c>
      <c r="DP118" s="0" t="n">
        <v>3.9419</v>
      </c>
      <c r="DQ118" s="0" t="n">
        <v>4.9089</v>
      </c>
      <c r="DR118" s="0" t="n">
        <v>3.7768</v>
      </c>
      <c r="DS118" s="0" t="n">
        <v>4.4878</v>
      </c>
      <c r="DT118" s="0" t="n">
        <v>5.181</v>
      </c>
      <c r="DU118" s="0" t="n">
        <v>6.7425</v>
      </c>
      <c r="DV118" s="0" t="n">
        <v>4.2407</v>
      </c>
      <c r="DW118" s="0" t="n">
        <v>6.3974</v>
      </c>
      <c r="DX118" s="0" t="n">
        <v>7.4095</v>
      </c>
      <c r="DY118" s="0" t="n">
        <v>4.7858</v>
      </c>
      <c r="DZ118" s="0" t="n">
        <v>5.9417</v>
      </c>
      <c r="EA118" s="0" t="n">
        <v>9.1644</v>
      </c>
      <c r="EB118" s="0" t="n">
        <v>7.2423</v>
      </c>
      <c r="EC118" s="0" t="n">
        <v>8.1089</v>
      </c>
      <c r="ED118" s="0" t="n">
        <v>4.8064</v>
      </c>
      <c r="EE118" s="0" t="n">
        <v>5.7826</v>
      </c>
      <c r="EF118" s="0" t="n">
        <v>5.1521</v>
      </c>
      <c r="EG118" s="0" t="n">
        <v>3.4785</v>
      </c>
      <c r="EH118" s="0" t="n">
        <v>2.0871</v>
      </c>
      <c r="EI118" s="0" t="n">
        <v>1.2984</v>
      </c>
      <c r="EJ118" s="0" t="n">
        <v>2.2869</v>
      </c>
      <c r="EK118" s="0" t="n">
        <v>2.1524</v>
      </c>
      <c r="EL118" s="0" t="n">
        <v>1.0533</v>
      </c>
      <c r="EM118" s="0" t="n">
        <v>0.7122</v>
      </c>
      <c r="EN118" s="0" t="n">
        <v>1.1816</v>
      </c>
      <c r="EO118" s="0" t="n">
        <v>0.3888</v>
      </c>
      <c r="EP118" s="0" t="n">
        <v>0.1619</v>
      </c>
      <c r="EQ118" s="0" t="n">
        <v>0.6579</v>
      </c>
      <c r="ER118" s="0" t="n">
        <v>0.2077</v>
      </c>
      <c r="ES118" s="0" t="n">
        <v>0.1672</v>
      </c>
      <c r="ET118" s="0" t="n">
        <v>0.0429</v>
      </c>
      <c r="EU118" s="0" t="n">
        <v>0.036</v>
      </c>
      <c r="EV118" s="0" t="n">
        <v>0.0151</v>
      </c>
      <c r="EW118" s="0" t="n">
        <v>0.0256</v>
      </c>
      <c r="EX118" s="0" t="n">
        <v>0.1546</v>
      </c>
      <c r="EY118" s="0" t="n">
        <v>0.1082</v>
      </c>
      <c r="EZ118" s="0" t="n">
        <v>0.0397</v>
      </c>
      <c r="FA118" s="0" t="n">
        <v>0.0066</v>
      </c>
      <c r="FB118" s="0" t="n">
        <v>0.0066</v>
      </c>
      <c r="FC118" s="0" t="n">
        <v>0.0276</v>
      </c>
      <c r="FD118" s="0" t="n">
        <v>0.0069</v>
      </c>
      <c r="FE118" s="0" t="n">
        <v>0.0174</v>
      </c>
      <c r="FF118" s="0" t="n">
        <v>0.0099</v>
      </c>
      <c r="FG118" s="0" t="n">
        <v>0.0101</v>
      </c>
      <c r="FH118" s="0" t="n">
        <v>0</v>
      </c>
      <c r="FI118" s="0" t="n">
        <v>0</v>
      </c>
      <c r="FJ118" s="0" t="n">
        <v>0</v>
      </c>
      <c r="FK118" s="0" t="n">
        <v>0</v>
      </c>
      <c r="FL118" s="0" t="n">
        <v>0</v>
      </c>
      <c r="FM118" s="0" t="n">
        <v>0</v>
      </c>
      <c r="FN118" s="0" t="n">
        <v>0</v>
      </c>
      <c r="FO118" s="0" t="n">
        <v>0</v>
      </c>
      <c r="FP118" s="0" t="n">
        <v>0</v>
      </c>
    </row>
    <row r="119" customFormat="false" ht="13.8" hidden="false" customHeight="false" outlineLevel="0" collapsed="false">
      <c r="A119" s="2" t="s">
        <v>400</v>
      </c>
      <c r="B119" s="0" t="s">
        <v>173</v>
      </c>
      <c r="C119" s="0" t="n">
        <v>84</v>
      </c>
      <c r="D119" s="0" t="s">
        <v>401</v>
      </c>
      <c r="E119" s="0" t="e">
        <f aca="false">VLOOKUP(A119,[1]RHIZOMES!$A$1:$B$1048576,2,0)</f>
        <v>#N/A</v>
      </c>
      <c r="F119" s="0" t="n">
        <v>1.8072</v>
      </c>
      <c r="G119" s="0" t="n">
        <v>1603.0753</v>
      </c>
      <c r="H119" s="0" t="n">
        <v>158.9367</v>
      </c>
      <c r="I119" s="0" t="n">
        <v>499.3143</v>
      </c>
      <c r="J119" s="0" t="n">
        <v>0.77145</v>
      </c>
      <c r="K119" s="0" t="n">
        <v>0</v>
      </c>
      <c r="L119" s="0" t="n">
        <v>5.1427</v>
      </c>
      <c r="M119" s="0" t="n">
        <v>11.5362</v>
      </c>
      <c r="N119" s="0" t="n">
        <v>93.8004</v>
      </c>
      <c r="O119" s="0" t="n">
        <v>110.8569</v>
      </c>
      <c r="P119" s="0" t="n">
        <v>92.0678</v>
      </c>
      <c r="Q119" s="0" t="n">
        <v>169.6488</v>
      </c>
      <c r="R119" s="0" t="n">
        <v>92.3895</v>
      </c>
      <c r="S119" s="0" t="n">
        <v>80.5912</v>
      </c>
      <c r="T119" s="0" t="n">
        <v>62.5934</v>
      </c>
      <c r="U119" s="0" t="n">
        <v>71.7501</v>
      </c>
      <c r="V119" s="0" t="n">
        <v>25.9498</v>
      </c>
      <c r="W119" s="0" t="n">
        <v>42.1996</v>
      </c>
      <c r="X119" s="0" t="n">
        <v>18.4086</v>
      </c>
      <c r="Y119" s="0" t="n">
        <v>11.5214</v>
      </c>
      <c r="Z119" s="0" t="n">
        <v>16.8846</v>
      </c>
      <c r="AA119" s="0" t="n">
        <v>20.628</v>
      </c>
      <c r="AB119" s="0" t="n">
        <v>19.1331</v>
      </c>
      <c r="AC119" s="0" t="n">
        <v>17.9177</v>
      </c>
      <c r="AD119" s="0" t="n">
        <v>25.3713</v>
      </c>
      <c r="AE119" s="0" t="n">
        <v>17.6902</v>
      </c>
      <c r="AF119" s="0" t="n">
        <v>32.8575</v>
      </c>
      <c r="AG119" s="0" t="n">
        <v>13.7757</v>
      </c>
      <c r="AH119" s="0" t="n">
        <v>34.7737</v>
      </c>
      <c r="AI119" s="0" t="n">
        <v>42.5843</v>
      </c>
      <c r="AJ119" s="0" t="n">
        <v>23.2875</v>
      </c>
      <c r="AK119" s="0" t="n">
        <v>44.8431</v>
      </c>
      <c r="AL119" s="0" t="n">
        <v>22.5979</v>
      </c>
      <c r="AM119" s="0" t="n">
        <v>33.0086</v>
      </c>
      <c r="AN119" s="0" t="n">
        <v>37.9225</v>
      </c>
      <c r="AO119" s="0" t="n">
        <v>34.6517</v>
      </c>
      <c r="AP119" s="0" t="n">
        <v>26.8445</v>
      </c>
      <c r="AQ119" s="0" t="n">
        <v>35.5621</v>
      </c>
      <c r="AR119" s="0" t="n">
        <v>26.8768</v>
      </c>
      <c r="AS119" s="0" t="n">
        <v>24.4004</v>
      </c>
      <c r="AT119" s="0" t="n">
        <v>29.9559</v>
      </c>
      <c r="AU119" s="0" t="n">
        <v>22.8685</v>
      </c>
      <c r="AV119" s="0" t="n">
        <v>14.1335</v>
      </c>
      <c r="AW119" s="0" t="n">
        <v>11.2902</v>
      </c>
      <c r="AX119" s="0" t="n">
        <v>15.1797</v>
      </c>
      <c r="AY119" s="0" t="n">
        <v>6.3345</v>
      </c>
      <c r="AZ119" s="0" t="n">
        <v>8.6028</v>
      </c>
      <c r="BA119" s="0" t="n">
        <v>5.5699</v>
      </c>
      <c r="BB119" s="0" t="n">
        <v>6.3611</v>
      </c>
      <c r="BC119" s="0" t="n">
        <v>4.6581</v>
      </c>
      <c r="BD119" s="0" t="n">
        <v>2.7169</v>
      </c>
      <c r="BE119" s="0" t="n">
        <v>4.71</v>
      </c>
      <c r="BF119" s="0" t="n">
        <v>2.8027</v>
      </c>
      <c r="BG119" s="0" t="n">
        <v>2.2736</v>
      </c>
      <c r="BH119" s="0" t="n">
        <v>2.2753</v>
      </c>
      <c r="BI119" s="0" t="n">
        <v>1.5691</v>
      </c>
      <c r="BJ119" s="0" t="n">
        <v>1.6022</v>
      </c>
      <c r="BK119" s="0" t="n">
        <v>1.3398</v>
      </c>
      <c r="BL119" s="0" t="n">
        <v>0.6953</v>
      </c>
      <c r="BM119" s="0" t="n">
        <v>1.8591</v>
      </c>
      <c r="BN119" s="0" t="n">
        <v>1.126</v>
      </c>
      <c r="BO119" s="0" t="n">
        <v>0.7055</v>
      </c>
      <c r="BP119" s="0" t="n">
        <v>0.5902</v>
      </c>
      <c r="BQ119" s="0" t="n">
        <v>0.5933</v>
      </c>
      <c r="BR119" s="0" t="n">
        <v>1.1113</v>
      </c>
      <c r="BS119" s="0" t="n">
        <v>1.4585</v>
      </c>
      <c r="BT119" s="0" t="n">
        <v>0.5303</v>
      </c>
      <c r="BU119" s="0" t="n">
        <v>0.8428</v>
      </c>
      <c r="BV119" s="0" t="n">
        <v>1.0172</v>
      </c>
      <c r="BW119" s="0" t="n">
        <v>0.9414</v>
      </c>
      <c r="BX119" s="0" t="n">
        <v>0.6096</v>
      </c>
      <c r="BY119" s="0" t="n">
        <v>1.2316</v>
      </c>
      <c r="BZ119" s="0" t="n">
        <v>0.2702</v>
      </c>
      <c r="CA119" s="0" t="n">
        <v>0.4097</v>
      </c>
      <c r="CB119" s="0" t="n">
        <v>0.3729</v>
      </c>
      <c r="CC119" s="0" t="n">
        <v>0.3752</v>
      </c>
      <c r="CD119" s="0" t="n">
        <v>0.0539</v>
      </c>
      <c r="CE119" s="0" t="n">
        <v>0.1015</v>
      </c>
      <c r="CF119" s="0" t="n">
        <v>0.3648</v>
      </c>
      <c r="CG119" s="0" t="n">
        <v>0.1322</v>
      </c>
      <c r="CH119" s="0" t="n">
        <v>0.1095</v>
      </c>
      <c r="CI119" s="0" t="n">
        <v>0.1042</v>
      </c>
      <c r="CJ119" s="0" t="n">
        <v>0.0698</v>
      </c>
      <c r="CK119" s="0" t="n">
        <v>0.1026</v>
      </c>
      <c r="CL119" s="0" t="n">
        <v>0.4977</v>
      </c>
      <c r="CM119" s="0" t="n">
        <v>1.7168</v>
      </c>
      <c r="CN119" s="0" t="n">
        <v>0</v>
      </c>
      <c r="CO119" s="0" t="n">
        <v>0.1405</v>
      </c>
      <c r="CP119" s="0" t="n">
        <v>0.4681</v>
      </c>
      <c r="CQ119" s="0" t="n">
        <v>5.3221</v>
      </c>
      <c r="CR119" s="0" t="n">
        <v>7.8209</v>
      </c>
      <c r="CS119" s="0" t="n">
        <v>7.678</v>
      </c>
      <c r="CT119" s="0" t="n">
        <v>17.1397</v>
      </c>
      <c r="CU119" s="0" t="n">
        <v>10.9986</v>
      </c>
      <c r="CV119" s="0" t="n">
        <v>10.7111</v>
      </c>
      <c r="CW119" s="0" t="n">
        <v>9.1919</v>
      </c>
      <c r="CX119" s="0" t="n">
        <v>11.9266</v>
      </c>
      <c r="CY119" s="0" t="n">
        <v>4.7017</v>
      </c>
      <c r="CZ119" s="0" t="n">
        <v>8.2471</v>
      </c>
      <c r="DA119" s="0" t="n">
        <v>3.9716</v>
      </c>
      <c r="DB119" s="0" t="n">
        <v>2.6163</v>
      </c>
      <c r="DC119" s="0" t="n">
        <v>4.0965</v>
      </c>
      <c r="DD119" s="0" t="n">
        <v>5.3339</v>
      </c>
      <c r="DE119" s="0" t="n">
        <v>5.2885</v>
      </c>
      <c r="DF119" s="0" t="n">
        <v>5.2052</v>
      </c>
      <c r="DG119" s="0" t="n">
        <v>7.79</v>
      </c>
      <c r="DH119" s="0" t="n">
        <v>5.669</v>
      </c>
      <c r="DI119" s="0" t="n">
        <v>11.1616</v>
      </c>
      <c r="DJ119" s="0" t="n">
        <v>4.9004</v>
      </c>
      <c r="DK119" s="0" t="n">
        <v>12.7505</v>
      </c>
      <c r="DL119" s="0" t="n">
        <v>16.5092</v>
      </c>
      <c r="DM119" s="0" t="n">
        <v>9.3173</v>
      </c>
      <c r="DN119" s="0" t="n">
        <v>18.6997</v>
      </c>
      <c r="DO119" s="0" t="n">
        <v>9.8087</v>
      </c>
      <c r="DP119" s="0" t="n">
        <v>14.7063</v>
      </c>
      <c r="DQ119" s="0" t="n">
        <v>17.5652</v>
      </c>
      <c r="DR119" s="0" t="n">
        <v>16.676</v>
      </c>
      <c r="DS119" s="0" t="n">
        <v>13.2389</v>
      </c>
      <c r="DT119" s="0" t="n">
        <v>18.1317</v>
      </c>
      <c r="DU119" s="0" t="n">
        <v>14.1401</v>
      </c>
      <c r="DV119" s="0" t="n">
        <v>13.1722</v>
      </c>
      <c r="DW119" s="0" t="n">
        <v>16.6505</v>
      </c>
      <c r="DX119" s="0" t="n">
        <v>13.1326</v>
      </c>
      <c r="DY119" s="0" t="n">
        <v>8.3467</v>
      </c>
      <c r="DZ119" s="0" t="n">
        <v>6.7969</v>
      </c>
      <c r="EA119" s="0" t="n">
        <v>9.4266</v>
      </c>
      <c r="EB119" s="0" t="n">
        <v>4.0364</v>
      </c>
      <c r="EC119" s="0" t="n">
        <v>5.6142</v>
      </c>
      <c r="ED119" s="0" t="n">
        <v>3.698</v>
      </c>
      <c r="EE119" s="0" t="n">
        <v>4.3403</v>
      </c>
      <c r="EF119" s="0" t="n">
        <v>3.2669</v>
      </c>
      <c r="EG119" s="0" t="n">
        <v>1.9385</v>
      </c>
      <c r="EH119" s="0" t="n">
        <v>3.4367</v>
      </c>
      <c r="EI119" s="0" t="n">
        <v>2.0899</v>
      </c>
      <c r="EJ119" s="0" t="n">
        <v>1.7314</v>
      </c>
      <c r="EK119" s="0" t="n">
        <v>1.7684</v>
      </c>
      <c r="EL119" s="0" t="n">
        <v>1.2431</v>
      </c>
      <c r="EM119" s="0" t="n">
        <v>1.2961</v>
      </c>
      <c r="EN119" s="0" t="n">
        <v>1.1072</v>
      </c>
      <c r="EO119" s="0" t="n">
        <v>0.5818</v>
      </c>
      <c r="EP119" s="0" t="n">
        <v>1.5903</v>
      </c>
      <c r="EQ119" s="0" t="n">
        <v>0.9818</v>
      </c>
      <c r="ER119" s="0" t="n">
        <v>0.6274</v>
      </c>
      <c r="ES119" s="0" t="n">
        <v>0.5324</v>
      </c>
      <c r="ET119" s="0" t="n">
        <v>0.5452</v>
      </c>
      <c r="EU119" s="0" t="n">
        <v>1.0396</v>
      </c>
      <c r="EV119" s="0" t="n">
        <v>1.3869</v>
      </c>
      <c r="EW119" s="0" t="n">
        <v>0.5122</v>
      </c>
      <c r="EX119" s="0" t="n">
        <v>0.8266</v>
      </c>
      <c r="EY119" s="0" t="n">
        <v>1.0147</v>
      </c>
      <c r="EZ119" s="0" t="n">
        <v>0.9566</v>
      </c>
      <c r="FA119" s="0" t="n">
        <v>0.6259</v>
      </c>
      <c r="FB119" s="0" t="n">
        <v>1.2877</v>
      </c>
      <c r="FC119" s="0" t="n">
        <v>0.287</v>
      </c>
      <c r="FD119" s="0" t="n">
        <v>0.4399</v>
      </c>
      <c r="FE119" s="0" t="n">
        <v>0.4084</v>
      </c>
      <c r="FF119" s="0" t="n">
        <v>0.4146</v>
      </c>
      <c r="FG119" s="0" t="n">
        <v>0.0607</v>
      </c>
      <c r="FH119" s="0" t="n">
        <v>0.1155</v>
      </c>
      <c r="FI119" s="0" t="n">
        <v>0.4208</v>
      </c>
      <c r="FJ119" s="0" t="n">
        <v>0.1548</v>
      </c>
      <c r="FK119" s="0" t="n">
        <v>0.1295</v>
      </c>
      <c r="FL119" s="0" t="n">
        <v>0.1253</v>
      </c>
      <c r="FM119" s="0" t="n">
        <v>0.085</v>
      </c>
      <c r="FN119" s="0" t="n">
        <v>0.1264</v>
      </c>
      <c r="FO119" s="0" t="n">
        <v>0.6206</v>
      </c>
      <c r="FP119" s="0" t="n">
        <v>2.3186</v>
      </c>
    </row>
    <row r="120" customFormat="false" ht="13.8" hidden="false" customHeight="false" outlineLevel="0" collapsed="false">
      <c r="A120" s="2" t="s">
        <v>402</v>
      </c>
      <c r="B120" s="0" t="s">
        <v>176</v>
      </c>
      <c r="C120" s="0" t="n">
        <v>244</v>
      </c>
      <c r="D120" s="0" t="s">
        <v>403</v>
      </c>
      <c r="G120" s="0" t="n">
        <v>2266.8865</v>
      </c>
      <c r="H120" s="0" t="n">
        <v>106.4741</v>
      </c>
      <c r="I120" s="0" t="n">
        <v>334.4982</v>
      </c>
      <c r="J120" s="0" t="n">
        <v>0.4695</v>
      </c>
      <c r="K120" s="0" t="n">
        <v>0.0132</v>
      </c>
      <c r="L120" s="0" t="n">
        <v>212.455</v>
      </c>
      <c r="M120" s="0" t="n">
        <v>211.1142</v>
      </c>
      <c r="N120" s="0" t="n">
        <v>380.8265</v>
      </c>
      <c r="O120" s="0" t="n">
        <v>330.5831</v>
      </c>
      <c r="P120" s="0" t="n">
        <v>212.4605</v>
      </c>
      <c r="Q120" s="0" t="n">
        <v>129.4608</v>
      </c>
      <c r="R120" s="0" t="n">
        <v>113.9133</v>
      </c>
      <c r="S120" s="0" t="n">
        <v>64.9508</v>
      </c>
      <c r="T120" s="0" t="n">
        <v>57.7382</v>
      </c>
      <c r="U120" s="0" t="n">
        <v>52.701</v>
      </c>
      <c r="V120" s="0" t="n">
        <v>46.3097</v>
      </c>
      <c r="W120" s="0" t="n">
        <v>31.3813</v>
      </c>
      <c r="X120" s="0" t="n">
        <v>25.8364</v>
      </c>
      <c r="Y120" s="0" t="n">
        <v>23.9671</v>
      </c>
      <c r="Z120" s="0" t="n">
        <v>20.6015</v>
      </c>
      <c r="AA120" s="0" t="n">
        <v>18.5452</v>
      </c>
      <c r="AB120" s="0" t="n">
        <v>18.349</v>
      </c>
      <c r="AC120" s="0" t="n">
        <v>20.3134</v>
      </c>
      <c r="AD120" s="0" t="n">
        <v>17.2061</v>
      </c>
      <c r="AE120" s="0" t="n">
        <v>15.6496</v>
      </c>
      <c r="AF120" s="0" t="n">
        <v>14.4034</v>
      </c>
      <c r="AG120" s="0" t="n">
        <v>14.1771</v>
      </c>
      <c r="AH120" s="0" t="n">
        <v>11.0806</v>
      </c>
      <c r="AI120" s="0" t="n">
        <v>11.7546</v>
      </c>
      <c r="AJ120" s="0" t="n">
        <v>12.2767</v>
      </c>
      <c r="AK120" s="0" t="n">
        <v>15.207</v>
      </c>
      <c r="AL120" s="0" t="n">
        <v>16.8366</v>
      </c>
      <c r="AM120" s="0" t="n">
        <v>13.5729</v>
      </c>
      <c r="AN120" s="0" t="n">
        <v>14.4527</v>
      </c>
      <c r="AO120" s="0" t="n">
        <v>20.0783</v>
      </c>
      <c r="AP120" s="0" t="n">
        <v>16.2525</v>
      </c>
      <c r="AQ120" s="0" t="n">
        <v>16.0256</v>
      </c>
      <c r="AR120" s="0" t="n">
        <v>9.168</v>
      </c>
      <c r="AS120" s="0" t="n">
        <v>9.0049</v>
      </c>
      <c r="AT120" s="0" t="n">
        <v>8.4719</v>
      </c>
      <c r="AU120" s="0" t="n">
        <v>9.0303</v>
      </c>
      <c r="AV120" s="0" t="n">
        <v>5.2454</v>
      </c>
      <c r="AW120" s="0" t="n">
        <v>5.6876</v>
      </c>
      <c r="AX120" s="0" t="n">
        <v>4.4888</v>
      </c>
      <c r="AY120" s="0" t="n">
        <v>3.7151</v>
      </c>
      <c r="AZ120" s="0" t="n">
        <v>7.3215</v>
      </c>
      <c r="BA120" s="0" t="n">
        <v>6.1171</v>
      </c>
      <c r="BB120" s="0" t="n">
        <v>4.6341</v>
      </c>
      <c r="BC120" s="0" t="n">
        <v>2.6167</v>
      </c>
      <c r="BD120" s="0" t="n">
        <v>1.7462</v>
      </c>
      <c r="BE120" s="0" t="n">
        <v>2.1648</v>
      </c>
      <c r="BF120" s="0" t="n">
        <v>1.6458</v>
      </c>
      <c r="BG120" s="0" t="n">
        <v>1.5115</v>
      </c>
      <c r="BH120" s="0" t="n">
        <v>0.6352</v>
      </c>
      <c r="BI120" s="0" t="n">
        <v>0.5975</v>
      </c>
      <c r="BJ120" s="0" t="n">
        <v>0.1716</v>
      </c>
      <c r="BK120" s="0" t="n">
        <v>0.6168</v>
      </c>
      <c r="BL120" s="0" t="n">
        <v>0.1262</v>
      </c>
      <c r="BM120" s="0" t="n">
        <v>0.4248</v>
      </c>
      <c r="BN120" s="0" t="n">
        <v>0.0296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0.0002</v>
      </c>
      <c r="CO120" s="0" t="n">
        <v>5.538</v>
      </c>
      <c r="CP120" s="0" t="n">
        <v>8.3245</v>
      </c>
      <c r="CQ120" s="0" t="n">
        <v>21.0441</v>
      </c>
      <c r="CR120" s="0" t="n">
        <v>23.0087</v>
      </c>
      <c r="CS120" s="0" t="n">
        <v>18.1748</v>
      </c>
      <c r="CT120" s="0" t="n">
        <v>13.1378</v>
      </c>
      <c r="CU120" s="0" t="n">
        <v>13.3999</v>
      </c>
      <c r="CV120" s="0" t="n">
        <v>8.6839</v>
      </c>
      <c r="CW120" s="0" t="n">
        <v>8.5866</v>
      </c>
      <c r="CX120" s="0" t="n">
        <v>8.6626</v>
      </c>
      <c r="CY120" s="0" t="n">
        <v>8.3752</v>
      </c>
      <c r="CZ120" s="0" t="n">
        <v>6.154</v>
      </c>
      <c r="DA120" s="0" t="n">
        <v>5.475</v>
      </c>
      <c r="DB120" s="0" t="n">
        <v>5.4445</v>
      </c>
      <c r="DC120" s="0" t="n">
        <v>5.0188</v>
      </c>
      <c r="DD120" s="0" t="n">
        <v>4.8059</v>
      </c>
      <c r="DE120" s="0" t="n">
        <v>5.0458</v>
      </c>
      <c r="DF120" s="0" t="n">
        <v>5.9102</v>
      </c>
      <c r="DG120" s="0" t="n">
        <v>5.2614</v>
      </c>
      <c r="DH120" s="0" t="n">
        <v>5.0356</v>
      </c>
      <c r="DI120" s="0" t="n">
        <v>4.8717</v>
      </c>
      <c r="DJ120" s="0" t="n">
        <v>5.0007</v>
      </c>
      <c r="DK120" s="0" t="n">
        <v>4.0969</v>
      </c>
      <c r="DL120" s="0" t="n">
        <v>4.5241</v>
      </c>
      <c r="DM120" s="0" t="n">
        <v>4.9068</v>
      </c>
      <c r="DN120" s="0" t="n">
        <v>6.3316</v>
      </c>
      <c r="DO120" s="0" t="n">
        <v>7.2844</v>
      </c>
      <c r="DP120" s="0" t="n">
        <v>6.0764</v>
      </c>
      <c r="DQ120" s="0" t="n">
        <v>6.6928</v>
      </c>
      <c r="DR120" s="0" t="n">
        <v>9.608</v>
      </c>
      <c r="DS120" s="0" t="n">
        <v>8.0467</v>
      </c>
      <c r="DT120" s="0" t="n">
        <v>8.1689</v>
      </c>
      <c r="DU120" s="0" t="n">
        <v>4.8189</v>
      </c>
      <c r="DV120" s="0" t="n">
        <v>4.8784</v>
      </c>
      <c r="DW120" s="0" t="n">
        <v>4.7179</v>
      </c>
      <c r="DX120" s="0" t="n">
        <v>5.173</v>
      </c>
      <c r="DY120" s="0" t="n">
        <v>3.0839</v>
      </c>
      <c r="DZ120" s="0" t="n">
        <v>3.4426</v>
      </c>
      <c r="EA120" s="0" t="n">
        <v>2.7836</v>
      </c>
      <c r="EB120" s="0" t="n">
        <v>2.3621</v>
      </c>
      <c r="EC120" s="0" t="n">
        <v>4.7663</v>
      </c>
      <c r="ED120" s="0" t="n">
        <v>4.0803</v>
      </c>
      <c r="EE120" s="0" t="n">
        <v>3.1682</v>
      </c>
      <c r="EF120" s="0" t="n">
        <v>1.8252</v>
      </c>
      <c r="EG120" s="0" t="n">
        <v>1.2458</v>
      </c>
      <c r="EH120" s="0" t="n">
        <v>1.5805</v>
      </c>
      <c r="EI120" s="0" t="n">
        <v>1.23</v>
      </c>
      <c r="EJ120" s="0" t="n">
        <v>1.1506</v>
      </c>
      <c r="EK120" s="0" t="n">
        <v>0.4923</v>
      </c>
      <c r="EL120" s="0" t="n">
        <v>0.475</v>
      </c>
      <c r="EM120" s="0" t="n">
        <v>0.139</v>
      </c>
      <c r="EN120" s="0" t="n">
        <v>0.5068</v>
      </c>
      <c r="EO120" s="0" t="n">
        <v>0.1064</v>
      </c>
      <c r="EP120" s="0" t="n">
        <v>0.3622</v>
      </c>
      <c r="EQ120" s="0" t="n">
        <v>0.0257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0</v>
      </c>
      <c r="EY120" s="0" t="n">
        <v>0</v>
      </c>
      <c r="EZ120" s="0" t="n">
        <v>0</v>
      </c>
      <c r="FA120" s="0" t="n">
        <v>0</v>
      </c>
      <c r="FB120" s="0" t="n">
        <v>0</v>
      </c>
      <c r="FC120" s="0" t="n">
        <v>0</v>
      </c>
      <c r="FD120" s="0" t="n">
        <v>0</v>
      </c>
      <c r="FE120" s="0" t="n">
        <v>0</v>
      </c>
      <c r="FF120" s="0" t="n">
        <v>0</v>
      </c>
      <c r="FG120" s="0" t="n">
        <v>0</v>
      </c>
      <c r="FH120" s="0" t="n">
        <v>0</v>
      </c>
      <c r="FI120" s="0" t="n">
        <v>0</v>
      </c>
      <c r="FJ120" s="0" t="n">
        <v>0</v>
      </c>
      <c r="FK120" s="0" t="n">
        <v>0</v>
      </c>
      <c r="FL120" s="0" t="n">
        <v>0</v>
      </c>
      <c r="FM120" s="0" t="n">
        <v>0</v>
      </c>
      <c r="FN120" s="0" t="n">
        <v>0</v>
      </c>
      <c r="FO120" s="0" t="n">
        <v>0</v>
      </c>
      <c r="FP120" s="0" t="n">
        <v>0</v>
      </c>
    </row>
    <row r="121" customFormat="false" ht="13.8" hidden="false" customHeight="false" outlineLevel="0" collapsed="false">
      <c r="A121" s="2" t="s">
        <v>404</v>
      </c>
      <c r="B121" s="0" t="s">
        <v>176</v>
      </c>
      <c r="C121" s="0" t="n">
        <v>238</v>
      </c>
      <c r="D121" s="0" t="s">
        <v>405</v>
      </c>
      <c r="F121" s="0" t="e">
        <f aca="false">VLOOKUP(A121,[1]ROOT!$A$1:$C$1048576,3,0)</f>
        <v>#N/A</v>
      </c>
      <c r="G121" s="0" t="n">
        <v>1498.1853</v>
      </c>
      <c r="H121" s="0" t="n">
        <v>101.4372</v>
      </c>
      <c r="I121" s="0" t="n">
        <v>318.6742</v>
      </c>
      <c r="J121" s="0" t="n">
        <v>0.6584</v>
      </c>
      <c r="K121" s="0" t="n">
        <v>0</v>
      </c>
      <c r="L121" s="0" t="n">
        <v>6.5126</v>
      </c>
      <c r="M121" s="0" t="n">
        <v>15.6522</v>
      </c>
      <c r="N121" s="0" t="n">
        <v>125.9645</v>
      </c>
      <c r="O121" s="0" t="n">
        <v>173.9775</v>
      </c>
      <c r="P121" s="0" t="n">
        <v>133.5473</v>
      </c>
      <c r="Q121" s="0" t="n">
        <v>177.6202</v>
      </c>
      <c r="R121" s="0" t="n">
        <v>81.4541</v>
      </c>
      <c r="S121" s="0" t="n">
        <v>68.4272</v>
      </c>
      <c r="T121" s="0" t="n">
        <v>60.1525</v>
      </c>
      <c r="U121" s="0" t="n">
        <v>80.7026</v>
      </c>
      <c r="V121" s="0" t="n">
        <v>37.8847</v>
      </c>
      <c r="W121" s="0" t="n">
        <v>76.6471</v>
      </c>
      <c r="X121" s="0" t="n">
        <v>49.8901</v>
      </c>
      <c r="Y121" s="0" t="n">
        <v>30.7886</v>
      </c>
      <c r="Z121" s="0" t="n">
        <v>31.8852</v>
      </c>
      <c r="AA121" s="0" t="n">
        <v>32.3413</v>
      </c>
      <c r="AB121" s="0" t="n">
        <v>40.8239</v>
      </c>
      <c r="AC121" s="0" t="n">
        <v>28.4362</v>
      </c>
      <c r="AD121" s="0" t="n">
        <v>36.3483</v>
      </c>
      <c r="AE121" s="0" t="n">
        <v>24.0854</v>
      </c>
      <c r="AF121" s="0" t="n">
        <v>30.2598</v>
      </c>
      <c r="AG121" s="0" t="n">
        <v>12.0811</v>
      </c>
      <c r="AH121" s="0" t="n">
        <v>16.0441</v>
      </c>
      <c r="AI121" s="0" t="n">
        <v>15.7296</v>
      </c>
      <c r="AJ121" s="0" t="n">
        <v>16.0512</v>
      </c>
      <c r="AK121" s="0" t="n">
        <v>16.2469</v>
      </c>
      <c r="AL121" s="0" t="n">
        <v>10.1301</v>
      </c>
      <c r="AM121" s="0" t="n">
        <v>8.3314</v>
      </c>
      <c r="AN121" s="0" t="n">
        <v>8.4919</v>
      </c>
      <c r="AO121" s="0" t="n">
        <v>6.2583</v>
      </c>
      <c r="AP121" s="0" t="n">
        <v>2.9197</v>
      </c>
      <c r="AQ121" s="0" t="n">
        <v>3.2951</v>
      </c>
      <c r="AR121" s="0" t="n">
        <v>3.3276</v>
      </c>
      <c r="AS121" s="0" t="n">
        <v>1.8082</v>
      </c>
      <c r="AT121" s="0" t="n">
        <v>4.1864</v>
      </c>
      <c r="AU121" s="0" t="n">
        <v>4.494</v>
      </c>
      <c r="AV121" s="0" t="n">
        <v>2.6893</v>
      </c>
      <c r="AW121" s="0" t="n">
        <v>2.6386</v>
      </c>
      <c r="AX121" s="0" t="n">
        <v>3.4385</v>
      </c>
      <c r="AY121" s="0" t="n">
        <v>1.9495</v>
      </c>
      <c r="AZ121" s="0" t="n">
        <v>1.7805</v>
      </c>
      <c r="BA121" s="0" t="n">
        <v>1.1052</v>
      </c>
      <c r="BB121" s="0" t="n">
        <v>1.086</v>
      </c>
      <c r="BC121" s="0" t="n">
        <v>0.9089</v>
      </c>
      <c r="BD121" s="0" t="n">
        <v>0.7506</v>
      </c>
      <c r="BE121" s="0" t="n">
        <v>1.231</v>
      </c>
      <c r="BF121" s="0" t="n">
        <v>1.0857</v>
      </c>
      <c r="BG121" s="0" t="n">
        <v>0.9334</v>
      </c>
      <c r="BH121" s="0" t="n">
        <v>1.17</v>
      </c>
      <c r="BI121" s="0" t="n">
        <v>0.6315</v>
      </c>
      <c r="BJ121" s="0" t="n">
        <v>0.3272</v>
      </c>
      <c r="BK121" s="0" t="n">
        <v>0.2644</v>
      </c>
      <c r="BL121" s="0" t="n">
        <v>0.2189</v>
      </c>
      <c r="BM121" s="0" t="n">
        <v>0.2723</v>
      </c>
      <c r="BN121" s="0" t="n">
        <v>0.332</v>
      </c>
      <c r="BO121" s="0" t="n">
        <v>0.0476</v>
      </c>
      <c r="BP121" s="0" t="n">
        <v>0.5111</v>
      </c>
      <c r="BQ121" s="0" t="n">
        <v>0.0069</v>
      </c>
      <c r="BR121" s="0" t="n">
        <v>0.1512</v>
      </c>
      <c r="BS121" s="0" t="n">
        <v>0</v>
      </c>
      <c r="BT121" s="0" t="n">
        <v>0.3439</v>
      </c>
      <c r="BU121" s="0" t="n">
        <v>0</v>
      </c>
      <c r="BV121" s="0" t="n">
        <v>0</v>
      </c>
      <c r="BW121" s="0" t="n">
        <v>0.0703</v>
      </c>
      <c r="BX121" s="0" t="n">
        <v>0</v>
      </c>
      <c r="BY121" s="0" t="n">
        <v>0.4946</v>
      </c>
      <c r="BZ121" s="0" t="n">
        <v>0.0391</v>
      </c>
      <c r="CA121" s="0" t="n">
        <v>0</v>
      </c>
      <c r="CB121" s="0" t="n">
        <v>0.0756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0.2844</v>
      </c>
      <c r="CN121" s="0" t="n">
        <v>0</v>
      </c>
      <c r="CO121" s="0" t="n">
        <v>0.1814</v>
      </c>
      <c r="CP121" s="0" t="n">
        <v>0.612</v>
      </c>
      <c r="CQ121" s="0" t="n">
        <v>7.1773</v>
      </c>
      <c r="CR121" s="0" t="n">
        <v>12.3086</v>
      </c>
      <c r="CS121" s="0" t="n">
        <v>11.1261</v>
      </c>
      <c r="CT121" s="0" t="n">
        <v>17.8691</v>
      </c>
      <c r="CU121" s="0" t="n">
        <v>9.6819</v>
      </c>
      <c r="CV121" s="0" t="n">
        <v>9.1074</v>
      </c>
      <c r="CW121" s="0" t="n">
        <v>8.8372</v>
      </c>
      <c r="CX121" s="0" t="n">
        <v>13.4367</v>
      </c>
      <c r="CY121" s="0" t="n">
        <v>6.8954</v>
      </c>
      <c r="CZ121" s="0" t="n">
        <v>15.0076</v>
      </c>
      <c r="DA121" s="0" t="n">
        <v>10.766</v>
      </c>
      <c r="DB121" s="0" t="n">
        <v>6.9765</v>
      </c>
      <c r="DC121" s="0" t="n">
        <v>7.7125</v>
      </c>
      <c r="DD121" s="0" t="n">
        <v>8.3459</v>
      </c>
      <c r="DE121" s="0" t="n">
        <v>11.273</v>
      </c>
      <c r="DF121" s="0" t="n">
        <v>8.2911</v>
      </c>
      <c r="DG121" s="0" t="n">
        <v>11.1397</v>
      </c>
      <c r="DH121" s="0" t="n">
        <v>7.7139</v>
      </c>
      <c r="DI121" s="0" t="n">
        <v>10.2617</v>
      </c>
      <c r="DJ121" s="0" t="n">
        <v>4.3114</v>
      </c>
      <c r="DK121" s="0" t="n">
        <v>5.8987</v>
      </c>
      <c r="DL121" s="0" t="n">
        <v>6.0589</v>
      </c>
      <c r="DM121" s="0" t="n">
        <v>6.4299</v>
      </c>
      <c r="DN121" s="0" t="n">
        <v>6.7762</v>
      </c>
      <c r="DO121" s="0" t="n">
        <v>4.3943</v>
      </c>
      <c r="DP121" s="0" t="n">
        <v>3.7086</v>
      </c>
      <c r="DQ121" s="0" t="n">
        <v>3.9305</v>
      </c>
      <c r="DR121" s="0" t="n">
        <v>3.0124</v>
      </c>
      <c r="DS121" s="0" t="n">
        <v>1.4423</v>
      </c>
      <c r="DT121" s="0" t="n">
        <v>1.6754</v>
      </c>
      <c r="DU121" s="0" t="n">
        <v>1.7454</v>
      </c>
      <c r="DV121" s="0" t="n">
        <v>0.977</v>
      </c>
      <c r="DW121" s="0" t="n">
        <v>2.3202</v>
      </c>
      <c r="DX121" s="0" t="n">
        <v>2.581</v>
      </c>
      <c r="DY121" s="0" t="n">
        <v>1.5882</v>
      </c>
      <c r="DZ121" s="0" t="n">
        <v>1.5921</v>
      </c>
      <c r="EA121" s="0" t="n">
        <v>2.1308</v>
      </c>
      <c r="EB121" s="0" t="n">
        <v>1.2419</v>
      </c>
      <c r="EC121" s="0" t="n">
        <v>1.1621</v>
      </c>
      <c r="ED121" s="0" t="n">
        <v>0.7347</v>
      </c>
      <c r="EE121" s="0" t="n">
        <v>0.7399</v>
      </c>
      <c r="EF121" s="0" t="n">
        <v>0.6378</v>
      </c>
      <c r="EG121" s="0" t="n">
        <v>0.5381</v>
      </c>
      <c r="EH121" s="0" t="n">
        <v>0.9015</v>
      </c>
      <c r="EI121" s="0" t="n">
        <v>0.8088</v>
      </c>
      <c r="EJ121" s="0" t="n">
        <v>0.7107</v>
      </c>
      <c r="EK121" s="0" t="n">
        <v>0.9088</v>
      </c>
      <c r="EL121" s="0" t="n">
        <v>0.498</v>
      </c>
      <c r="EM121" s="0" t="n">
        <v>0.2641</v>
      </c>
      <c r="EN121" s="0" t="n">
        <v>0.2185</v>
      </c>
      <c r="EO121" s="0" t="n">
        <v>0.1842</v>
      </c>
      <c r="EP121" s="0" t="n">
        <v>0.2323</v>
      </c>
      <c r="EQ121" s="0" t="n">
        <v>0.2891</v>
      </c>
      <c r="ER121" s="0" t="n">
        <v>0.042</v>
      </c>
      <c r="ES121" s="0" t="n">
        <v>0.4631</v>
      </c>
      <c r="ET121" s="0" t="n">
        <v>0.0063</v>
      </c>
      <c r="EU121" s="0" t="n">
        <v>0.1418</v>
      </c>
      <c r="EV121" s="0" t="n">
        <v>0</v>
      </c>
      <c r="EW121" s="0" t="n">
        <v>0.3331</v>
      </c>
      <c r="EX121" s="0" t="n">
        <v>0</v>
      </c>
      <c r="EY121" s="0" t="n">
        <v>0</v>
      </c>
      <c r="EZ121" s="0" t="n">
        <v>0.0711</v>
      </c>
      <c r="FA121" s="0" t="n">
        <v>0</v>
      </c>
      <c r="FB121" s="0" t="n">
        <v>0.5146</v>
      </c>
      <c r="FC121" s="0" t="n">
        <v>0.0412</v>
      </c>
      <c r="FD121" s="0" t="n">
        <v>0</v>
      </c>
      <c r="FE121" s="0" t="n">
        <v>0.0821</v>
      </c>
      <c r="FF121" s="0" t="n">
        <v>0</v>
      </c>
      <c r="FG121" s="0" t="n">
        <v>0</v>
      </c>
      <c r="FH121" s="0" t="n">
        <v>0</v>
      </c>
      <c r="FI121" s="0" t="n">
        <v>0</v>
      </c>
      <c r="FJ121" s="0" t="n">
        <v>0</v>
      </c>
      <c r="FK121" s="0" t="n">
        <v>0</v>
      </c>
      <c r="FL121" s="0" t="n">
        <v>0</v>
      </c>
      <c r="FM121" s="0" t="n">
        <v>0</v>
      </c>
      <c r="FN121" s="0" t="n">
        <v>0</v>
      </c>
      <c r="FO121" s="0" t="n">
        <v>0</v>
      </c>
      <c r="FP121" s="0" t="n">
        <v>0.3915</v>
      </c>
    </row>
    <row r="122" customFormat="false" ht="13.8" hidden="false" customHeight="false" outlineLevel="0" collapsed="false">
      <c r="A122" s="2" t="s">
        <v>406</v>
      </c>
      <c r="B122" s="0" t="s">
        <v>173</v>
      </c>
      <c r="C122" s="0" t="n">
        <v>139</v>
      </c>
      <c r="D122" s="0" t="s">
        <v>407</v>
      </c>
      <c r="F122" s="0" t="e">
        <f aca="false">VLOOKUP(A122,[1]ROOT!$A$1:$C$1048576,3,0)</f>
        <v>#N/A</v>
      </c>
      <c r="G122" s="0" t="n">
        <v>1867.2849</v>
      </c>
      <c r="H122" s="0" t="n">
        <v>231.2089</v>
      </c>
      <c r="I122" s="0" t="n">
        <v>726.3642</v>
      </c>
      <c r="J122" s="0" t="n">
        <v>1.22745</v>
      </c>
      <c r="K122" s="0" t="n">
        <v>0</v>
      </c>
      <c r="L122" s="0" t="n">
        <v>21.1642</v>
      </c>
      <c r="M122" s="0" t="n">
        <v>12.2772</v>
      </c>
      <c r="N122" s="0" t="n">
        <v>61.9892</v>
      </c>
      <c r="O122" s="0" t="n">
        <v>69.3604</v>
      </c>
      <c r="P122" s="0" t="n">
        <v>61.3744</v>
      </c>
      <c r="Q122" s="0" t="n">
        <v>107.8392</v>
      </c>
      <c r="R122" s="0" t="n">
        <v>49.2549</v>
      </c>
      <c r="S122" s="0" t="n">
        <v>49.5612</v>
      </c>
      <c r="T122" s="0" t="n">
        <v>40.1845</v>
      </c>
      <c r="U122" s="0" t="n">
        <v>57.9257</v>
      </c>
      <c r="V122" s="0" t="n">
        <v>24.233</v>
      </c>
      <c r="W122" s="0" t="n">
        <v>49.9191</v>
      </c>
      <c r="X122" s="0" t="n">
        <v>36.6096</v>
      </c>
      <c r="Y122" s="0" t="n">
        <v>24.6691</v>
      </c>
      <c r="Z122" s="0" t="n">
        <v>33.514</v>
      </c>
      <c r="AA122" s="0" t="n">
        <v>35.9657</v>
      </c>
      <c r="AB122" s="0" t="n">
        <v>36.659</v>
      </c>
      <c r="AC122" s="0" t="n">
        <v>27.9347</v>
      </c>
      <c r="AD122" s="0" t="n">
        <v>40.7385</v>
      </c>
      <c r="AE122" s="0" t="n">
        <v>35.4694</v>
      </c>
      <c r="AF122" s="0" t="n">
        <v>54.9789</v>
      </c>
      <c r="AG122" s="0" t="n">
        <v>26.6963</v>
      </c>
      <c r="AH122" s="0" t="n">
        <v>40.4669</v>
      </c>
      <c r="AI122" s="0" t="n">
        <v>48.571</v>
      </c>
      <c r="AJ122" s="0" t="n">
        <v>34.3558</v>
      </c>
      <c r="AK122" s="0" t="n">
        <v>49.1879</v>
      </c>
      <c r="AL122" s="0" t="n">
        <v>33.7912</v>
      </c>
      <c r="AM122" s="0" t="n">
        <v>37.2353</v>
      </c>
      <c r="AN122" s="0" t="n">
        <v>52.7045</v>
      </c>
      <c r="AO122" s="0" t="n">
        <v>53.8341</v>
      </c>
      <c r="AP122" s="0" t="n">
        <v>50.0867</v>
      </c>
      <c r="AQ122" s="0" t="n">
        <v>47.4241</v>
      </c>
      <c r="AR122" s="0" t="n">
        <v>46.5023</v>
      </c>
      <c r="AS122" s="0" t="n">
        <v>37.9216</v>
      </c>
      <c r="AT122" s="0" t="n">
        <v>50.4858</v>
      </c>
      <c r="AU122" s="0" t="n">
        <v>48.2866</v>
      </c>
      <c r="AV122" s="0" t="n">
        <v>28.1968</v>
      </c>
      <c r="AW122" s="0" t="n">
        <v>36.8186</v>
      </c>
      <c r="AX122" s="0" t="n">
        <v>41.2704</v>
      </c>
      <c r="AY122" s="0" t="n">
        <v>25.5796</v>
      </c>
      <c r="AZ122" s="0" t="n">
        <v>27.0877</v>
      </c>
      <c r="BA122" s="0" t="n">
        <v>12.6465</v>
      </c>
      <c r="BB122" s="0" t="n">
        <v>27.3913</v>
      </c>
      <c r="BC122" s="0" t="n">
        <v>18.2545</v>
      </c>
      <c r="BD122" s="0" t="n">
        <v>8.937</v>
      </c>
      <c r="BE122" s="0" t="n">
        <v>9.6109</v>
      </c>
      <c r="BF122" s="0" t="n">
        <v>6.4305</v>
      </c>
      <c r="BG122" s="0" t="n">
        <v>5.7434</v>
      </c>
      <c r="BH122" s="0" t="n">
        <v>6.9654</v>
      </c>
      <c r="BI122" s="0" t="n">
        <v>3.7165</v>
      </c>
      <c r="BJ122" s="0" t="n">
        <v>2.5786</v>
      </c>
      <c r="BK122" s="0" t="n">
        <v>2.9892</v>
      </c>
      <c r="BL122" s="0" t="n">
        <v>2.0006</v>
      </c>
      <c r="BM122" s="0" t="n">
        <v>1.6781</v>
      </c>
      <c r="BN122" s="0" t="n">
        <v>2.2732</v>
      </c>
      <c r="BO122" s="0" t="n">
        <v>0.9999</v>
      </c>
      <c r="BP122" s="0" t="n">
        <v>0.6579</v>
      </c>
      <c r="BQ122" s="0" t="n">
        <v>0.8847</v>
      </c>
      <c r="BR122" s="0" t="n">
        <v>0.5093</v>
      </c>
      <c r="BS122" s="0" t="n">
        <v>0.7944</v>
      </c>
      <c r="BT122" s="0" t="n">
        <v>0.204</v>
      </c>
      <c r="BU122" s="0" t="n">
        <v>0.202</v>
      </c>
      <c r="BV122" s="0" t="n">
        <v>0.3952</v>
      </c>
      <c r="BW122" s="0" t="n">
        <v>0.457</v>
      </c>
      <c r="BX122" s="0" t="n">
        <v>0.4034</v>
      </c>
      <c r="BY122" s="0" t="n">
        <v>0.452</v>
      </c>
      <c r="BZ122" s="0" t="n">
        <v>0.2459</v>
      </c>
      <c r="CA122" s="0" t="n">
        <v>0.1185</v>
      </c>
      <c r="CB122" s="0" t="n">
        <v>0.2967</v>
      </c>
      <c r="CC122" s="0" t="n">
        <v>0.5234</v>
      </c>
      <c r="CD122" s="0" t="n">
        <v>0.0914</v>
      </c>
      <c r="CE122" s="0" t="n">
        <v>0.0836</v>
      </c>
      <c r="CF122" s="0" t="n">
        <v>0.1511</v>
      </c>
      <c r="CG122" s="0" t="n">
        <v>0.1464</v>
      </c>
      <c r="CH122" s="0" t="n">
        <v>0.0132</v>
      </c>
      <c r="CI122" s="0" t="n">
        <v>0</v>
      </c>
      <c r="CJ122" s="0" t="n">
        <v>0.0127</v>
      </c>
      <c r="CK122" s="0" t="n">
        <v>0.0132</v>
      </c>
      <c r="CL122" s="0" t="n">
        <v>0.2488</v>
      </c>
      <c r="CM122" s="0" t="n">
        <v>0</v>
      </c>
      <c r="CN122" s="0" t="n">
        <v>0</v>
      </c>
      <c r="CO122" s="0" t="n">
        <v>0.5259</v>
      </c>
      <c r="CP122" s="0" t="n">
        <v>0.4828</v>
      </c>
      <c r="CQ122" s="0" t="n">
        <v>3.476</v>
      </c>
      <c r="CR122" s="0" t="n">
        <v>4.9259</v>
      </c>
      <c r="CS122" s="0" t="n">
        <v>5.1293</v>
      </c>
      <c r="CT122" s="0" t="n">
        <v>10.8786</v>
      </c>
      <c r="CU122" s="0" t="n">
        <v>5.8788</v>
      </c>
      <c r="CV122" s="0" t="n">
        <v>6.6102</v>
      </c>
      <c r="CW122" s="0" t="n">
        <v>5.8878</v>
      </c>
      <c r="CX122" s="0" t="n">
        <v>9.6361</v>
      </c>
      <c r="CY122" s="0" t="n">
        <v>4.4022</v>
      </c>
      <c r="CZ122" s="0" t="n">
        <v>9.7834</v>
      </c>
      <c r="DA122" s="0" t="n">
        <v>7.9081</v>
      </c>
      <c r="DB122" s="0" t="n">
        <v>5.592</v>
      </c>
      <c r="DC122" s="0" t="n">
        <v>8.1149</v>
      </c>
      <c r="DD122" s="0" t="n">
        <v>9.2933</v>
      </c>
      <c r="DE122" s="0" t="n">
        <v>10.1361</v>
      </c>
      <c r="DF122" s="0" t="n">
        <v>8.12</v>
      </c>
      <c r="DG122" s="0" t="n">
        <v>12.4692</v>
      </c>
      <c r="DH122" s="0" t="n">
        <v>11.3784</v>
      </c>
      <c r="DI122" s="0" t="n">
        <v>18.6524</v>
      </c>
      <c r="DJ122" s="0" t="n">
        <v>9.533</v>
      </c>
      <c r="DK122" s="0" t="n">
        <v>14.8553</v>
      </c>
      <c r="DL122" s="0" t="n">
        <v>18.7283</v>
      </c>
      <c r="DM122" s="0" t="n">
        <v>13.7644</v>
      </c>
      <c r="DN122" s="0" t="n">
        <v>20.5124</v>
      </c>
      <c r="DO122" s="0" t="n">
        <v>14.6561</v>
      </c>
      <c r="DP122" s="0" t="n">
        <v>16.6146</v>
      </c>
      <c r="DQ122" s="0" t="n">
        <v>24.4066</v>
      </c>
      <c r="DR122" s="0" t="n">
        <v>25.9201</v>
      </c>
      <c r="DS122" s="0" t="n">
        <v>24.732</v>
      </c>
      <c r="DT122" s="0" t="n">
        <v>24.1717</v>
      </c>
      <c r="DU122" s="0" t="n">
        <v>24.4629</v>
      </c>
      <c r="DV122" s="0" t="n">
        <v>20.4809</v>
      </c>
      <c r="DW122" s="0" t="n">
        <v>28.0556</v>
      </c>
      <c r="DX122" s="0" t="n">
        <v>27.7335</v>
      </c>
      <c r="DY122" s="0" t="n">
        <v>16.6604</v>
      </c>
      <c r="DZ122" s="0" t="n">
        <v>22.1691</v>
      </c>
      <c r="EA122" s="0" t="n">
        <v>25.6122</v>
      </c>
      <c r="EB122" s="0" t="n">
        <v>16.3082</v>
      </c>
      <c r="EC122" s="0" t="n">
        <v>17.6859</v>
      </c>
      <c r="ED122" s="0" t="n">
        <v>8.4039</v>
      </c>
      <c r="EE122" s="0" t="n">
        <v>18.6627</v>
      </c>
      <c r="EF122" s="0" t="n">
        <v>12.8009</v>
      </c>
      <c r="EG122" s="0" t="n">
        <v>6.4098</v>
      </c>
      <c r="EH122" s="0" t="n">
        <v>7.0132</v>
      </c>
      <c r="EI122" s="0" t="n">
        <v>4.7896</v>
      </c>
      <c r="EJ122" s="0" t="n">
        <v>4.368</v>
      </c>
      <c r="EK122" s="0" t="n">
        <v>5.4179</v>
      </c>
      <c r="EL122" s="0" t="n">
        <v>2.9491</v>
      </c>
      <c r="EM122" s="0" t="n">
        <v>2.0812</v>
      </c>
      <c r="EN122" s="0" t="n">
        <v>2.4645</v>
      </c>
      <c r="EO122" s="0" t="n">
        <v>1.684</v>
      </c>
      <c r="EP122" s="0" t="n">
        <v>1.4376</v>
      </c>
      <c r="EQ122" s="0" t="n">
        <v>1.9828</v>
      </c>
      <c r="ER122" s="0" t="n">
        <v>0.8878</v>
      </c>
      <c r="ES122" s="0" t="n">
        <v>0.5928</v>
      </c>
      <c r="ET122" s="0" t="n">
        <v>0.8092</v>
      </c>
      <c r="EU122" s="0" t="n">
        <v>0.476</v>
      </c>
      <c r="EV122" s="0" t="n">
        <v>0.755</v>
      </c>
      <c r="EW122" s="0" t="n">
        <v>0.1974</v>
      </c>
      <c r="EX122" s="0" t="n">
        <v>0.1988</v>
      </c>
      <c r="EY122" s="0" t="n">
        <v>0.3952</v>
      </c>
      <c r="EZ122" s="0" t="n">
        <v>0.4635</v>
      </c>
      <c r="FA122" s="0" t="n">
        <v>0.4177</v>
      </c>
      <c r="FB122" s="0" t="n">
        <v>0.4713</v>
      </c>
      <c r="FC122" s="0" t="n">
        <v>0.2592</v>
      </c>
      <c r="FD122" s="0" t="n">
        <v>0.1278</v>
      </c>
      <c r="FE122" s="0" t="n">
        <v>0.324</v>
      </c>
      <c r="FF122" s="0" t="n">
        <v>0.5787</v>
      </c>
      <c r="FG122" s="0" t="n">
        <v>0.1029</v>
      </c>
      <c r="FH122" s="0" t="n">
        <v>0.0952</v>
      </c>
      <c r="FI122" s="0" t="n">
        <v>0.174</v>
      </c>
      <c r="FJ122" s="0" t="n">
        <v>0.1718</v>
      </c>
      <c r="FK122" s="0" t="n">
        <v>0.0156</v>
      </c>
      <c r="FL122" s="0" t="n">
        <v>0</v>
      </c>
      <c r="FM122" s="0" t="n">
        <v>0.0155</v>
      </c>
      <c r="FN122" s="0" t="n">
        <v>0.0163</v>
      </c>
      <c r="FO122" s="0" t="n">
        <v>0.3092</v>
      </c>
      <c r="FP122" s="0" t="n">
        <v>0</v>
      </c>
    </row>
    <row r="123" customFormat="false" ht="13.8" hidden="false" customHeight="false" outlineLevel="0" collapsed="false">
      <c r="A123" s="2" t="s">
        <v>408</v>
      </c>
      <c r="B123" s="0" t="s">
        <v>176</v>
      </c>
      <c r="C123" s="0" t="n">
        <v>220</v>
      </c>
      <c r="D123" s="0" t="s">
        <v>409</v>
      </c>
      <c r="E123" s="0" t="e">
        <f aca="false">VLOOKUP(A123,[1]RHIZOMES!$A$1:$B$1048576,2,0)</f>
        <v>#N/A</v>
      </c>
      <c r="F123" s="0" t="e">
        <f aca="false">VLOOKUP(A123,[1]ROOT!$A$1:$C$1048576,3,0)</f>
        <v>#N/A</v>
      </c>
      <c r="G123" s="0" t="n">
        <v>2885.9063</v>
      </c>
      <c r="H123" s="0" t="n">
        <v>172.4911</v>
      </c>
      <c r="I123" s="0" t="n">
        <v>541.8966</v>
      </c>
      <c r="J123" s="0" t="n">
        <v>0.58595</v>
      </c>
      <c r="K123" s="0" t="n">
        <v>0</v>
      </c>
      <c r="L123" s="0" t="n">
        <v>364.7876</v>
      </c>
      <c r="M123" s="0" t="n">
        <v>477.1474</v>
      </c>
      <c r="N123" s="0" t="n">
        <v>303.8024</v>
      </c>
      <c r="O123" s="0" t="n">
        <v>0.5261</v>
      </c>
      <c r="P123" s="0" t="n">
        <v>268.0929</v>
      </c>
      <c r="Q123" s="0" t="n">
        <v>104.2941</v>
      </c>
      <c r="R123" s="0" t="n">
        <v>167.6185</v>
      </c>
      <c r="S123" s="0" t="n">
        <v>98.093</v>
      </c>
      <c r="T123" s="0" t="n">
        <v>22.7063</v>
      </c>
      <c r="U123" s="0" t="n">
        <v>113.3182</v>
      </c>
      <c r="V123" s="0" t="n">
        <v>68.7512</v>
      </c>
      <c r="W123" s="0" t="n">
        <v>39.5495</v>
      </c>
      <c r="X123" s="0" t="n">
        <v>56.1732</v>
      </c>
      <c r="Y123" s="0" t="n">
        <v>44.1671</v>
      </c>
      <c r="Z123" s="0" t="n">
        <v>41.3252</v>
      </c>
      <c r="AA123" s="0" t="n">
        <v>23.6196</v>
      </c>
      <c r="AB123" s="0" t="n">
        <v>41.9887</v>
      </c>
      <c r="AC123" s="0" t="n">
        <v>17.1424</v>
      </c>
      <c r="AD123" s="0" t="n">
        <v>38.9833</v>
      </c>
      <c r="AE123" s="0" t="n">
        <v>26.3047</v>
      </c>
      <c r="AF123" s="0" t="n">
        <v>41.4212</v>
      </c>
      <c r="AG123" s="0" t="n">
        <v>20.9191</v>
      </c>
      <c r="AH123" s="0" t="n">
        <v>30.0261</v>
      </c>
      <c r="AI123" s="0" t="n">
        <v>44.131</v>
      </c>
      <c r="AJ123" s="0" t="n">
        <v>8.7043</v>
      </c>
      <c r="AK123" s="0" t="n">
        <v>38.1353</v>
      </c>
      <c r="AL123" s="0" t="n">
        <v>37.8185</v>
      </c>
      <c r="AM123" s="0" t="n">
        <v>21.2447</v>
      </c>
      <c r="AN123" s="0" t="n">
        <v>17.6606</v>
      </c>
      <c r="AO123" s="0" t="n">
        <v>33.7098</v>
      </c>
      <c r="AP123" s="0" t="n">
        <v>24.6151</v>
      </c>
      <c r="AQ123" s="0" t="n">
        <v>27.2644</v>
      </c>
      <c r="AR123" s="0" t="n">
        <v>18.6623</v>
      </c>
      <c r="AS123" s="0" t="n">
        <v>26.1565</v>
      </c>
      <c r="AT123" s="0" t="n">
        <v>38.7326</v>
      </c>
      <c r="AU123" s="0" t="n">
        <v>26.7174</v>
      </c>
      <c r="AV123" s="0" t="n">
        <v>1.5931</v>
      </c>
      <c r="AW123" s="0" t="n">
        <v>24.805</v>
      </c>
      <c r="AX123" s="0" t="n">
        <v>20.7978</v>
      </c>
      <c r="AY123" s="0" t="n">
        <v>13.3827</v>
      </c>
      <c r="AZ123" s="0" t="n">
        <v>8.9497</v>
      </c>
      <c r="BA123" s="0" t="n">
        <v>8.262</v>
      </c>
      <c r="BB123" s="0" t="n">
        <v>9.4907</v>
      </c>
      <c r="BC123" s="0" t="n">
        <v>4.0278</v>
      </c>
      <c r="BD123" s="0" t="n">
        <v>2.4369</v>
      </c>
      <c r="BE123" s="0" t="n">
        <v>4.7216</v>
      </c>
      <c r="BF123" s="0" t="n">
        <v>1.347</v>
      </c>
      <c r="BG123" s="0" t="n">
        <v>1.4549</v>
      </c>
      <c r="BH123" s="0" t="n">
        <v>2.254</v>
      </c>
      <c r="BI123" s="0" t="n">
        <v>0.7104</v>
      </c>
      <c r="BJ123" s="0" t="n">
        <v>0.6124</v>
      </c>
      <c r="BK123" s="0" t="n">
        <v>2.2407</v>
      </c>
      <c r="BL123" s="0" t="n">
        <v>0.3692</v>
      </c>
      <c r="BM123" s="0" t="n">
        <v>0.1233</v>
      </c>
      <c r="BN123" s="0" t="n">
        <v>0.435</v>
      </c>
      <c r="BO123" s="0" t="n">
        <v>0.522</v>
      </c>
      <c r="BP123" s="0" t="n">
        <v>0.4656</v>
      </c>
      <c r="BQ123" s="0" t="n">
        <v>0.1417</v>
      </c>
      <c r="BR123" s="0" t="n">
        <v>0.2893</v>
      </c>
      <c r="BS123" s="0" t="n">
        <v>0.5228</v>
      </c>
      <c r="BT123" s="0" t="n">
        <v>0.0132</v>
      </c>
      <c r="BU123" s="0" t="n">
        <v>0.0259</v>
      </c>
      <c r="BV123" s="0" t="n">
        <v>0.0402</v>
      </c>
      <c r="BW123" s="0" t="n">
        <v>0.065</v>
      </c>
      <c r="BX123" s="0" t="n">
        <v>0.0397</v>
      </c>
      <c r="BY123" s="0" t="n">
        <v>0.1179</v>
      </c>
      <c r="BZ123" s="0" t="n">
        <v>0</v>
      </c>
      <c r="CA123" s="0" t="n">
        <v>0.1311</v>
      </c>
      <c r="CB123" s="0" t="n">
        <v>0</v>
      </c>
      <c r="CC123" s="0" t="n">
        <v>0.0069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7.8511</v>
      </c>
      <c r="CP123" s="0" t="n">
        <v>20.2562</v>
      </c>
      <c r="CQ123" s="0" t="n">
        <v>18.5409</v>
      </c>
      <c r="CR123" s="0" t="n">
        <v>0.0363</v>
      </c>
      <c r="CS123" s="0" t="n">
        <v>22.2923</v>
      </c>
      <c r="CT123" s="0" t="n">
        <v>10.5904</v>
      </c>
      <c r="CU123" s="0" t="n">
        <v>19.6841</v>
      </c>
      <c r="CV123" s="0" t="n">
        <v>13.6244</v>
      </c>
      <c r="CW123" s="0" t="n">
        <v>3.283</v>
      </c>
      <c r="CX123" s="0" t="n">
        <v>18.3349</v>
      </c>
      <c r="CY123" s="0" t="n">
        <v>12.548</v>
      </c>
      <c r="CZ123" s="0" t="n">
        <v>7.8614</v>
      </c>
      <c r="DA123" s="0" t="n">
        <v>11.8385</v>
      </c>
      <c r="DB123" s="0" t="n">
        <v>10.0415</v>
      </c>
      <c r="DC123" s="0" t="n">
        <v>10.1122</v>
      </c>
      <c r="DD123" s="0" t="n">
        <v>6.0597</v>
      </c>
      <c r="DE123" s="0" t="n">
        <v>11.4856</v>
      </c>
      <c r="DF123" s="0" t="n">
        <v>4.9572</v>
      </c>
      <c r="DG123" s="0" t="n">
        <v>11.8764</v>
      </c>
      <c r="DH123" s="0" t="n">
        <v>8.4362</v>
      </c>
      <c r="DI123" s="0" t="n">
        <v>14.0362</v>
      </c>
      <c r="DJ123" s="0" t="n">
        <v>7.423</v>
      </c>
      <c r="DK123" s="0" t="n">
        <v>11.1025</v>
      </c>
      <c r="DL123" s="0" t="n">
        <v>17.1757</v>
      </c>
      <c r="DM123" s="0" t="n">
        <v>3.4701</v>
      </c>
      <c r="DN123" s="0" t="n">
        <v>15.8347</v>
      </c>
      <c r="DO123" s="0" t="n">
        <v>16.4762</v>
      </c>
      <c r="DP123" s="0" t="n">
        <v>9.6503</v>
      </c>
      <c r="DQ123" s="0" t="n">
        <v>8.1208</v>
      </c>
      <c r="DR123" s="0" t="n">
        <v>16.1117</v>
      </c>
      <c r="DS123" s="0" t="n">
        <v>12.2235</v>
      </c>
      <c r="DT123" s="0" t="n">
        <v>13.9699</v>
      </c>
      <c r="DU123" s="0" t="n">
        <v>9.8036</v>
      </c>
      <c r="DV123" s="0" t="n">
        <v>14.0569</v>
      </c>
      <c r="DW123" s="0" t="n">
        <v>21.5411</v>
      </c>
      <c r="DX123" s="0" t="n">
        <v>15.4274</v>
      </c>
      <c r="DY123" s="0" t="n">
        <v>0.9439</v>
      </c>
      <c r="DZ123" s="0" t="n">
        <v>14.8526</v>
      </c>
      <c r="EA123" s="0" t="n">
        <v>12.8819</v>
      </c>
      <c r="EB123" s="0" t="n">
        <v>8.5553</v>
      </c>
      <c r="EC123" s="0" t="n">
        <v>5.8473</v>
      </c>
      <c r="ED123" s="0" t="n">
        <v>5.4804</v>
      </c>
      <c r="EE123" s="0" t="n">
        <v>6.4687</v>
      </c>
      <c r="EF123" s="0" t="n">
        <v>2.8249</v>
      </c>
      <c r="EG123" s="0" t="n">
        <v>1.7471</v>
      </c>
      <c r="EH123" s="0" t="n">
        <v>3.4391</v>
      </c>
      <c r="EI123" s="0" t="n">
        <v>1.0016</v>
      </c>
      <c r="EJ123" s="0" t="n">
        <v>1.1065</v>
      </c>
      <c r="EK123" s="0" t="n">
        <v>1.7638</v>
      </c>
      <c r="EL123" s="0" t="n">
        <v>0.5657</v>
      </c>
      <c r="EM123" s="0" t="n">
        <v>0.4934</v>
      </c>
      <c r="EN123" s="0" t="n">
        <v>1.841</v>
      </c>
      <c r="EO123" s="0" t="n">
        <v>0.3113</v>
      </c>
      <c r="EP123" s="0" t="n">
        <v>0.1056</v>
      </c>
      <c r="EQ123" s="0" t="n">
        <v>0.4373</v>
      </c>
      <c r="ER123" s="0" t="n">
        <v>0.4637</v>
      </c>
      <c r="ES123" s="0" t="n">
        <v>0.421</v>
      </c>
      <c r="ET123" s="0" t="n">
        <v>0.1302</v>
      </c>
      <c r="EU123" s="0" t="n">
        <v>0.2706</v>
      </c>
      <c r="EV123" s="0" t="n">
        <v>0.4944</v>
      </c>
      <c r="EW123" s="0" t="n">
        <v>0.0128</v>
      </c>
      <c r="EX123" s="0" t="n">
        <v>0.0253</v>
      </c>
      <c r="EY123" s="0" t="n">
        <v>0.0399</v>
      </c>
      <c r="EZ123" s="0" t="n">
        <v>0.0659</v>
      </c>
      <c r="FA123" s="0" t="n">
        <v>0.041</v>
      </c>
      <c r="FB123" s="0" t="n">
        <v>0.1224</v>
      </c>
      <c r="FC123" s="0" t="n">
        <v>0</v>
      </c>
      <c r="FD123" s="0" t="n">
        <v>0.1418</v>
      </c>
      <c r="FE123" s="0" t="n">
        <v>0</v>
      </c>
      <c r="FF123" s="0" t="n">
        <v>0.0076</v>
      </c>
      <c r="FG123" s="0" t="n">
        <v>0</v>
      </c>
      <c r="FH123" s="0" t="n">
        <v>0</v>
      </c>
      <c r="FI123" s="0" t="n">
        <v>0</v>
      </c>
      <c r="FJ123" s="0" t="n">
        <v>0</v>
      </c>
      <c r="FK123" s="0" t="n">
        <v>0</v>
      </c>
      <c r="FL123" s="0" t="n">
        <v>0</v>
      </c>
      <c r="FM123" s="0" t="n">
        <v>0</v>
      </c>
      <c r="FN123" s="0" t="n">
        <v>0</v>
      </c>
      <c r="FO123" s="0" t="n">
        <v>0</v>
      </c>
      <c r="FP123" s="0" t="n">
        <v>0</v>
      </c>
    </row>
    <row r="124" customFormat="false" ht="13.8" hidden="false" customHeight="false" outlineLevel="0" collapsed="false">
      <c r="A124" s="2" t="s">
        <v>410</v>
      </c>
      <c r="B124" s="0" t="s">
        <v>173</v>
      </c>
      <c r="C124" s="0" t="n">
        <v>152</v>
      </c>
      <c r="D124" s="0" t="s">
        <v>411</v>
      </c>
      <c r="F124" s="0" t="e">
        <f aca="false">VLOOKUP(A124,[1]ROOT!$A$1:$C$1048576,3,0)</f>
        <v>#N/A</v>
      </c>
      <c r="G124" s="0" t="n">
        <v>1793.6384</v>
      </c>
      <c r="H124" s="0" t="n">
        <v>119.1572</v>
      </c>
      <c r="I124" s="0" t="n">
        <v>374.3436</v>
      </c>
      <c r="J124" s="0" t="n">
        <v>0.656633333333333</v>
      </c>
      <c r="K124" s="0" t="n">
        <v>0</v>
      </c>
      <c r="L124" s="0" t="n">
        <v>221.1145</v>
      </c>
      <c r="M124" s="0" t="n">
        <v>214.242</v>
      </c>
      <c r="N124" s="0" t="n">
        <v>148.6479</v>
      </c>
      <c r="O124" s="0" t="n">
        <v>0.4857</v>
      </c>
      <c r="P124" s="0" t="n">
        <v>182.5358</v>
      </c>
      <c r="Q124" s="0" t="n">
        <v>68.8023</v>
      </c>
      <c r="R124" s="0" t="n">
        <v>113.847</v>
      </c>
      <c r="S124" s="0" t="n">
        <v>64.8807</v>
      </c>
      <c r="T124" s="0" t="n">
        <v>13.7882</v>
      </c>
      <c r="U124" s="0" t="n">
        <v>73.4568</v>
      </c>
      <c r="V124" s="0" t="n">
        <v>40.4562</v>
      </c>
      <c r="W124" s="0" t="n">
        <v>22.9105</v>
      </c>
      <c r="X124" s="0" t="n">
        <v>34.0897</v>
      </c>
      <c r="Y124" s="0" t="n">
        <v>27.6947</v>
      </c>
      <c r="Z124" s="0" t="n">
        <v>18.5264</v>
      </c>
      <c r="AA124" s="0" t="n">
        <v>13.618</v>
      </c>
      <c r="AB124" s="0" t="n">
        <v>24.7226</v>
      </c>
      <c r="AC124" s="0" t="n">
        <v>9.8357</v>
      </c>
      <c r="AD124" s="0" t="n">
        <v>30.0302</v>
      </c>
      <c r="AE124" s="0" t="n">
        <v>23.8162</v>
      </c>
      <c r="AF124" s="0" t="n">
        <v>46.6675</v>
      </c>
      <c r="AG124" s="0" t="n">
        <v>14.6391</v>
      </c>
      <c r="AH124" s="0" t="n">
        <v>31.8584</v>
      </c>
      <c r="AI124" s="0" t="n">
        <v>38.9225</v>
      </c>
      <c r="AJ124" s="0" t="n">
        <v>8.658</v>
      </c>
      <c r="AK124" s="0" t="n">
        <v>45.8467</v>
      </c>
      <c r="AL124" s="0" t="n">
        <v>42.5885</v>
      </c>
      <c r="AM124" s="0" t="n">
        <v>20.063</v>
      </c>
      <c r="AN124" s="0" t="n">
        <v>16.3639</v>
      </c>
      <c r="AO124" s="0" t="n">
        <v>37.2288</v>
      </c>
      <c r="AP124" s="0" t="n">
        <v>13.3175</v>
      </c>
      <c r="AQ124" s="0" t="n">
        <v>24.2805</v>
      </c>
      <c r="AR124" s="0" t="n">
        <v>15.372</v>
      </c>
      <c r="AS124" s="0" t="n">
        <v>13.8507</v>
      </c>
      <c r="AT124" s="0" t="n">
        <v>19.3672</v>
      </c>
      <c r="AU124" s="0" t="n">
        <v>13.9362</v>
      </c>
      <c r="AV124" s="0" t="n">
        <v>1.1241</v>
      </c>
      <c r="AW124" s="0" t="n">
        <v>7.6055</v>
      </c>
      <c r="AX124" s="0" t="n">
        <v>6.2268</v>
      </c>
      <c r="AY124" s="0" t="n">
        <v>3.036</v>
      </c>
      <c r="AZ124" s="0" t="n">
        <v>4.8346</v>
      </c>
      <c r="BA124" s="0" t="n">
        <v>2.4241</v>
      </c>
      <c r="BB124" s="0" t="n">
        <v>1.924</v>
      </c>
      <c r="BC124" s="0" t="n">
        <v>0.9765</v>
      </c>
      <c r="BD124" s="0" t="n">
        <v>0.6696</v>
      </c>
      <c r="BE124" s="0" t="n">
        <v>1.1046</v>
      </c>
      <c r="BF124" s="0" t="n">
        <v>0.3528</v>
      </c>
      <c r="BG124" s="0" t="n">
        <v>2.6941</v>
      </c>
      <c r="BH124" s="0" t="n">
        <v>1.4048</v>
      </c>
      <c r="BI124" s="0" t="n">
        <v>0.2707</v>
      </c>
      <c r="BJ124" s="0" t="n">
        <v>0.561</v>
      </c>
      <c r="BK124" s="0" t="n">
        <v>1.4606</v>
      </c>
      <c r="BL124" s="0" t="n">
        <v>1.1613</v>
      </c>
      <c r="BM124" s="0" t="n">
        <v>0.3806</v>
      </c>
      <c r="BN124" s="0" t="n">
        <v>0.2982</v>
      </c>
      <c r="BO124" s="0" t="n">
        <v>0.1184</v>
      </c>
      <c r="BP124" s="0" t="n">
        <v>1.1218</v>
      </c>
      <c r="BQ124" s="0" t="n">
        <v>0.2301</v>
      </c>
      <c r="BR124" s="0" t="n">
        <v>0.1549</v>
      </c>
      <c r="BS124" s="0" t="n">
        <v>0.3624</v>
      </c>
      <c r="BT124" s="0" t="n">
        <v>0.2026</v>
      </c>
      <c r="BU124" s="0" t="n">
        <v>0.0788</v>
      </c>
      <c r="BV124" s="0" t="n">
        <v>0.3318</v>
      </c>
      <c r="BW124" s="0" t="n">
        <v>0.2098</v>
      </c>
      <c r="BX124" s="0" t="n">
        <v>0.0582</v>
      </c>
      <c r="BY124" s="0" t="n">
        <v>0.0069</v>
      </c>
      <c r="BZ124" s="0" t="n">
        <v>0.6198</v>
      </c>
      <c r="CA124" s="0" t="n">
        <v>0.0133</v>
      </c>
      <c r="CB124" s="0" t="n">
        <v>0.0264</v>
      </c>
      <c r="CC124" s="0" t="n">
        <v>0</v>
      </c>
      <c r="CD124" s="0" t="n">
        <v>0.2209</v>
      </c>
      <c r="CE124" s="0" t="n">
        <v>0.0508</v>
      </c>
      <c r="CF124" s="0" t="n">
        <v>0.3617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4.722</v>
      </c>
      <c r="CP124" s="0" t="n">
        <v>9.1077</v>
      </c>
      <c r="CQ124" s="0" t="n">
        <v>9.0866</v>
      </c>
      <c r="CR124" s="0" t="n">
        <v>0.0336</v>
      </c>
      <c r="CS124" s="0" t="n">
        <v>15.2289</v>
      </c>
      <c r="CT124" s="0" t="n">
        <v>6.993</v>
      </c>
      <c r="CU124" s="0" t="n">
        <v>13.2931</v>
      </c>
      <c r="CV124" s="0" t="n">
        <v>9.007</v>
      </c>
      <c r="CW124" s="0" t="n">
        <v>1.9936</v>
      </c>
      <c r="CX124" s="0" t="n">
        <v>11.9266</v>
      </c>
      <c r="CY124" s="0" t="n">
        <v>7.4009</v>
      </c>
      <c r="CZ124" s="0" t="n">
        <v>4.5457</v>
      </c>
      <c r="DA124" s="0" t="n">
        <v>7.1606</v>
      </c>
      <c r="DB124" s="0" t="n">
        <v>6.2948</v>
      </c>
      <c r="DC124" s="0" t="n">
        <v>4.5712</v>
      </c>
      <c r="DD124" s="0" t="n">
        <v>3.4729</v>
      </c>
      <c r="DE124" s="0" t="n">
        <v>6.7844</v>
      </c>
      <c r="DF124" s="0" t="n">
        <v>2.8442</v>
      </c>
      <c r="DG124" s="0" t="n">
        <v>9.1394</v>
      </c>
      <c r="DH124" s="0" t="n">
        <v>7.6584</v>
      </c>
      <c r="DI124" s="0" t="n">
        <v>15.8955</v>
      </c>
      <c r="DJ124" s="0" t="n">
        <v>5.1927</v>
      </c>
      <c r="DK124" s="0" t="n">
        <v>11.7553</v>
      </c>
      <c r="DL124" s="0" t="n">
        <v>15.1818</v>
      </c>
      <c r="DM124" s="0" t="n">
        <v>3.445</v>
      </c>
      <c r="DN124" s="0" t="n">
        <v>19.061</v>
      </c>
      <c r="DO124" s="0" t="n">
        <v>18.5643</v>
      </c>
      <c r="DP124" s="0" t="n">
        <v>9.1047</v>
      </c>
      <c r="DQ124" s="0" t="n">
        <v>7.5304</v>
      </c>
      <c r="DR124" s="0" t="n">
        <v>17.8061</v>
      </c>
      <c r="DS124" s="0" t="n">
        <v>6.6105</v>
      </c>
      <c r="DT124" s="0" t="n">
        <v>12.3994</v>
      </c>
      <c r="DU124" s="0" t="n">
        <v>8.1118</v>
      </c>
      <c r="DV124" s="0" t="n">
        <v>7.441</v>
      </c>
      <c r="DW124" s="0" t="n">
        <v>10.763</v>
      </c>
      <c r="DX124" s="0" t="n">
        <v>8.0385</v>
      </c>
      <c r="DY124" s="0" t="n">
        <v>0.666</v>
      </c>
      <c r="DZ124" s="0" t="n">
        <v>4.5548</v>
      </c>
      <c r="EA124" s="0" t="n">
        <v>3.8635</v>
      </c>
      <c r="EB124" s="0" t="n">
        <v>1.9425</v>
      </c>
      <c r="EC124" s="0" t="n">
        <v>3.141</v>
      </c>
      <c r="ED124" s="0" t="n">
        <v>1.6142</v>
      </c>
      <c r="EE124" s="0" t="n">
        <v>1.3143</v>
      </c>
      <c r="EF124" s="0" t="n">
        <v>0.6863</v>
      </c>
      <c r="EG124" s="0" t="n">
        <v>0.4794</v>
      </c>
      <c r="EH124" s="0" t="n">
        <v>0.8097</v>
      </c>
      <c r="EI124" s="0" t="n">
        <v>0.2624</v>
      </c>
      <c r="EJ124" s="0" t="n">
        <v>2.049</v>
      </c>
      <c r="EK124" s="0" t="n">
        <v>1.096</v>
      </c>
      <c r="EL124" s="0" t="n">
        <v>0.2146</v>
      </c>
      <c r="EM124" s="0" t="n">
        <v>0.4522</v>
      </c>
      <c r="EN124" s="0" t="n">
        <v>1.2049</v>
      </c>
      <c r="EO124" s="0" t="n">
        <v>0.9826</v>
      </c>
      <c r="EP124" s="0" t="n">
        <v>0.326</v>
      </c>
      <c r="EQ124" s="0" t="n">
        <v>0.2609</v>
      </c>
      <c r="ER124" s="0" t="n">
        <v>0.1052</v>
      </c>
      <c r="ES124" s="0" t="n">
        <v>1.0122</v>
      </c>
      <c r="ET124" s="0" t="n">
        <v>0.2115</v>
      </c>
      <c r="EU124" s="0" t="n">
        <v>0.1445</v>
      </c>
      <c r="EV124" s="0" t="n">
        <v>0.344</v>
      </c>
      <c r="EW124" s="0" t="n">
        <v>0.1946</v>
      </c>
      <c r="EX124" s="0" t="n">
        <v>0.0773</v>
      </c>
      <c r="EY124" s="0" t="n">
        <v>0.3291</v>
      </c>
      <c r="EZ124" s="0" t="n">
        <v>0.2124</v>
      </c>
      <c r="FA124" s="0" t="n">
        <v>0.0602</v>
      </c>
      <c r="FB124" s="0" t="n">
        <v>0.0071</v>
      </c>
      <c r="FC124" s="0" t="n">
        <v>0.6542</v>
      </c>
      <c r="FD124" s="0" t="n">
        <v>0.0142</v>
      </c>
      <c r="FE124" s="0" t="n">
        <v>0.029</v>
      </c>
      <c r="FF124" s="0" t="n">
        <v>0</v>
      </c>
      <c r="FG124" s="0" t="n">
        <v>0.2491</v>
      </c>
      <c r="FH124" s="0" t="n">
        <v>0.0577</v>
      </c>
      <c r="FI124" s="0" t="n">
        <v>0.4176</v>
      </c>
      <c r="FJ124" s="0" t="n">
        <v>0</v>
      </c>
      <c r="FK124" s="0" t="n">
        <v>0</v>
      </c>
      <c r="FL124" s="0" t="n">
        <v>0</v>
      </c>
      <c r="FM124" s="0" t="n">
        <v>0</v>
      </c>
      <c r="FN124" s="0" t="n">
        <v>0</v>
      </c>
      <c r="FO124" s="0" t="n">
        <v>0</v>
      </c>
      <c r="FP124" s="0" t="n">
        <v>0</v>
      </c>
    </row>
    <row r="125" customFormat="false" ht="13.8" hidden="false" customHeight="false" outlineLevel="0" collapsed="false">
      <c r="A125" s="2" t="s">
        <v>412</v>
      </c>
      <c r="B125" s="0" t="s">
        <v>173</v>
      </c>
      <c r="C125" s="0" t="n">
        <v>26</v>
      </c>
      <c r="D125" s="0" t="s">
        <v>413</v>
      </c>
      <c r="G125" s="0" t="n">
        <v>1779.9168</v>
      </c>
      <c r="H125" s="0" t="n">
        <v>201.0592</v>
      </c>
      <c r="I125" s="0" t="n">
        <v>631.6462</v>
      </c>
      <c r="J125" s="0" t="n">
        <v>1.01845</v>
      </c>
      <c r="K125" s="0" t="n">
        <v>0.0153</v>
      </c>
      <c r="L125" s="0" t="n">
        <v>13.8611</v>
      </c>
      <c r="M125" s="0" t="n">
        <v>21.8277</v>
      </c>
      <c r="N125" s="0" t="n">
        <v>112.0597</v>
      </c>
      <c r="O125" s="0" t="n">
        <v>104.4547</v>
      </c>
      <c r="P125" s="0" t="n">
        <v>81.2156</v>
      </c>
      <c r="Q125" s="0" t="n">
        <v>119.619</v>
      </c>
      <c r="R125" s="0" t="n">
        <v>57.0338</v>
      </c>
      <c r="S125" s="0" t="n">
        <v>56.0083</v>
      </c>
      <c r="T125" s="0" t="n">
        <v>59.9102</v>
      </c>
      <c r="U125" s="0" t="n">
        <v>99.987</v>
      </c>
      <c r="V125" s="0" t="n">
        <v>40.7519</v>
      </c>
      <c r="W125" s="0" t="n">
        <v>78.5362</v>
      </c>
      <c r="X125" s="0" t="n">
        <v>46.3929</v>
      </c>
      <c r="Y125" s="0" t="n">
        <v>31.8874</v>
      </c>
      <c r="Z125" s="0" t="n">
        <v>47.1397</v>
      </c>
      <c r="AA125" s="0" t="n">
        <v>38.0941</v>
      </c>
      <c r="AB125" s="0" t="n">
        <v>32.1242</v>
      </c>
      <c r="AC125" s="0" t="n">
        <v>22.9997</v>
      </c>
      <c r="AD125" s="0" t="n">
        <v>25.6781</v>
      </c>
      <c r="AE125" s="0" t="n">
        <v>22.8548</v>
      </c>
      <c r="AF125" s="0" t="n">
        <v>28.4249</v>
      </c>
      <c r="AG125" s="0" t="n">
        <v>10.1169</v>
      </c>
      <c r="AH125" s="0" t="n">
        <v>21.3012</v>
      </c>
      <c r="AI125" s="0" t="n">
        <v>28.1624</v>
      </c>
      <c r="AJ125" s="0" t="n">
        <v>18.1151</v>
      </c>
      <c r="AK125" s="0" t="n">
        <v>26.857</v>
      </c>
      <c r="AL125" s="0" t="n">
        <v>18.262</v>
      </c>
      <c r="AM125" s="0" t="n">
        <v>20.7416</v>
      </c>
      <c r="AN125" s="0" t="n">
        <v>27.727</v>
      </c>
      <c r="AO125" s="0" t="n">
        <v>28.1377</v>
      </c>
      <c r="AP125" s="0" t="n">
        <v>21.4861</v>
      </c>
      <c r="AQ125" s="0" t="n">
        <v>24.8611</v>
      </c>
      <c r="AR125" s="0" t="n">
        <v>23.0264</v>
      </c>
      <c r="AS125" s="0" t="n">
        <v>30.2269</v>
      </c>
      <c r="AT125" s="0" t="n">
        <v>34.8999</v>
      </c>
      <c r="AU125" s="0" t="n">
        <v>30.0799</v>
      </c>
      <c r="AV125" s="0" t="n">
        <v>15.5638</v>
      </c>
      <c r="AW125" s="0" t="n">
        <v>27.0236</v>
      </c>
      <c r="AX125" s="0" t="n">
        <v>30.3551</v>
      </c>
      <c r="AY125" s="0" t="n">
        <v>20.5774</v>
      </c>
      <c r="AZ125" s="0" t="n">
        <v>25.6714</v>
      </c>
      <c r="BA125" s="0" t="n">
        <v>13.3452</v>
      </c>
      <c r="BB125" s="0" t="n">
        <v>24.4342</v>
      </c>
      <c r="BC125" s="0" t="n">
        <v>18.513</v>
      </c>
      <c r="BD125" s="0" t="n">
        <v>6.5855</v>
      </c>
      <c r="BE125" s="0" t="n">
        <v>6.6867</v>
      </c>
      <c r="BF125" s="0" t="n">
        <v>6.5901</v>
      </c>
      <c r="BG125" s="0" t="n">
        <v>4.7683</v>
      </c>
      <c r="BH125" s="0" t="n">
        <v>3.8979</v>
      </c>
      <c r="BI125" s="0" t="n">
        <v>5.0605</v>
      </c>
      <c r="BJ125" s="0" t="n">
        <v>3.9632</v>
      </c>
      <c r="BK125" s="0" t="n">
        <v>4.6009</v>
      </c>
      <c r="BL125" s="0" t="n">
        <v>1.8548</v>
      </c>
      <c r="BM125" s="0" t="n">
        <v>5.0354</v>
      </c>
      <c r="BN125" s="0" t="n">
        <v>5.5807</v>
      </c>
      <c r="BO125" s="0" t="n">
        <v>1.7816</v>
      </c>
      <c r="BP125" s="0" t="n">
        <v>3.3057</v>
      </c>
      <c r="BQ125" s="0" t="n">
        <v>1.7524</v>
      </c>
      <c r="BR125" s="0" t="n">
        <v>2.1413</v>
      </c>
      <c r="BS125" s="0" t="n">
        <v>2.528</v>
      </c>
      <c r="BT125" s="0" t="n">
        <v>2.1486</v>
      </c>
      <c r="BU125" s="0" t="n">
        <v>1.0942</v>
      </c>
      <c r="BV125" s="0" t="n">
        <v>1.876</v>
      </c>
      <c r="BW125" s="0" t="n">
        <v>1.2691</v>
      </c>
      <c r="BX125" s="0" t="n">
        <v>1.7906</v>
      </c>
      <c r="BY125" s="0" t="n">
        <v>2.2729</v>
      </c>
      <c r="BZ125" s="0" t="n">
        <v>1.6652</v>
      </c>
      <c r="CA125" s="0" t="n">
        <v>1.4271</v>
      </c>
      <c r="CB125" s="0" t="n">
        <v>0.5955</v>
      </c>
      <c r="CC125" s="0" t="n">
        <v>2.5106</v>
      </c>
      <c r="CD125" s="0" t="n">
        <v>1.3205</v>
      </c>
      <c r="CE125" s="0" t="n">
        <v>1.1277</v>
      </c>
      <c r="CF125" s="0" t="n">
        <v>0.6315</v>
      </c>
      <c r="CG125" s="0" t="n">
        <v>0.6323</v>
      </c>
      <c r="CH125" s="0" t="n">
        <v>1.0854</v>
      </c>
      <c r="CI125" s="0" t="n">
        <v>1.6086</v>
      </c>
      <c r="CJ125" s="0" t="n">
        <v>1.527</v>
      </c>
      <c r="CK125" s="0" t="n">
        <v>0.4399</v>
      </c>
      <c r="CL125" s="0" t="n">
        <v>0.7242</v>
      </c>
      <c r="CM125" s="0" t="n">
        <v>7.3311</v>
      </c>
      <c r="CN125" s="0" t="n">
        <v>0.0002</v>
      </c>
      <c r="CO125" s="0" t="n">
        <v>0.3717</v>
      </c>
      <c r="CP125" s="0" t="n">
        <v>0.8509</v>
      </c>
      <c r="CQ125" s="0" t="n">
        <v>6.2948</v>
      </c>
      <c r="CR125" s="0" t="n">
        <v>7.3202</v>
      </c>
      <c r="CS125" s="0" t="n">
        <v>6.7524</v>
      </c>
      <c r="CT125" s="0" t="n">
        <v>12.0983</v>
      </c>
      <c r="CU125" s="0" t="n">
        <v>6.7882</v>
      </c>
      <c r="CV125" s="0" t="n">
        <v>7.4628</v>
      </c>
      <c r="CW125" s="0" t="n">
        <v>8.8095</v>
      </c>
      <c r="CX125" s="0" t="n">
        <v>16.686</v>
      </c>
      <c r="CY125" s="0" t="n">
        <v>7.4072</v>
      </c>
      <c r="CZ125" s="0" t="n">
        <v>15.3717</v>
      </c>
      <c r="DA125" s="0" t="n">
        <v>10.0055</v>
      </c>
      <c r="DB125" s="0" t="n">
        <v>7.226</v>
      </c>
      <c r="DC125" s="0" t="n">
        <v>11.4153</v>
      </c>
      <c r="DD125" s="0" t="n">
        <v>9.845</v>
      </c>
      <c r="DE125" s="0" t="n">
        <v>8.8427</v>
      </c>
      <c r="DF125" s="0" t="n">
        <v>6.6753</v>
      </c>
      <c r="DG125" s="0" t="n">
        <v>7.8723</v>
      </c>
      <c r="DH125" s="0" t="n">
        <v>7.3299</v>
      </c>
      <c r="DI125" s="0" t="n">
        <v>9.6308</v>
      </c>
      <c r="DJ125" s="0" t="n">
        <v>3.5999</v>
      </c>
      <c r="DK125" s="0" t="n">
        <v>7.8326</v>
      </c>
      <c r="DL125" s="0" t="n">
        <v>10.8888</v>
      </c>
      <c r="DM125" s="0" t="n">
        <v>7.2458</v>
      </c>
      <c r="DN125" s="0" t="n">
        <v>11.1992</v>
      </c>
      <c r="DO125" s="0" t="n">
        <v>7.901</v>
      </c>
      <c r="DP125" s="0" t="n">
        <v>9.2394</v>
      </c>
      <c r="DQ125" s="0" t="n">
        <v>12.8391</v>
      </c>
      <c r="DR125" s="0" t="n">
        <v>13.5424</v>
      </c>
      <c r="DS125" s="0" t="n">
        <v>10.611</v>
      </c>
      <c r="DT125" s="0" t="n">
        <v>12.6825</v>
      </c>
      <c r="DU125" s="0" t="n">
        <v>12.1293</v>
      </c>
      <c r="DV125" s="0" t="n">
        <v>16.3197</v>
      </c>
      <c r="DW125" s="0" t="n">
        <v>19.3641</v>
      </c>
      <c r="DX125" s="0" t="n">
        <v>17.2955</v>
      </c>
      <c r="DY125" s="0" t="n">
        <v>9.1851</v>
      </c>
      <c r="DZ125" s="0" t="n">
        <v>16.2749</v>
      </c>
      <c r="EA125" s="0" t="n">
        <v>18.8719</v>
      </c>
      <c r="EB125" s="0" t="n">
        <v>13.1113</v>
      </c>
      <c r="EC125" s="0" t="n">
        <v>16.7691</v>
      </c>
      <c r="ED125" s="0" t="n">
        <v>8.8715</v>
      </c>
      <c r="EE125" s="0" t="n">
        <v>16.6627</v>
      </c>
      <c r="EF125" s="0" t="n">
        <v>12.991</v>
      </c>
      <c r="EG125" s="0" t="n">
        <v>4.7172</v>
      </c>
      <c r="EH125" s="0" t="n">
        <v>4.8807</v>
      </c>
      <c r="EI125" s="0" t="n">
        <v>4.917</v>
      </c>
      <c r="EJ125" s="0" t="n">
        <v>3.6264</v>
      </c>
      <c r="EK125" s="0" t="n">
        <v>3.0358</v>
      </c>
      <c r="EL125" s="0" t="n">
        <v>4.014</v>
      </c>
      <c r="EM125" s="0" t="n">
        <v>3.2051</v>
      </c>
      <c r="EN125" s="0" t="n">
        <v>3.7919</v>
      </c>
      <c r="EO125" s="0" t="n">
        <v>1.5584</v>
      </c>
      <c r="EP125" s="0" t="n">
        <v>4.3089</v>
      </c>
      <c r="EQ125" s="0" t="n">
        <v>4.8659</v>
      </c>
      <c r="ER125" s="0" t="n">
        <v>1.5784</v>
      </c>
      <c r="ES125" s="0" t="n">
        <v>2.9871</v>
      </c>
      <c r="ET125" s="0" t="n">
        <v>1.6101</v>
      </c>
      <c r="EU125" s="0" t="n">
        <v>2.0011</v>
      </c>
      <c r="EV125" s="0" t="n">
        <v>2.3994</v>
      </c>
      <c r="EW125" s="0" t="n">
        <v>2.0772</v>
      </c>
      <c r="EX125" s="0" t="n">
        <v>1.0725</v>
      </c>
      <c r="EY125" s="0" t="n">
        <v>1.8688</v>
      </c>
      <c r="EZ125" s="0" t="n">
        <v>1.2865</v>
      </c>
      <c r="FA125" s="0" t="n">
        <v>1.8407</v>
      </c>
      <c r="FB125" s="0" t="n">
        <v>2.3719</v>
      </c>
      <c r="FC125" s="0" t="n">
        <v>1.7719</v>
      </c>
      <c r="FD125" s="0" t="n">
        <v>1.5296</v>
      </c>
      <c r="FE125" s="0" t="n">
        <v>0.6492</v>
      </c>
      <c r="FF125" s="0" t="n">
        <v>2.7844</v>
      </c>
      <c r="FG125" s="0" t="n">
        <v>1.4835</v>
      </c>
      <c r="FH125" s="0" t="n">
        <v>1.2825</v>
      </c>
      <c r="FI125" s="0" t="n">
        <v>0.7282</v>
      </c>
      <c r="FJ125" s="0" t="n">
        <v>0.7404</v>
      </c>
      <c r="FK125" s="0" t="n">
        <v>1.2847</v>
      </c>
      <c r="FL125" s="0" t="n">
        <v>1.9343</v>
      </c>
      <c r="FM125" s="0" t="n">
        <v>1.8624</v>
      </c>
      <c r="FN125" s="0" t="n">
        <v>0.5421</v>
      </c>
      <c r="FO125" s="0" t="n">
        <v>0.9047</v>
      </c>
      <c r="FP125" s="0" t="n">
        <v>10.4324</v>
      </c>
    </row>
    <row r="126" customFormat="false" ht="13.8" hidden="false" customHeight="false" outlineLevel="0" collapsed="false">
      <c r="A126" s="2" t="s">
        <v>414</v>
      </c>
      <c r="B126" s="0" t="s">
        <v>176</v>
      </c>
      <c r="C126" s="0" t="n">
        <v>287</v>
      </c>
      <c r="D126" s="0" t="s">
        <v>415</v>
      </c>
      <c r="F126" s="0" t="e">
        <f aca="false">VLOOKUP(A126,[1]ROOT!$A$1:$C$1048576,3,0)</f>
        <v>#N/A</v>
      </c>
      <c r="G126" s="0" t="n">
        <v>377.9854</v>
      </c>
      <c r="H126" s="0" t="n">
        <v>23.7216</v>
      </c>
      <c r="I126" s="0" t="n">
        <v>74.5236</v>
      </c>
      <c r="J126" s="0" t="n">
        <v>0.6276</v>
      </c>
      <c r="K126" s="0" t="n">
        <v>0</v>
      </c>
      <c r="L126" s="0" t="n">
        <v>43.2361</v>
      </c>
      <c r="M126" s="0" t="n">
        <v>51.1146</v>
      </c>
      <c r="N126" s="0" t="n">
        <v>31.0602</v>
      </c>
      <c r="O126" s="0" t="n">
        <v>0.0518</v>
      </c>
      <c r="P126" s="0" t="n">
        <v>32.9088</v>
      </c>
      <c r="Q126" s="0" t="n">
        <v>14.0859</v>
      </c>
      <c r="R126" s="0" t="n">
        <v>24.4316</v>
      </c>
      <c r="S126" s="0" t="n">
        <v>12.3104</v>
      </c>
      <c r="T126" s="0" t="n">
        <v>2.8502</v>
      </c>
      <c r="U126" s="0" t="n">
        <v>10.0486</v>
      </c>
      <c r="V126" s="0" t="n">
        <v>10.2535</v>
      </c>
      <c r="W126" s="0" t="n">
        <v>6.3514</v>
      </c>
      <c r="X126" s="0" t="n">
        <v>5.2092</v>
      </c>
      <c r="Y126" s="0" t="n">
        <v>7.5973</v>
      </c>
      <c r="Z126" s="0" t="n">
        <v>10.5989</v>
      </c>
      <c r="AA126" s="0" t="n">
        <v>6.5488</v>
      </c>
      <c r="AB126" s="0" t="n">
        <v>9.0822</v>
      </c>
      <c r="AC126" s="0" t="n">
        <v>4.4627</v>
      </c>
      <c r="AD126" s="0" t="n">
        <v>11.5976</v>
      </c>
      <c r="AE126" s="0" t="n">
        <v>9.0254</v>
      </c>
      <c r="AF126" s="0" t="n">
        <v>12.5111</v>
      </c>
      <c r="AG126" s="0" t="n">
        <v>5.2144</v>
      </c>
      <c r="AH126" s="0" t="n">
        <v>4.9906</v>
      </c>
      <c r="AI126" s="0" t="n">
        <v>7.8275</v>
      </c>
      <c r="AJ126" s="0" t="n">
        <v>0.8185</v>
      </c>
      <c r="AK126" s="0" t="n">
        <v>5.8444</v>
      </c>
      <c r="AL126" s="0" t="n">
        <v>4.4962</v>
      </c>
      <c r="AM126" s="0" t="n">
        <v>2.1749</v>
      </c>
      <c r="AN126" s="0" t="n">
        <v>1.5287</v>
      </c>
      <c r="AO126" s="0" t="n">
        <v>5.1501</v>
      </c>
      <c r="AP126" s="0" t="n">
        <v>2.6154</v>
      </c>
      <c r="AQ126" s="0" t="n">
        <v>4.8248</v>
      </c>
      <c r="AR126" s="0" t="n">
        <v>2.3187</v>
      </c>
      <c r="AS126" s="0" t="n">
        <v>2.0495</v>
      </c>
      <c r="AT126" s="0" t="n">
        <v>2.8315</v>
      </c>
      <c r="AU126" s="0" t="n">
        <v>1.5601</v>
      </c>
      <c r="AV126" s="0" t="n">
        <v>0.2447</v>
      </c>
      <c r="AW126" s="0" t="n">
        <v>3.0325</v>
      </c>
      <c r="AX126" s="0" t="n">
        <v>2.2223</v>
      </c>
      <c r="AY126" s="0" t="n">
        <v>1.0035</v>
      </c>
      <c r="AZ126" s="0" t="n">
        <v>0.717</v>
      </c>
      <c r="BA126" s="0" t="n">
        <v>0.5071</v>
      </c>
      <c r="BB126" s="0" t="n">
        <v>0.1691</v>
      </c>
      <c r="BC126" s="0" t="n">
        <v>0.246</v>
      </c>
      <c r="BD126" s="0" t="n">
        <v>0</v>
      </c>
      <c r="BE126" s="0" t="n">
        <v>0.0222</v>
      </c>
      <c r="BF126" s="0" t="n">
        <v>0</v>
      </c>
      <c r="BG126" s="0" t="n">
        <v>0</v>
      </c>
      <c r="BH126" s="0" t="n">
        <v>0.2188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0.0227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0.9192</v>
      </c>
      <c r="CP126" s="0" t="n">
        <v>2.1633</v>
      </c>
      <c r="CQ126" s="0" t="n">
        <v>1.8938</v>
      </c>
      <c r="CR126" s="0" t="n">
        <v>0.0036</v>
      </c>
      <c r="CS126" s="0" t="n">
        <v>2.736</v>
      </c>
      <c r="CT126" s="0" t="n">
        <v>1.4314</v>
      </c>
      <c r="CU126" s="0" t="n">
        <v>2.849</v>
      </c>
      <c r="CV126" s="0" t="n">
        <v>1.7093</v>
      </c>
      <c r="CW126" s="0" t="n">
        <v>0.4121</v>
      </c>
      <c r="CX126" s="0" t="n">
        <v>1.6301</v>
      </c>
      <c r="CY126" s="0" t="n">
        <v>1.8743</v>
      </c>
      <c r="CZ126" s="0" t="n">
        <v>1.2586</v>
      </c>
      <c r="DA126" s="0" t="n">
        <v>1.0831</v>
      </c>
      <c r="DB126" s="0" t="n">
        <v>1.7258</v>
      </c>
      <c r="DC126" s="0" t="n">
        <v>2.6109</v>
      </c>
      <c r="DD126" s="0" t="n">
        <v>1.688</v>
      </c>
      <c r="DE126" s="0" t="n">
        <v>2.4862</v>
      </c>
      <c r="DF126" s="0" t="n">
        <v>1.2905</v>
      </c>
      <c r="DG126" s="0" t="n">
        <v>3.5444</v>
      </c>
      <c r="DH126" s="0" t="n">
        <v>2.8941</v>
      </c>
      <c r="DI126" s="0" t="n">
        <v>4.234</v>
      </c>
      <c r="DJ126" s="0" t="n">
        <v>1.8528</v>
      </c>
      <c r="DK126" s="0" t="n">
        <v>1.844</v>
      </c>
      <c r="DL126" s="0" t="n">
        <v>3.0515</v>
      </c>
      <c r="DM126" s="0" t="n">
        <v>0.3253</v>
      </c>
      <c r="DN126" s="0" t="n">
        <v>2.424</v>
      </c>
      <c r="DO126" s="0" t="n">
        <v>1.9577</v>
      </c>
      <c r="DP126" s="0" t="n">
        <v>0.9869</v>
      </c>
      <c r="DQ126" s="0" t="n">
        <v>0.7038</v>
      </c>
      <c r="DR126" s="0" t="n">
        <v>2.4603</v>
      </c>
      <c r="DS126" s="0" t="n">
        <v>1.2987</v>
      </c>
      <c r="DT126" s="0" t="n">
        <v>2.4691</v>
      </c>
      <c r="DU126" s="0" t="n">
        <v>1.2216</v>
      </c>
      <c r="DV126" s="0" t="n">
        <v>1.1001</v>
      </c>
      <c r="DW126" s="0" t="n">
        <v>1.573</v>
      </c>
      <c r="DX126" s="0" t="n">
        <v>0.9004</v>
      </c>
      <c r="DY126" s="0" t="n">
        <v>0.145</v>
      </c>
      <c r="DZ126" s="0" t="n">
        <v>1.8158</v>
      </c>
      <c r="EA126" s="0" t="n">
        <v>1.3778</v>
      </c>
      <c r="EB126" s="0" t="n">
        <v>0.6419</v>
      </c>
      <c r="EC126" s="0" t="n">
        <v>0.4659</v>
      </c>
      <c r="ED126" s="0" t="n">
        <v>0.3363</v>
      </c>
      <c r="EE126" s="0" t="n">
        <v>0.1155</v>
      </c>
      <c r="EF126" s="0" t="n">
        <v>0.1719</v>
      </c>
      <c r="EG126" s="0" t="n">
        <v>0</v>
      </c>
      <c r="EH126" s="0" t="n">
        <v>0.0161</v>
      </c>
      <c r="EI126" s="0" t="n">
        <v>0</v>
      </c>
      <c r="EJ126" s="0" t="n">
        <v>0</v>
      </c>
      <c r="EK126" s="0" t="n">
        <v>0.1707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0.0197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0</v>
      </c>
      <c r="EY126" s="0" t="n">
        <v>0</v>
      </c>
      <c r="EZ126" s="0" t="n">
        <v>0</v>
      </c>
      <c r="FA126" s="0" t="n">
        <v>0</v>
      </c>
      <c r="FB126" s="0" t="n">
        <v>0</v>
      </c>
      <c r="FC126" s="0" t="n">
        <v>0</v>
      </c>
      <c r="FD126" s="0" t="n">
        <v>0</v>
      </c>
      <c r="FE126" s="0" t="n">
        <v>0</v>
      </c>
      <c r="FF126" s="0" t="n">
        <v>0</v>
      </c>
      <c r="FG126" s="0" t="n">
        <v>0</v>
      </c>
      <c r="FH126" s="0" t="n">
        <v>0</v>
      </c>
      <c r="FI126" s="0" t="n">
        <v>0</v>
      </c>
      <c r="FJ126" s="0" t="n">
        <v>0</v>
      </c>
      <c r="FK126" s="0" t="n">
        <v>0</v>
      </c>
      <c r="FL126" s="0" t="n">
        <v>0</v>
      </c>
      <c r="FM126" s="0" t="n">
        <v>0</v>
      </c>
      <c r="FN126" s="0" t="n">
        <v>0</v>
      </c>
      <c r="FO126" s="0" t="n">
        <v>0</v>
      </c>
      <c r="FP126" s="0" t="n">
        <v>0</v>
      </c>
    </row>
    <row r="127" customFormat="false" ht="13.8" hidden="false" customHeight="false" outlineLevel="0" collapsed="false">
      <c r="A127" s="2" t="s">
        <v>416</v>
      </c>
      <c r="B127" s="0" t="s">
        <v>173</v>
      </c>
      <c r="C127" s="0" t="n">
        <v>28</v>
      </c>
      <c r="D127" s="0" t="s">
        <v>417</v>
      </c>
      <c r="F127" s="0" t="e">
        <f aca="false">VLOOKUP(A127,[1]ROOT!$A$1:$C$1048576,3,0)</f>
        <v>#N/A</v>
      </c>
      <c r="G127" s="0" t="n">
        <v>7413.0048</v>
      </c>
      <c r="H127" s="0" t="n">
        <v>505.9566</v>
      </c>
      <c r="I127" s="0" t="n">
        <v>1589.5089</v>
      </c>
      <c r="J127" s="0" t="n">
        <v>0.699258333333334</v>
      </c>
      <c r="K127" s="0" t="n">
        <v>0</v>
      </c>
      <c r="L127" s="0" t="n">
        <v>938.2773</v>
      </c>
      <c r="M127" s="0" t="n">
        <v>954.5513</v>
      </c>
      <c r="N127" s="0" t="n">
        <v>671.7683</v>
      </c>
      <c r="O127" s="0" t="n">
        <v>1.9541</v>
      </c>
      <c r="P127" s="0" t="n">
        <v>695.7619</v>
      </c>
      <c r="Q127" s="0" t="n">
        <v>249.8992</v>
      </c>
      <c r="R127" s="0" t="n">
        <v>390.5085</v>
      </c>
      <c r="S127" s="0" t="n">
        <v>242.0551</v>
      </c>
      <c r="T127" s="0" t="n">
        <v>45.6905</v>
      </c>
      <c r="U127" s="0" t="n">
        <v>264.924</v>
      </c>
      <c r="V127" s="0" t="n">
        <v>225.4745</v>
      </c>
      <c r="W127" s="0" t="n">
        <v>131.1154</v>
      </c>
      <c r="X127" s="0" t="n">
        <v>184.2561</v>
      </c>
      <c r="Y127" s="0" t="n">
        <v>160.3617</v>
      </c>
      <c r="Z127" s="0" t="n">
        <v>122.8175</v>
      </c>
      <c r="AA127" s="0" t="n">
        <v>88.3001</v>
      </c>
      <c r="AB127" s="0" t="n">
        <v>155.0872</v>
      </c>
      <c r="AC127" s="0" t="n">
        <v>54.025</v>
      </c>
      <c r="AD127" s="0" t="n">
        <v>149.4139</v>
      </c>
      <c r="AE127" s="0" t="n">
        <v>73.9927</v>
      </c>
      <c r="AF127" s="0" t="n">
        <v>136.2596</v>
      </c>
      <c r="AG127" s="0" t="n">
        <v>40.4166</v>
      </c>
      <c r="AH127" s="0" t="n">
        <v>88.3951</v>
      </c>
      <c r="AI127" s="0" t="n">
        <v>103.9165</v>
      </c>
      <c r="AJ127" s="0" t="n">
        <v>20.5298</v>
      </c>
      <c r="AK127" s="0" t="n">
        <v>110.9562</v>
      </c>
      <c r="AL127" s="0" t="n">
        <v>93.0041</v>
      </c>
      <c r="AM127" s="0" t="n">
        <v>56.2629</v>
      </c>
      <c r="AN127" s="0" t="n">
        <v>47.3269</v>
      </c>
      <c r="AO127" s="0" t="n">
        <v>114.8526</v>
      </c>
      <c r="AP127" s="0" t="n">
        <v>46.0471</v>
      </c>
      <c r="AQ127" s="0" t="n">
        <v>91.6412</v>
      </c>
      <c r="AR127" s="0" t="n">
        <v>75.2929</v>
      </c>
      <c r="AS127" s="0" t="n">
        <v>51.9086</v>
      </c>
      <c r="AT127" s="0" t="n">
        <v>86.4607</v>
      </c>
      <c r="AU127" s="0" t="n">
        <v>77.2231</v>
      </c>
      <c r="AV127" s="0" t="n">
        <v>9.3292</v>
      </c>
      <c r="AW127" s="0" t="n">
        <v>53.4689</v>
      </c>
      <c r="AX127" s="0" t="n">
        <v>54.6875</v>
      </c>
      <c r="AY127" s="0" t="n">
        <v>23.1817</v>
      </c>
      <c r="AZ127" s="0" t="n">
        <v>30.1499</v>
      </c>
      <c r="BA127" s="0" t="n">
        <v>28.852</v>
      </c>
      <c r="BB127" s="0" t="n">
        <v>26.2876</v>
      </c>
      <c r="BC127" s="0" t="n">
        <v>15.5188</v>
      </c>
      <c r="BD127" s="0" t="n">
        <v>11.3063</v>
      </c>
      <c r="BE127" s="0" t="n">
        <v>17.1574</v>
      </c>
      <c r="BF127" s="0" t="n">
        <v>4.2176</v>
      </c>
      <c r="BG127" s="0" t="n">
        <v>15.1943</v>
      </c>
      <c r="BH127" s="0" t="n">
        <v>11.6897</v>
      </c>
      <c r="BI127" s="0" t="n">
        <v>4.8054</v>
      </c>
      <c r="BJ127" s="0" t="n">
        <v>8.9197</v>
      </c>
      <c r="BK127" s="0" t="n">
        <v>11.3339</v>
      </c>
      <c r="BL127" s="0" t="n">
        <v>5.5279</v>
      </c>
      <c r="BM127" s="0" t="n">
        <v>3.6212</v>
      </c>
      <c r="BN127" s="0" t="n">
        <v>6.9214</v>
      </c>
      <c r="BO127" s="0" t="n">
        <v>0.7794</v>
      </c>
      <c r="BP127" s="0" t="n">
        <v>4.5112</v>
      </c>
      <c r="BQ127" s="0" t="n">
        <v>2.6377</v>
      </c>
      <c r="BR127" s="0" t="n">
        <v>1.8232</v>
      </c>
      <c r="BS127" s="0" t="n">
        <v>2.9679</v>
      </c>
      <c r="BT127" s="0" t="n">
        <v>1.8543</v>
      </c>
      <c r="BU127" s="0" t="n">
        <v>0.6276</v>
      </c>
      <c r="BV127" s="0" t="n">
        <v>1.1784</v>
      </c>
      <c r="BW127" s="0" t="n">
        <v>2.3668</v>
      </c>
      <c r="BX127" s="0" t="n">
        <v>1.0303</v>
      </c>
      <c r="BY127" s="0" t="n">
        <v>0.2438</v>
      </c>
      <c r="BZ127" s="0" t="n">
        <v>1.9264</v>
      </c>
      <c r="CA127" s="0" t="n">
        <v>1.8459</v>
      </c>
      <c r="CB127" s="0" t="n">
        <v>0.3079</v>
      </c>
      <c r="CC127" s="0" t="n">
        <v>0.1839</v>
      </c>
      <c r="CD127" s="0" t="n">
        <v>0.8818</v>
      </c>
      <c r="CE127" s="0" t="n">
        <v>0.1089</v>
      </c>
      <c r="CF127" s="0" t="n">
        <v>0.6264</v>
      </c>
      <c r="CG127" s="0" t="n">
        <v>0.0618</v>
      </c>
      <c r="CH127" s="0" t="n">
        <v>0.1993</v>
      </c>
      <c r="CI127" s="0" t="n">
        <v>0.3657</v>
      </c>
      <c r="CJ127" s="0" t="n">
        <v>0.3743</v>
      </c>
      <c r="CK127" s="0" t="n">
        <v>0.074</v>
      </c>
      <c r="CL127" s="0" t="n">
        <v>0.0206</v>
      </c>
      <c r="CM127" s="0" t="n">
        <v>0.4137</v>
      </c>
      <c r="CN127" s="0" t="n">
        <v>0</v>
      </c>
      <c r="CO127" s="0" t="n">
        <v>20.0627</v>
      </c>
      <c r="CP127" s="0" t="n">
        <v>40.5755</v>
      </c>
      <c r="CQ127" s="0" t="n">
        <v>41.0778</v>
      </c>
      <c r="CR127" s="0" t="n">
        <v>0.1351</v>
      </c>
      <c r="CS127" s="0" t="n">
        <v>58.0253</v>
      </c>
      <c r="CT127" s="0" t="n">
        <v>25.406</v>
      </c>
      <c r="CU127" s="0" t="n">
        <v>45.6195</v>
      </c>
      <c r="CV127" s="0" t="n">
        <v>33.5943</v>
      </c>
      <c r="CW127" s="0" t="n">
        <v>6.6062</v>
      </c>
      <c r="CX127" s="0" t="n">
        <v>43.058</v>
      </c>
      <c r="CY127" s="0" t="n">
        <v>41.2709</v>
      </c>
      <c r="CZ127" s="0" t="n">
        <v>26.0046</v>
      </c>
      <c r="DA127" s="0" t="n">
        <v>38.5826</v>
      </c>
      <c r="DB127" s="0" t="n">
        <v>36.4414</v>
      </c>
      <c r="DC127" s="0" t="n">
        <v>30.1721</v>
      </c>
      <c r="DD127" s="0" t="n">
        <v>22.5318</v>
      </c>
      <c r="DE127" s="0" t="n">
        <v>42.534</v>
      </c>
      <c r="DF127" s="0" t="n">
        <v>15.6224</v>
      </c>
      <c r="DG127" s="0" t="n">
        <v>45.4055</v>
      </c>
      <c r="DH127" s="0" t="n">
        <v>23.7953</v>
      </c>
      <c r="DI127" s="0" t="n">
        <v>46.4064</v>
      </c>
      <c r="DJ127" s="0" t="n">
        <v>14.3416</v>
      </c>
      <c r="DK127" s="0" t="n">
        <v>32.6152</v>
      </c>
      <c r="DL127" s="0" t="n">
        <v>40.531</v>
      </c>
      <c r="DM127" s="0" t="n">
        <v>8.1663</v>
      </c>
      <c r="DN127" s="0" t="n">
        <v>46.1595</v>
      </c>
      <c r="DO127" s="0" t="n">
        <v>40.5594</v>
      </c>
      <c r="DP127" s="0" t="n">
        <v>25.5262</v>
      </c>
      <c r="DQ127" s="0" t="n">
        <v>21.7809</v>
      </c>
      <c r="DR127" s="0" t="n">
        <v>54.9978</v>
      </c>
      <c r="DS127" s="0" t="n">
        <v>22.8623</v>
      </c>
      <c r="DT127" s="0" t="n">
        <v>46.7773</v>
      </c>
      <c r="DU127" s="0" t="n">
        <v>39.8068</v>
      </c>
      <c r="DV127" s="0" t="n">
        <v>27.8783</v>
      </c>
      <c r="DW127" s="0" t="n">
        <v>48.0579</v>
      </c>
      <c r="DX127" s="0" t="n">
        <v>44.5486</v>
      </c>
      <c r="DY127" s="0" t="n">
        <v>5.5279</v>
      </c>
      <c r="DZ127" s="0" t="n">
        <v>32.0201</v>
      </c>
      <c r="EA127" s="0" t="n">
        <v>33.9141</v>
      </c>
      <c r="EB127" s="0" t="n">
        <v>14.8262</v>
      </c>
      <c r="EC127" s="0" t="n">
        <v>19.56</v>
      </c>
      <c r="ED127" s="0" t="n">
        <v>19.1906</v>
      </c>
      <c r="EE127" s="0" t="n">
        <v>17.9638</v>
      </c>
      <c r="EF127" s="0" t="n">
        <v>10.899</v>
      </c>
      <c r="EG127" s="0" t="n">
        <v>8.0863</v>
      </c>
      <c r="EH127" s="0" t="n">
        <v>12.5715</v>
      </c>
      <c r="EI127" s="0" t="n">
        <v>3.1361</v>
      </c>
      <c r="EJ127" s="0" t="n">
        <v>11.5657</v>
      </c>
      <c r="EK127" s="0" t="n">
        <v>9.1529</v>
      </c>
      <c r="EL127" s="0" t="n">
        <v>3.8166</v>
      </c>
      <c r="EM127" s="0" t="n">
        <v>7.1886</v>
      </c>
      <c r="EN127" s="0" t="n">
        <v>9.3308</v>
      </c>
      <c r="EO127" s="0" t="n">
        <v>4.6714</v>
      </c>
      <c r="EP127" s="0" t="n">
        <v>3.0914</v>
      </c>
      <c r="EQ127" s="0" t="n">
        <v>6.12</v>
      </c>
      <c r="ER127" s="0" t="n">
        <v>0.6923</v>
      </c>
      <c r="ES127" s="0" t="n">
        <v>4.0657</v>
      </c>
      <c r="ET127" s="0" t="n">
        <v>2.427</v>
      </c>
      <c r="EU127" s="0" t="n">
        <v>1.6995</v>
      </c>
      <c r="EV127" s="0" t="n">
        <v>2.8147</v>
      </c>
      <c r="EW127" s="0" t="n">
        <v>1.8608</v>
      </c>
      <c r="EX127" s="0" t="n">
        <v>0.6181</v>
      </c>
      <c r="EY127" s="0" t="n">
        <v>1.1686</v>
      </c>
      <c r="EZ127" s="0" t="n">
        <v>2.5033</v>
      </c>
      <c r="FA127" s="0" t="n">
        <v>1.0673</v>
      </c>
      <c r="FB127" s="0" t="n">
        <v>0.2542</v>
      </c>
      <c r="FC127" s="0" t="n">
        <v>2.0396</v>
      </c>
      <c r="FD127" s="0" t="n">
        <v>1.9868</v>
      </c>
      <c r="FE127" s="0" t="n">
        <v>0.3372</v>
      </c>
      <c r="FF127" s="0" t="n">
        <v>0.2029</v>
      </c>
      <c r="FG127" s="0" t="n">
        <v>0.9903</v>
      </c>
      <c r="FH127" s="0" t="n">
        <v>0.1238</v>
      </c>
      <c r="FI127" s="0" t="n">
        <v>0.723</v>
      </c>
      <c r="FJ127" s="0" t="n">
        <v>0.0727</v>
      </c>
      <c r="FK127" s="0" t="n">
        <v>0.2362</v>
      </c>
      <c r="FL127" s="0" t="n">
        <v>0.4382</v>
      </c>
      <c r="FM127" s="0" t="n">
        <v>0.4556</v>
      </c>
      <c r="FN127" s="0" t="n">
        <v>0.0916</v>
      </c>
      <c r="FO127" s="0" t="n">
        <v>0.0257</v>
      </c>
      <c r="FP127" s="0" t="n">
        <v>0.5646</v>
      </c>
    </row>
    <row r="128" customFormat="false" ht="13.8" hidden="false" customHeight="false" outlineLevel="0" collapsed="false">
      <c r="A128" s="2" t="s">
        <v>418</v>
      </c>
      <c r="B128" s="0" t="s">
        <v>176</v>
      </c>
      <c r="C128" s="0" t="n">
        <v>264</v>
      </c>
      <c r="D128" s="0" t="s">
        <v>419</v>
      </c>
      <c r="G128" s="0" t="n">
        <v>1706.0677</v>
      </c>
      <c r="H128" s="0" t="n">
        <v>130.5086</v>
      </c>
      <c r="I128" s="0" t="n">
        <v>410.005</v>
      </c>
      <c r="J128" s="0" t="n">
        <v>0.731133333333333</v>
      </c>
      <c r="K128" s="0" t="n">
        <v>0</v>
      </c>
      <c r="L128" s="0" t="n">
        <v>131.4373</v>
      </c>
      <c r="M128" s="0" t="n">
        <v>156.0579</v>
      </c>
      <c r="N128" s="0" t="n">
        <v>137.5456</v>
      </c>
      <c r="O128" s="0" t="n">
        <v>0.1551</v>
      </c>
      <c r="P128" s="0" t="n">
        <v>172.5212</v>
      </c>
      <c r="Q128" s="0" t="n">
        <v>75.3229</v>
      </c>
      <c r="R128" s="0" t="n">
        <v>120.3182</v>
      </c>
      <c r="S128" s="0" t="n">
        <v>70.3275</v>
      </c>
      <c r="T128" s="0" t="n">
        <v>12.4061</v>
      </c>
      <c r="U128" s="0" t="n">
        <v>62.0741</v>
      </c>
      <c r="V128" s="0" t="n">
        <v>47.7834</v>
      </c>
      <c r="W128" s="0" t="n">
        <v>31.1846</v>
      </c>
      <c r="X128" s="0" t="n">
        <v>36.2577</v>
      </c>
      <c r="Y128" s="0" t="n">
        <v>31.047</v>
      </c>
      <c r="Z128" s="0" t="n">
        <v>28.8745</v>
      </c>
      <c r="AA128" s="0" t="n">
        <v>19.9033</v>
      </c>
      <c r="AB128" s="0" t="n">
        <v>34.4406</v>
      </c>
      <c r="AC128" s="0" t="n">
        <v>16.7272</v>
      </c>
      <c r="AD128" s="0" t="n">
        <v>34.8847</v>
      </c>
      <c r="AE128" s="0" t="n">
        <v>15.3757</v>
      </c>
      <c r="AF128" s="0" t="n">
        <v>28.9329</v>
      </c>
      <c r="AG128" s="0" t="n">
        <v>10.6908</v>
      </c>
      <c r="AH128" s="0" t="n">
        <v>17.9711</v>
      </c>
      <c r="AI128" s="0" t="n">
        <v>28.0705</v>
      </c>
      <c r="AJ128" s="0" t="n">
        <v>8.1795</v>
      </c>
      <c r="AK128" s="0" t="n">
        <v>32.6461</v>
      </c>
      <c r="AL128" s="0" t="n">
        <v>25.8106</v>
      </c>
      <c r="AM128" s="0" t="n">
        <v>16.028</v>
      </c>
      <c r="AN128" s="0" t="n">
        <v>11.0063</v>
      </c>
      <c r="AO128" s="0" t="n">
        <v>35.1251</v>
      </c>
      <c r="AP128" s="0" t="n">
        <v>20.1183</v>
      </c>
      <c r="AQ128" s="0" t="n">
        <v>23.7954</v>
      </c>
      <c r="AR128" s="0" t="n">
        <v>15.9775</v>
      </c>
      <c r="AS128" s="0" t="n">
        <v>20.8984</v>
      </c>
      <c r="AT128" s="0" t="n">
        <v>27.0823</v>
      </c>
      <c r="AU128" s="0" t="n">
        <v>30.8344</v>
      </c>
      <c r="AV128" s="0" t="n">
        <v>1.9298</v>
      </c>
      <c r="AW128" s="0" t="n">
        <v>20.8517</v>
      </c>
      <c r="AX128" s="0" t="n">
        <v>26.1183</v>
      </c>
      <c r="AY128" s="0" t="n">
        <v>13.0834</v>
      </c>
      <c r="AZ128" s="0" t="n">
        <v>7.8151</v>
      </c>
      <c r="BA128" s="0" t="n">
        <v>8.2751</v>
      </c>
      <c r="BB128" s="0" t="n">
        <v>8.9865</v>
      </c>
      <c r="BC128" s="0" t="n">
        <v>5.677</v>
      </c>
      <c r="BD128" s="0" t="n">
        <v>1.3384</v>
      </c>
      <c r="BE128" s="0" t="n">
        <v>5.1711</v>
      </c>
      <c r="BF128" s="0" t="n">
        <v>2.2667</v>
      </c>
      <c r="BG128" s="0" t="n">
        <v>3.2868</v>
      </c>
      <c r="BH128" s="0" t="n">
        <v>1.9663</v>
      </c>
      <c r="BI128" s="0" t="n">
        <v>1.0288</v>
      </c>
      <c r="BJ128" s="0" t="n">
        <v>1.4701</v>
      </c>
      <c r="BK128" s="0" t="n">
        <v>1.7661</v>
      </c>
      <c r="BL128" s="0" t="n">
        <v>0.8448</v>
      </c>
      <c r="BM128" s="0" t="n">
        <v>0.7995</v>
      </c>
      <c r="BN128" s="0" t="n">
        <v>1.1827</v>
      </c>
      <c r="BO128" s="0" t="n">
        <v>0.0587</v>
      </c>
      <c r="BP128" s="0" t="n">
        <v>1.1077</v>
      </c>
      <c r="BQ128" s="0" t="n">
        <v>0.2865</v>
      </c>
      <c r="BR128" s="0" t="n">
        <v>0.0841</v>
      </c>
      <c r="BS128" s="0" t="n">
        <v>0.2851</v>
      </c>
      <c r="BT128" s="0" t="n">
        <v>0.2125</v>
      </c>
      <c r="BU128" s="0" t="n">
        <v>0.0387</v>
      </c>
      <c r="BV128" s="0" t="n">
        <v>1.1175</v>
      </c>
      <c r="BW128" s="0" t="n">
        <v>0.0544</v>
      </c>
      <c r="BX128" s="0" t="n">
        <v>0.4088</v>
      </c>
      <c r="BY128" s="0" t="n">
        <v>0.0132</v>
      </c>
      <c r="BZ128" s="0" t="n">
        <v>0.0465</v>
      </c>
      <c r="CA128" s="0" t="n">
        <v>0.0519</v>
      </c>
      <c r="CB128" s="0" t="n">
        <v>0.0349</v>
      </c>
      <c r="CC128" s="0" t="n">
        <v>0</v>
      </c>
      <c r="CD128" s="0" t="n">
        <v>0.0428</v>
      </c>
      <c r="CE128" s="0" t="n">
        <v>0.046</v>
      </c>
      <c r="CF128" s="0" t="n">
        <v>0.2267</v>
      </c>
      <c r="CG128" s="0" t="n">
        <v>0</v>
      </c>
      <c r="CH128" s="0" t="n">
        <v>0</v>
      </c>
      <c r="CI128" s="0" t="n">
        <v>0</v>
      </c>
      <c r="CJ128" s="0" t="n">
        <v>0.1976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2.8113</v>
      </c>
      <c r="CP128" s="0" t="n">
        <v>6.643</v>
      </c>
      <c r="CQ128" s="0" t="n">
        <v>8.411</v>
      </c>
      <c r="CR128" s="0" t="n">
        <v>0.0107</v>
      </c>
      <c r="CS128" s="0" t="n">
        <v>14.4069</v>
      </c>
      <c r="CT128" s="0" t="n">
        <v>7.6504</v>
      </c>
      <c r="CU128" s="0" t="n">
        <v>14.0914</v>
      </c>
      <c r="CV128" s="0" t="n">
        <v>9.7635</v>
      </c>
      <c r="CW128" s="0" t="n">
        <v>1.7937</v>
      </c>
      <c r="CX128" s="0" t="n">
        <v>10.0825</v>
      </c>
      <c r="CY128" s="0" t="n">
        <v>8.7345</v>
      </c>
      <c r="CZ128" s="0" t="n">
        <v>6.1889</v>
      </c>
      <c r="DA128" s="0" t="n">
        <v>7.6387</v>
      </c>
      <c r="DB128" s="0" t="n">
        <v>7.0588</v>
      </c>
      <c r="DC128" s="0" t="n">
        <v>7.0921</v>
      </c>
      <c r="DD128" s="0" t="n">
        <v>5.1034</v>
      </c>
      <c r="DE128" s="0" t="n">
        <v>9.4257</v>
      </c>
      <c r="DF128" s="0" t="n">
        <v>4.837</v>
      </c>
      <c r="DG128" s="0" t="n">
        <v>10.5987</v>
      </c>
      <c r="DH128" s="0" t="n">
        <v>4.9393</v>
      </c>
      <c r="DI128" s="0" t="n">
        <v>9.8286</v>
      </c>
      <c r="DJ128" s="0" t="n">
        <v>3.7942</v>
      </c>
      <c r="DK128" s="0" t="n">
        <v>6.6404</v>
      </c>
      <c r="DL128" s="0" t="n">
        <v>10.9144</v>
      </c>
      <c r="DM128" s="0" t="n">
        <v>3.2572</v>
      </c>
      <c r="DN128" s="0" t="n">
        <v>13.5539</v>
      </c>
      <c r="DO128" s="0" t="n">
        <v>11.2391</v>
      </c>
      <c r="DP128" s="0" t="n">
        <v>7.2783</v>
      </c>
      <c r="DQ128" s="0" t="n">
        <v>5.0608</v>
      </c>
      <c r="DR128" s="0" t="n">
        <v>16.7911</v>
      </c>
      <c r="DS128" s="0" t="n">
        <v>9.9864</v>
      </c>
      <c r="DT128" s="0" t="n">
        <v>12.2133</v>
      </c>
      <c r="DU128" s="0" t="n">
        <v>8.4245</v>
      </c>
      <c r="DV128" s="0" t="n">
        <v>11.232</v>
      </c>
      <c r="DW128" s="0" t="n">
        <v>15.0822</v>
      </c>
      <c r="DX128" s="0" t="n">
        <v>17.8142</v>
      </c>
      <c r="DY128" s="0" t="n">
        <v>1.1435</v>
      </c>
      <c r="DZ128" s="0" t="n">
        <v>12.4856</v>
      </c>
      <c r="EA128" s="0" t="n">
        <v>16.182</v>
      </c>
      <c r="EB128" s="0" t="n">
        <v>8.3648</v>
      </c>
      <c r="EC128" s="0" t="n">
        <v>5.0915</v>
      </c>
      <c r="ED128" s="0" t="n">
        <v>5.4912</v>
      </c>
      <c r="EE128" s="0" t="n">
        <v>6.1271</v>
      </c>
      <c r="EF128" s="0" t="n">
        <v>3.9766</v>
      </c>
      <c r="EG128" s="0" t="n">
        <v>0.9602</v>
      </c>
      <c r="EH128" s="0" t="n">
        <v>3.7854</v>
      </c>
      <c r="EI128" s="0" t="n">
        <v>1.6855</v>
      </c>
      <c r="EJ128" s="0" t="n">
        <v>2.5006</v>
      </c>
      <c r="EK128" s="0" t="n">
        <v>1.5371</v>
      </c>
      <c r="EL128" s="0" t="n">
        <v>0.8196</v>
      </c>
      <c r="EM128" s="0" t="n">
        <v>1.1843</v>
      </c>
      <c r="EN128" s="0" t="n">
        <v>1.4533</v>
      </c>
      <c r="EO128" s="0" t="n">
        <v>0.7126</v>
      </c>
      <c r="EP128" s="0" t="n">
        <v>0.6835</v>
      </c>
      <c r="EQ128" s="0" t="n">
        <v>1.028</v>
      </c>
      <c r="ER128" s="0" t="n">
        <v>0.0521</v>
      </c>
      <c r="ES128" s="0" t="n">
        <v>0.998</v>
      </c>
      <c r="ET128" s="0" t="n">
        <v>0.2638</v>
      </c>
      <c r="EU128" s="0" t="n">
        <v>0.0784</v>
      </c>
      <c r="EV128" s="0" t="n">
        <v>0.2696</v>
      </c>
      <c r="EW128" s="0" t="n">
        <v>0.2057</v>
      </c>
      <c r="EX128" s="0" t="n">
        <v>0.0379</v>
      </c>
      <c r="EY128" s="0" t="n">
        <v>1.1121</v>
      </c>
      <c r="EZ128" s="0" t="n">
        <v>0.0552</v>
      </c>
      <c r="FA128" s="0" t="n">
        <v>0.4237</v>
      </c>
      <c r="FB128" s="0" t="n">
        <v>0.0137</v>
      </c>
      <c r="FC128" s="0" t="n">
        <v>0.0491</v>
      </c>
      <c r="FD128" s="0" t="n">
        <v>0.0557</v>
      </c>
      <c r="FE128" s="0" t="n">
        <v>0.0382</v>
      </c>
      <c r="FF128" s="0" t="n">
        <v>0</v>
      </c>
      <c r="FG128" s="0" t="n">
        <v>0.0478</v>
      </c>
      <c r="FH128" s="0" t="n">
        <v>0.0523</v>
      </c>
      <c r="FI128" s="0" t="n">
        <v>0.2623</v>
      </c>
      <c r="FJ128" s="0" t="n">
        <v>0</v>
      </c>
      <c r="FK128" s="0" t="n">
        <v>0</v>
      </c>
      <c r="FL128" s="0" t="n">
        <v>0</v>
      </c>
      <c r="FM128" s="0" t="n">
        <v>0.2413</v>
      </c>
      <c r="FN128" s="0" t="n">
        <v>0</v>
      </c>
      <c r="FO128" s="0" t="n">
        <v>0</v>
      </c>
      <c r="FP128" s="0" t="n">
        <v>0</v>
      </c>
    </row>
    <row r="129" customFormat="false" ht="13.8" hidden="false" customHeight="false" outlineLevel="0" collapsed="false">
      <c r="A129" s="2" t="s">
        <v>420</v>
      </c>
      <c r="B129" s="0" t="s">
        <v>173</v>
      </c>
      <c r="C129" s="0" t="n">
        <v>164</v>
      </c>
      <c r="D129" s="0" t="s">
        <v>421</v>
      </c>
      <c r="F129" s="0" t="e">
        <f aca="false">VLOOKUP(A129,[1]ROOT!$A$1:$C$1048576,3,0)</f>
        <v>#N/A</v>
      </c>
      <c r="G129" s="0" t="n">
        <v>2723.513</v>
      </c>
      <c r="H129" s="0" t="n">
        <v>208.0582</v>
      </c>
      <c r="I129" s="0" t="n">
        <v>653.6342</v>
      </c>
      <c r="J129" s="0" t="n">
        <v>0.747033333333333</v>
      </c>
      <c r="K129" s="0" t="n">
        <v>0.0254</v>
      </c>
      <c r="L129" s="0" t="n">
        <v>24.3554</v>
      </c>
      <c r="M129" s="0" t="n">
        <v>36.2438</v>
      </c>
      <c r="N129" s="0" t="n">
        <v>200.2227</v>
      </c>
      <c r="O129" s="0" t="n">
        <v>195.5549</v>
      </c>
      <c r="P129" s="0" t="n">
        <v>196.0481</v>
      </c>
      <c r="Q129" s="0" t="n">
        <v>331.4257</v>
      </c>
      <c r="R129" s="0" t="n">
        <v>178.5296</v>
      </c>
      <c r="S129" s="0" t="n">
        <v>192.46</v>
      </c>
      <c r="T129" s="0" t="n">
        <v>142.2857</v>
      </c>
      <c r="U129" s="0" t="n">
        <v>170.883</v>
      </c>
      <c r="V129" s="0" t="n">
        <v>70.3013</v>
      </c>
      <c r="W129" s="0" t="n">
        <v>109.7548</v>
      </c>
      <c r="X129" s="0" t="n">
        <v>64.3221</v>
      </c>
      <c r="Y129" s="0" t="n">
        <v>40.2957</v>
      </c>
      <c r="Z129" s="0" t="n">
        <v>52.5831</v>
      </c>
      <c r="AA129" s="0" t="n">
        <v>42.5654</v>
      </c>
      <c r="AB129" s="0" t="n">
        <v>39.2338</v>
      </c>
      <c r="AC129" s="0" t="n">
        <v>28.3461</v>
      </c>
      <c r="AD129" s="0" t="n">
        <v>39.6841</v>
      </c>
      <c r="AE129" s="0" t="n">
        <v>35.1496</v>
      </c>
      <c r="AF129" s="0" t="n">
        <v>39.8164</v>
      </c>
      <c r="AG129" s="0" t="n">
        <v>21.7282</v>
      </c>
      <c r="AH129" s="0" t="n">
        <v>25.196</v>
      </c>
      <c r="AI129" s="0" t="n">
        <v>31.3824</v>
      </c>
      <c r="AJ129" s="0" t="n">
        <v>27.8373</v>
      </c>
      <c r="AK129" s="0" t="n">
        <v>33.2088</v>
      </c>
      <c r="AL129" s="0" t="n">
        <v>29.7586</v>
      </c>
      <c r="AM129" s="0" t="n">
        <v>28.3132</v>
      </c>
      <c r="AN129" s="0" t="n">
        <v>24.1779</v>
      </c>
      <c r="AO129" s="0" t="n">
        <v>25.8767</v>
      </c>
      <c r="AP129" s="0" t="n">
        <v>19.2917</v>
      </c>
      <c r="AQ129" s="0" t="n">
        <v>20.5348</v>
      </c>
      <c r="AR129" s="0" t="n">
        <v>25.6482</v>
      </c>
      <c r="AS129" s="0" t="n">
        <v>22.6386</v>
      </c>
      <c r="AT129" s="0" t="n">
        <v>27.5353</v>
      </c>
      <c r="AU129" s="0" t="n">
        <v>31.6723</v>
      </c>
      <c r="AV129" s="0" t="n">
        <v>15.6186</v>
      </c>
      <c r="AW129" s="0" t="n">
        <v>18.8433</v>
      </c>
      <c r="AX129" s="0" t="n">
        <v>14.284</v>
      </c>
      <c r="AY129" s="0" t="n">
        <v>10.2763</v>
      </c>
      <c r="AZ129" s="0" t="n">
        <v>6.1219</v>
      </c>
      <c r="BA129" s="0" t="n">
        <v>2.7685</v>
      </c>
      <c r="BB129" s="0" t="n">
        <v>2.5149</v>
      </c>
      <c r="BC129" s="0" t="n">
        <v>2.8967</v>
      </c>
      <c r="BD129" s="0" t="n">
        <v>2.9344</v>
      </c>
      <c r="BE129" s="0" t="n">
        <v>3.4432</v>
      </c>
      <c r="BF129" s="0" t="n">
        <v>2.7769</v>
      </c>
      <c r="BG129" s="0" t="n">
        <v>2.209</v>
      </c>
      <c r="BH129" s="0" t="n">
        <v>3.5413</v>
      </c>
      <c r="BI129" s="0" t="n">
        <v>2.0641</v>
      </c>
      <c r="BJ129" s="0" t="n">
        <v>1.2265</v>
      </c>
      <c r="BK129" s="0" t="n">
        <v>0.8728</v>
      </c>
      <c r="BL129" s="0" t="n">
        <v>0.2665</v>
      </c>
      <c r="BM129" s="0" t="n">
        <v>0.1883</v>
      </c>
      <c r="BN129" s="0" t="n">
        <v>0.1978</v>
      </c>
      <c r="BO129" s="0" t="n">
        <v>0.3628</v>
      </c>
      <c r="BP129" s="0" t="n">
        <v>0.1846</v>
      </c>
      <c r="BQ129" s="0" t="n">
        <v>0.2079</v>
      </c>
      <c r="BR129" s="0" t="n">
        <v>0.2508</v>
      </c>
      <c r="BS129" s="0" t="n">
        <v>0.5892</v>
      </c>
      <c r="BT129" s="0" t="n">
        <v>0.4143</v>
      </c>
      <c r="BU129" s="0" t="n">
        <v>0.0471</v>
      </c>
      <c r="BV129" s="0" t="n">
        <v>0.4008</v>
      </c>
      <c r="BW129" s="0" t="n">
        <v>0.0312</v>
      </c>
      <c r="BX129" s="0" t="n">
        <v>0.3645</v>
      </c>
      <c r="BY129" s="0" t="n">
        <v>0.0899</v>
      </c>
      <c r="BZ129" s="0" t="n">
        <v>0.2475</v>
      </c>
      <c r="CA129" s="0" t="n">
        <v>0.1364</v>
      </c>
      <c r="CB129" s="0" t="n">
        <v>0.0783</v>
      </c>
      <c r="CC129" s="0" t="n">
        <v>0.2871</v>
      </c>
      <c r="CD129" s="0" t="n">
        <v>0.2713</v>
      </c>
      <c r="CE129" s="0" t="n">
        <v>0.0159</v>
      </c>
      <c r="CF129" s="0" t="n">
        <v>0.0804</v>
      </c>
      <c r="CG129" s="0" t="n">
        <v>0.0222</v>
      </c>
      <c r="CH129" s="0" t="n">
        <v>0.0397</v>
      </c>
      <c r="CI129" s="0" t="n">
        <v>0.1174</v>
      </c>
      <c r="CJ129" s="0" t="n">
        <v>0.2044</v>
      </c>
      <c r="CK129" s="0" t="n">
        <v>0.083</v>
      </c>
      <c r="CL129" s="0" t="n">
        <v>0.0201</v>
      </c>
      <c r="CM129" s="0" t="n">
        <v>0.2126</v>
      </c>
      <c r="CN129" s="0" t="n">
        <v>0.0002</v>
      </c>
      <c r="CO129" s="0" t="n">
        <v>0.6161</v>
      </c>
      <c r="CP129" s="0" t="n">
        <v>1.5244</v>
      </c>
      <c r="CQ129" s="0" t="n">
        <v>11.2999</v>
      </c>
      <c r="CR129" s="0" t="n">
        <v>13.9858</v>
      </c>
      <c r="CS129" s="0" t="n">
        <v>16.3554</v>
      </c>
      <c r="CT129" s="0" t="n">
        <v>33.4331</v>
      </c>
      <c r="CU129" s="0" t="n">
        <v>21.2738</v>
      </c>
      <c r="CV129" s="0" t="n">
        <v>25.622</v>
      </c>
      <c r="CW129" s="0" t="n">
        <v>20.8942</v>
      </c>
      <c r="CX129" s="0" t="n">
        <v>28.3994</v>
      </c>
      <c r="CY129" s="0" t="n">
        <v>12.7394</v>
      </c>
      <c r="CZ129" s="0" t="n">
        <v>21.4883</v>
      </c>
      <c r="DA129" s="0" t="n">
        <v>13.8647</v>
      </c>
      <c r="DB129" s="0" t="n">
        <v>9.0963</v>
      </c>
      <c r="DC129" s="0" t="n">
        <v>12.7189</v>
      </c>
      <c r="DD129" s="0" t="n">
        <v>11.0009</v>
      </c>
      <c r="DE129" s="0" t="n">
        <v>10.8276</v>
      </c>
      <c r="DF129" s="0" t="n">
        <v>8.2623</v>
      </c>
      <c r="DG129" s="0" t="n">
        <v>12.1294</v>
      </c>
      <c r="DH129" s="0" t="n">
        <v>11.2631</v>
      </c>
      <c r="DI129" s="0" t="n">
        <v>13.5032</v>
      </c>
      <c r="DJ129" s="0" t="n">
        <v>7.7621</v>
      </c>
      <c r="DK129" s="0" t="n">
        <v>9.2564</v>
      </c>
      <c r="DL129" s="0" t="n">
        <v>12.0802</v>
      </c>
      <c r="DM129" s="0" t="n">
        <v>11.1474</v>
      </c>
      <c r="DN129" s="0" t="n">
        <v>13.8469</v>
      </c>
      <c r="DO129" s="0" t="n">
        <v>12.8704</v>
      </c>
      <c r="DP129" s="0" t="n">
        <v>12.6375</v>
      </c>
      <c r="DQ129" s="0" t="n">
        <v>11.1861</v>
      </c>
      <c r="DR129" s="0" t="n">
        <v>12.4426</v>
      </c>
      <c r="DS129" s="0" t="n">
        <v>9.5503</v>
      </c>
      <c r="DT129" s="0" t="n">
        <v>10.4766</v>
      </c>
      <c r="DU129" s="0" t="n">
        <v>13.4787</v>
      </c>
      <c r="DV129" s="0" t="n">
        <v>12.2436</v>
      </c>
      <c r="DW129" s="0" t="n">
        <v>15.3176</v>
      </c>
      <c r="DX129" s="0" t="n">
        <v>18.1833</v>
      </c>
      <c r="DY129" s="0" t="n">
        <v>9.2102</v>
      </c>
      <c r="DZ129" s="0" t="n">
        <v>11.3468</v>
      </c>
      <c r="EA129" s="0" t="n">
        <v>8.8664</v>
      </c>
      <c r="EB129" s="0" t="n">
        <v>6.5543</v>
      </c>
      <c r="EC129" s="0" t="n">
        <v>3.995</v>
      </c>
      <c r="ED129" s="0" t="n">
        <v>1.8402</v>
      </c>
      <c r="EE129" s="0" t="n">
        <v>1.7137</v>
      </c>
      <c r="EF129" s="0" t="n">
        <v>2.0304</v>
      </c>
      <c r="EG129" s="0" t="n">
        <v>2.1057</v>
      </c>
      <c r="EH129" s="0" t="n">
        <v>2.5224</v>
      </c>
      <c r="EI129" s="0" t="n">
        <v>2.0683</v>
      </c>
      <c r="EJ129" s="0" t="n">
        <v>1.683</v>
      </c>
      <c r="EK129" s="0" t="n">
        <v>2.7521</v>
      </c>
      <c r="EL129" s="0" t="n">
        <v>1.6374</v>
      </c>
      <c r="EM129" s="0" t="n">
        <v>0.9885</v>
      </c>
      <c r="EN129" s="0" t="n">
        <v>0.7188</v>
      </c>
      <c r="EO129" s="0" t="n">
        <v>0.2237</v>
      </c>
      <c r="EP129" s="0" t="n">
        <v>0.1611</v>
      </c>
      <c r="EQ129" s="0" t="n">
        <v>0.1728</v>
      </c>
      <c r="ER129" s="0" t="n">
        <v>0.3224</v>
      </c>
      <c r="ES129" s="0" t="n">
        <v>0.1664</v>
      </c>
      <c r="ET129" s="0" t="n">
        <v>0.1911</v>
      </c>
      <c r="EU129" s="0" t="n">
        <v>0.2337</v>
      </c>
      <c r="EV129" s="0" t="n">
        <v>0.5575</v>
      </c>
      <c r="EW129" s="0" t="n">
        <v>0.4025</v>
      </c>
      <c r="EX129" s="0" t="n">
        <v>0.0462</v>
      </c>
      <c r="EY129" s="0" t="n">
        <v>0.4002</v>
      </c>
      <c r="EZ129" s="0" t="n">
        <v>0.0317</v>
      </c>
      <c r="FA129" s="0" t="n">
        <v>0.3748</v>
      </c>
      <c r="FB129" s="0" t="n">
        <v>0.0939</v>
      </c>
      <c r="FC129" s="0" t="n">
        <v>0.2631</v>
      </c>
      <c r="FD129" s="0" t="n">
        <v>0.1471</v>
      </c>
      <c r="FE129" s="0" t="n">
        <v>0.0854</v>
      </c>
      <c r="FF129" s="0" t="n">
        <v>0.3174</v>
      </c>
      <c r="FG129" s="0" t="n">
        <v>0.3052</v>
      </c>
      <c r="FH129" s="0" t="n">
        <v>0.018</v>
      </c>
      <c r="FI129" s="0" t="n">
        <v>0.0929</v>
      </c>
      <c r="FJ129" s="0" t="n">
        <v>0.0259</v>
      </c>
      <c r="FK129" s="0" t="n">
        <v>0.0469</v>
      </c>
      <c r="FL129" s="0" t="n">
        <v>0.1416</v>
      </c>
      <c r="FM129" s="0" t="n">
        <v>0.2475</v>
      </c>
      <c r="FN129" s="0" t="n">
        <v>0.1024</v>
      </c>
      <c r="FO129" s="0" t="n">
        <v>0.0251</v>
      </c>
      <c r="FP129" s="0" t="n">
        <v>0.288</v>
      </c>
    </row>
    <row r="130" customFormat="false" ht="13.8" hidden="false" customHeight="false" outlineLevel="0" collapsed="false">
      <c r="A130" s="2" t="s">
        <v>422</v>
      </c>
      <c r="B130" s="0" t="s">
        <v>173</v>
      </c>
      <c r="C130" s="0" t="n">
        <v>176</v>
      </c>
      <c r="D130" s="0" t="s">
        <v>423</v>
      </c>
      <c r="G130" s="0" t="n">
        <v>3086.9683</v>
      </c>
      <c r="H130" s="0" t="n">
        <v>135.3244</v>
      </c>
      <c r="I130" s="0" t="n">
        <v>425.134</v>
      </c>
      <c r="J130" s="0" t="n">
        <v>0.37062</v>
      </c>
      <c r="K130" s="0" t="n">
        <v>0.0503</v>
      </c>
      <c r="L130" s="0" t="n">
        <v>344.4657</v>
      </c>
      <c r="M130" s="0" t="n">
        <v>353.8318</v>
      </c>
      <c r="N130" s="0" t="n">
        <v>536.056</v>
      </c>
      <c r="O130" s="0" t="n">
        <v>404.781</v>
      </c>
      <c r="P130" s="0" t="n">
        <v>257.7036</v>
      </c>
      <c r="Q130" s="0" t="n">
        <v>166.1437</v>
      </c>
      <c r="R130" s="0" t="n">
        <v>145.6931</v>
      </c>
      <c r="S130" s="0" t="n">
        <v>83.0672</v>
      </c>
      <c r="T130" s="0" t="n">
        <v>77.9649</v>
      </c>
      <c r="U130" s="0" t="n">
        <v>60.4264</v>
      </c>
      <c r="V130" s="0" t="n">
        <v>54.8482</v>
      </c>
      <c r="W130" s="0" t="n">
        <v>38.7482</v>
      </c>
      <c r="X130" s="0" t="n">
        <v>35.0722</v>
      </c>
      <c r="Y130" s="0" t="n">
        <v>33.8916</v>
      </c>
      <c r="Z130" s="0" t="n">
        <v>32.7555</v>
      </c>
      <c r="AA130" s="0" t="n">
        <v>34.4481</v>
      </c>
      <c r="AB130" s="0" t="n">
        <v>31.7367</v>
      </c>
      <c r="AC130" s="0" t="n">
        <v>23.4683</v>
      </c>
      <c r="AD130" s="0" t="n">
        <v>19.6053</v>
      </c>
      <c r="AE130" s="0" t="n">
        <v>25.2159</v>
      </c>
      <c r="AF130" s="0" t="n">
        <v>20.9638</v>
      </c>
      <c r="AG130" s="0" t="n">
        <v>17.7933</v>
      </c>
      <c r="AH130" s="0" t="n">
        <v>18.7442</v>
      </c>
      <c r="AI130" s="0" t="n">
        <v>20.5629</v>
      </c>
      <c r="AJ130" s="0" t="n">
        <v>25.9766</v>
      </c>
      <c r="AK130" s="0" t="n">
        <v>30.8408</v>
      </c>
      <c r="AL130" s="0" t="n">
        <v>26.479</v>
      </c>
      <c r="AM130" s="0" t="n">
        <v>21.6791</v>
      </c>
      <c r="AN130" s="0" t="n">
        <v>17.9446</v>
      </c>
      <c r="AO130" s="0" t="n">
        <v>16.34</v>
      </c>
      <c r="AP130" s="0" t="n">
        <v>21.2434</v>
      </c>
      <c r="AQ130" s="0" t="n">
        <v>17.4021</v>
      </c>
      <c r="AR130" s="0" t="n">
        <v>14.4529</v>
      </c>
      <c r="AS130" s="0" t="n">
        <v>13.8081</v>
      </c>
      <c r="AT130" s="0" t="n">
        <v>11.255</v>
      </c>
      <c r="AU130" s="0" t="n">
        <v>5.271</v>
      </c>
      <c r="AV130" s="0" t="n">
        <v>4.3301</v>
      </c>
      <c r="AW130" s="0" t="n">
        <v>3.8535</v>
      </c>
      <c r="AX130" s="0" t="n">
        <v>3.2259</v>
      </c>
      <c r="AY130" s="0" t="n">
        <v>1.8627</v>
      </c>
      <c r="AZ130" s="0" t="n">
        <v>2.0957</v>
      </c>
      <c r="BA130" s="0" t="n">
        <v>1.6281</v>
      </c>
      <c r="BB130" s="0" t="n">
        <v>0.5251</v>
      </c>
      <c r="BC130" s="0" t="n">
        <v>1.5051</v>
      </c>
      <c r="BD130" s="0" t="n">
        <v>0.4816</v>
      </c>
      <c r="BE130" s="0" t="n">
        <v>0.7197</v>
      </c>
      <c r="BF130" s="0" t="n">
        <v>1.0184</v>
      </c>
      <c r="BG130" s="0" t="n">
        <v>1.4539</v>
      </c>
      <c r="BH130" s="0" t="n">
        <v>0.3675</v>
      </c>
      <c r="BI130" s="0" t="n">
        <v>0.3468</v>
      </c>
      <c r="BJ130" s="0" t="n">
        <v>0.2651</v>
      </c>
      <c r="BK130" s="0" t="n">
        <v>0.3675</v>
      </c>
      <c r="BL130" s="0" t="n">
        <v>0.2413</v>
      </c>
      <c r="BM130" s="0" t="n">
        <v>0</v>
      </c>
      <c r="BN130" s="0" t="n">
        <v>0.4771</v>
      </c>
      <c r="BO130" s="0" t="n">
        <v>0.009</v>
      </c>
      <c r="BP130" s="0" t="n">
        <v>0.1459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0.1973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0.0006</v>
      </c>
      <c r="CO130" s="0" t="n">
        <v>9.027</v>
      </c>
      <c r="CP130" s="0" t="n">
        <v>13.955</v>
      </c>
      <c r="CQ130" s="0" t="n">
        <v>29.4923</v>
      </c>
      <c r="CR130" s="0" t="n">
        <v>28.2435</v>
      </c>
      <c r="CS130" s="0" t="n">
        <v>22.0475</v>
      </c>
      <c r="CT130" s="0" t="n">
        <v>16.8821</v>
      </c>
      <c r="CU130" s="0" t="n">
        <v>17.0844</v>
      </c>
      <c r="CV130" s="0" t="n">
        <v>11.0766</v>
      </c>
      <c r="CW130" s="0" t="n">
        <v>11.6039</v>
      </c>
      <c r="CX130" s="0" t="n">
        <v>9.9479</v>
      </c>
      <c r="CY130" s="0" t="n">
        <v>9.9169</v>
      </c>
      <c r="CZ130" s="0" t="n">
        <v>7.5816</v>
      </c>
      <c r="DA130" s="0" t="n">
        <v>7.4334</v>
      </c>
      <c r="DB130" s="0" t="n">
        <v>7.7172</v>
      </c>
      <c r="DC130" s="0" t="n">
        <v>7.9873</v>
      </c>
      <c r="DD130" s="0" t="n">
        <v>8.9237</v>
      </c>
      <c r="DE130" s="0" t="n">
        <v>8.7037</v>
      </c>
      <c r="DF130" s="0" t="n">
        <v>6.8164</v>
      </c>
      <c r="DG130" s="0" t="n">
        <v>5.9848</v>
      </c>
      <c r="DH130" s="0" t="n">
        <v>8.1143</v>
      </c>
      <c r="DI130" s="0" t="n">
        <v>7.0628</v>
      </c>
      <c r="DJ130" s="0" t="n">
        <v>6.2789</v>
      </c>
      <c r="DK130" s="0" t="n">
        <v>6.9225</v>
      </c>
      <c r="DL130" s="0" t="n">
        <v>7.9396</v>
      </c>
      <c r="DM130" s="0" t="n">
        <v>10.4057</v>
      </c>
      <c r="DN130" s="0" t="n">
        <v>12.8451</v>
      </c>
      <c r="DO130" s="0" t="n">
        <v>11.4404</v>
      </c>
      <c r="DP130" s="0" t="n">
        <v>9.6862</v>
      </c>
      <c r="DQ130" s="0" t="n">
        <v>8.3007</v>
      </c>
      <c r="DR130" s="0" t="n">
        <v>7.8254</v>
      </c>
      <c r="DS130" s="0" t="n">
        <v>10.5124</v>
      </c>
      <c r="DT130" s="0" t="n">
        <v>8.8754</v>
      </c>
      <c r="DU130" s="0" t="n">
        <v>7.5981</v>
      </c>
      <c r="DV130" s="0" t="n">
        <v>7.4634</v>
      </c>
      <c r="DW130" s="0" t="n">
        <v>6.2637</v>
      </c>
      <c r="DX130" s="0" t="n">
        <v>3.026</v>
      </c>
      <c r="DY130" s="0" t="n">
        <v>2.5515</v>
      </c>
      <c r="DZ130" s="0" t="n">
        <v>2.3274</v>
      </c>
      <c r="EA130" s="0" t="n">
        <v>1.9992</v>
      </c>
      <c r="EB130" s="0" t="n">
        <v>1.1862</v>
      </c>
      <c r="EC130" s="0" t="n">
        <v>1.3618</v>
      </c>
      <c r="ED130" s="0" t="n">
        <v>1.0866</v>
      </c>
      <c r="EE130" s="0" t="n">
        <v>0.359</v>
      </c>
      <c r="EF130" s="0" t="n">
        <v>1.0505</v>
      </c>
      <c r="EG130" s="0" t="n">
        <v>0.3452</v>
      </c>
      <c r="EH130" s="0" t="n">
        <v>0.5241</v>
      </c>
      <c r="EI130" s="0" t="n">
        <v>0.7618</v>
      </c>
      <c r="EJ130" s="0" t="n">
        <v>1.111</v>
      </c>
      <c r="EK130" s="0" t="n">
        <v>0.2865</v>
      </c>
      <c r="EL130" s="0" t="n">
        <v>0.2739</v>
      </c>
      <c r="EM130" s="0" t="n">
        <v>0.2143</v>
      </c>
      <c r="EN130" s="0" t="n">
        <v>0.3029</v>
      </c>
      <c r="EO130" s="0" t="n">
        <v>0.2024</v>
      </c>
      <c r="EP130" s="0" t="n">
        <v>0</v>
      </c>
      <c r="EQ130" s="0" t="n">
        <v>0.417</v>
      </c>
      <c r="ER130" s="0" t="n">
        <v>0.008</v>
      </c>
      <c r="ES130" s="0" t="n">
        <v>0.1309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0</v>
      </c>
      <c r="EY130" s="0" t="n">
        <v>0</v>
      </c>
      <c r="EZ130" s="0" t="n">
        <v>0</v>
      </c>
      <c r="FA130" s="0" t="n">
        <v>0</v>
      </c>
      <c r="FB130" s="0" t="n">
        <v>0</v>
      </c>
      <c r="FC130" s="0" t="n">
        <v>0</v>
      </c>
      <c r="FD130" s="0" t="n">
        <v>0</v>
      </c>
      <c r="FE130" s="0" t="n">
        <v>0</v>
      </c>
      <c r="FF130" s="0" t="n">
        <v>0</v>
      </c>
      <c r="FG130" s="0" t="n">
        <v>0</v>
      </c>
      <c r="FH130" s="0" t="n">
        <v>0</v>
      </c>
      <c r="FI130" s="0" t="n">
        <v>0</v>
      </c>
      <c r="FJ130" s="0" t="n">
        <v>0</v>
      </c>
      <c r="FK130" s="0" t="n">
        <v>0</v>
      </c>
      <c r="FL130" s="0" t="n">
        <v>0.2364</v>
      </c>
      <c r="FM130" s="0" t="n">
        <v>0</v>
      </c>
      <c r="FN130" s="0" t="n">
        <v>0</v>
      </c>
      <c r="FO130" s="0" t="n">
        <v>0</v>
      </c>
      <c r="FP130" s="0" t="n">
        <v>0</v>
      </c>
    </row>
    <row r="131" customFormat="false" ht="13.8" hidden="false" customHeight="false" outlineLevel="0" collapsed="false">
      <c r="A131" s="2" t="s">
        <v>424</v>
      </c>
      <c r="B131" s="0" t="s">
        <v>173</v>
      </c>
      <c r="C131" s="0" t="n">
        <v>42</v>
      </c>
      <c r="D131" s="0" t="s">
        <v>425</v>
      </c>
      <c r="G131" s="0" t="n">
        <v>3685.3549</v>
      </c>
      <c r="H131" s="0" t="n">
        <v>199.6404</v>
      </c>
      <c r="I131" s="0" t="n">
        <v>627.1889</v>
      </c>
      <c r="J131" s="0" t="n">
        <v>0.49305</v>
      </c>
      <c r="K131" s="0" t="n">
        <v>0.0451</v>
      </c>
      <c r="L131" s="0" t="n">
        <v>408.7627</v>
      </c>
      <c r="M131" s="0" t="n">
        <v>385.9441</v>
      </c>
      <c r="N131" s="0" t="n">
        <v>498.6398</v>
      </c>
      <c r="O131" s="0" t="n">
        <v>364.8244</v>
      </c>
      <c r="P131" s="0" t="n">
        <v>264.6178</v>
      </c>
      <c r="Q131" s="0" t="n">
        <v>200.8357</v>
      </c>
      <c r="R131" s="0" t="n">
        <v>193.6987</v>
      </c>
      <c r="S131" s="0" t="n">
        <v>117.4136</v>
      </c>
      <c r="T131" s="0" t="n">
        <v>102.0267</v>
      </c>
      <c r="U131" s="0" t="n">
        <v>86.5184</v>
      </c>
      <c r="V131" s="0" t="n">
        <v>80.2313</v>
      </c>
      <c r="W131" s="0" t="n">
        <v>70.0847</v>
      </c>
      <c r="X131" s="0" t="n">
        <v>62.7474</v>
      </c>
      <c r="Y131" s="0" t="n">
        <v>47.2898</v>
      </c>
      <c r="Z131" s="0" t="n">
        <v>32.1342</v>
      </c>
      <c r="AA131" s="0" t="n">
        <v>31.2336</v>
      </c>
      <c r="AB131" s="0" t="n">
        <v>28.6263</v>
      </c>
      <c r="AC131" s="0" t="n">
        <v>23.9067</v>
      </c>
      <c r="AD131" s="0" t="n">
        <v>25.5222</v>
      </c>
      <c r="AE131" s="0" t="n">
        <v>26.9278</v>
      </c>
      <c r="AF131" s="0" t="n">
        <v>33.4375</v>
      </c>
      <c r="AG131" s="0" t="n">
        <v>39.1538</v>
      </c>
      <c r="AH131" s="0" t="n">
        <v>38.5653</v>
      </c>
      <c r="AI131" s="0" t="n">
        <v>42.1909</v>
      </c>
      <c r="AJ131" s="0" t="n">
        <v>39.5801</v>
      </c>
      <c r="AK131" s="0" t="n">
        <v>37.311</v>
      </c>
      <c r="AL131" s="0" t="n">
        <v>35.6516</v>
      </c>
      <c r="AM131" s="0" t="n">
        <v>36.7156</v>
      </c>
      <c r="AN131" s="0" t="n">
        <v>34.7373</v>
      </c>
      <c r="AO131" s="0" t="n">
        <v>32.3774</v>
      </c>
      <c r="AP131" s="0" t="n">
        <v>31.992</v>
      </c>
      <c r="AQ131" s="0" t="n">
        <v>28.7287</v>
      </c>
      <c r="AR131" s="0" t="n">
        <v>30.0522</v>
      </c>
      <c r="AS131" s="0" t="n">
        <v>25.0959</v>
      </c>
      <c r="AT131" s="0" t="n">
        <v>23.5671</v>
      </c>
      <c r="AU131" s="0" t="n">
        <v>15.59</v>
      </c>
      <c r="AV131" s="0" t="n">
        <v>11.6149</v>
      </c>
      <c r="AW131" s="0" t="n">
        <v>12.1076</v>
      </c>
      <c r="AX131" s="0" t="n">
        <v>11.2817</v>
      </c>
      <c r="AY131" s="0" t="n">
        <v>10.5672</v>
      </c>
      <c r="AZ131" s="0" t="n">
        <v>9.5725</v>
      </c>
      <c r="BA131" s="0" t="n">
        <v>7.1246</v>
      </c>
      <c r="BB131" s="0" t="n">
        <v>8.3188</v>
      </c>
      <c r="BC131" s="0" t="n">
        <v>5.559</v>
      </c>
      <c r="BD131" s="0" t="n">
        <v>4.4603</v>
      </c>
      <c r="BE131" s="0" t="n">
        <v>3.3012</v>
      </c>
      <c r="BF131" s="0" t="n">
        <v>3.1834</v>
      </c>
      <c r="BG131" s="0" t="n">
        <v>2.2897</v>
      </c>
      <c r="BH131" s="0" t="n">
        <v>1.7688</v>
      </c>
      <c r="BI131" s="0" t="n">
        <v>2.8558</v>
      </c>
      <c r="BJ131" s="0" t="n">
        <v>2.7459</v>
      </c>
      <c r="BK131" s="0" t="n">
        <v>1.4298</v>
      </c>
      <c r="BL131" s="0" t="n">
        <v>1.7185</v>
      </c>
      <c r="BM131" s="0" t="n">
        <v>1.2314</v>
      </c>
      <c r="BN131" s="0" t="n">
        <v>0.6542</v>
      </c>
      <c r="BO131" s="0" t="n">
        <v>0.2587</v>
      </c>
      <c r="BP131" s="0" t="n">
        <v>1.1047</v>
      </c>
      <c r="BQ131" s="0" t="n">
        <v>0.2084</v>
      </c>
      <c r="BR131" s="0" t="n">
        <v>0.2808</v>
      </c>
      <c r="BS131" s="0" t="n">
        <v>0.0957</v>
      </c>
      <c r="BT131" s="0" t="n">
        <v>0.5127</v>
      </c>
      <c r="BU131" s="0" t="n">
        <v>0.0264</v>
      </c>
      <c r="BV131" s="0" t="n">
        <v>0.3279</v>
      </c>
      <c r="BW131" s="0" t="n">
        <v>0.1797</v>
      </c>
      <c r="BX131" s="0" t="n">
        <v>0.1856</v>
      </c>
      <c r="BY131" s="0" t="n">
        <v>0.2417</v>
      </c>
      <c r="BZ131" s="0" t="n">
        <v>0.018</v>
      </c>
      <c r="CA131" s="0" t="n">
        <v>0.0661</v>
      </c>
      <c r="CB131" s="0" t="n">
        <v>0.0365</v>
      </c>
      <c r="CC131" s="0" t="n">
        <v>0.4018</v>
      </c>
      <c r="CD131" s="0" t="n">
        <v>0.1671</v>
      </c>
      <c r="CE131" s="0" t="n">
        <v>0.0471</v>
      </c>
      <c r="CF131" s="0" t="n">
        <v>0.0809</v>
      </c>
      <c r="CG131" s="0" t="n">
        <v>0.0725</v>
      </c>
      <c r="CH131" s="0" t="n">
        <v>0.1116</v>
      </c>
      <c r="CI131" s="0" t="n">
        <v>0.0201</v>
      </c>
      <c r="CJ131" s="0" t="n">
        <v>0.0069</v>
      </c>
      <c r="CK131" s="0" t="n">
        <v>0.0275</v>
      </c>
      <c r="CL131" s="0" t="n">
        <v>0.2544</v>
      </c>
      <c r="CM131" s="0" t="n">
        <v>0.4911</v>
      </c>
      <c r="CN131" s="0" t="n">
        <v>0.0006</v>
      </c>
      <c r="CO131" s="0" t="n">
        <v>10.6955</v>
      </c>
      <c r="CP131" s="0" t="n">
        <v>15.183</v>
      </c>
      <c r="CQ131" s="0" t="n">
        <v>27.4134</v>
      </c>
      <c r="CR131" s="0" t="n">
        <v>25.4314</v>
      </c>
      <c r="CS131" s="0" t="n">
        <v>22.7111</v>
      </c>
      <c r="CT131" s="0" t="n">
        <v>20.4738</v>
      </c>
      <c r="CU131" s="0" t="n">
        <v>22.753</v>
      </c>
      <c r="CV131" s="0" t="n">
        <v>15.6612</v>
      </c>
      <c r="CW131" s="0" t="n">
        <v>15.1935</v>
      </c>
      <c r="CX131" s="0" t="n">
        <v>14.2053</v>
      </c>
      <c r="CY131" s="0" t="n">
        <v>14.5406</v>
      </c>
      <c r="CZ131" s="0" t="n">
        <v>13.7525</v>
      </c>
      <c r="DA131" s="0" t="n">
        <v>13.2693</v>
      </c>
      <c r="DB131" s="0" t="n">
        <v>10.7578</v>
      </c>
      <c r="DC131" s="0" t="n">
        <v>7.8097</v>
      </c>
      <c r="DD131" s="0" t="n">
        <v>8.0927</v>
      </c>
      <c r="DE131" s="0" t="n">
        <v>7.8667</v>
      </c>
      <c r="DF131" s="0" t="n">
        <v>6.9423</v>
      </c>
      <c r="DG131" s="0" t="n">
        <v>7.8108</v>
      </c>
      <c r="DH131" s="0" t="n">
        <v>8.6782</v>
      </c>
      <c r="DI131" s="0" t="n">
        <v>11.3045</v>
      </c>
      <c r="DJ131" s="0" t="n">
        <v>13.837</v>
      </c>
      <c r="DK131" s="0" t="n">
        <v>14.2317</v>
      </c>
      <c r="DL131" s="0" t="n">
        <v>16.2406</v>
      </c>
      <c r="DM131" s="0" t="n">
        <v>15.825</v>
      </c>
      <c r="DN131" s="0" t="n">
        <v>15.5293</v>
      </c>
      <c r="DO131" s="0" t="n">
        <v>15.4237</v>
      </c>
      <c r="DP131" s="0" t="n">
        <v>16.4276</v>
      </c>
      <c r="DQ131" s="0" t="n">
        <v>16.0748</v>
      </c>
      <c r="DR131" s="0" t="n">
        <v>15.5178</v>
      </c>
      <c r="DS131" s="0" t="n">
        <v>15.831</v>
      </c>
      <c r="DT131" s="0" t="n">
        <v>14.6843</v>
      </c>
      <c r="DU131" s="0" t="n">
        <v>15.8082</v>
      </c>
      <c r="DV131" s="0" t="n">
        <v>13.5904</v>
      </c>
      <c r="DW131" s="0" t="n">
        <v>13.1476</v>
      </c>
      <c r="DX131" s="0" t="n">
        <v>8.9426</v>
      </c>
      <c r="DY131" s="0" t="n">
        <v>6.8318</v>
      </c>
      <c r="DZ131" s="0" t="n">
        <v>7.3219</v>
      </c>
      <c r="EA131" s="0" t="n">
        <v>6.9952</v>
      </c>
      <c r="EB131" s="0" t="n">
        <v>6.7176</v>
      </c>
      <c r="EC131" s="0" t="n">
        <v>6.247</v>
      </c>
      <c r="ED131" s="0" t="n">
        <v>4.7538</v>
      </c>
      <c r="EE131" s="0" t="n">
        <v>5.674</v>
      </c>
      <c r="EF131" s="0" t="n">
        <v>3.892</v>
      </c>
      <c r="EG131" s="0" t="n">
        <v>3.1808</v>
      </c>
      <c r="EH131" s="0" t="n">
        <v>2.4102</v>
      </c>
      <c r="EI131" s="0" t="n">
        <v>2.3735</v>
      </c>
      <c r="EJ131" s="0" t="n">
        <v>1.7447</v>
      </c>
      <c r="EK131" s="0" t="n">
        <v>1.3755</v>
      </c>
      <c r="EL131" s="0" t="n">
        <v>2.2637</v>
      </c>
      <c r="EM131" s="0" t="n">
        <v>2.2208</v>
      </c>
      <c r="EN131" s="0" t="n">
        <v>1.179</v>
      </c>
      <c r="EO131" s="0" t="n">
        <v>1.4405</v>
      </c>
      <c r="EP131" s="0" t="n">
        <v>1.0538</v>
      </c>
      <c r="EQ131" s="0" t="n">
        <v>0.5703</v>
      </c>
      <c r="ER131" s="0" t="n">
        <v>0.2304</v>
      </c>
      <c r="ES131" s="0" t="n">
        <v>0.9987</v>
      </c>
      <c r="ET131" s="0" t="n">
        <v>0.1917</v>
      </c>
      <c r="EU131" s="0" t="n">
        <v>0.2627</v>
      </c>
      <c r="EV131" s="0" t="n">
        <v>0.091</v>
      </c>
      <c r="EW131" s="0" t="n">
        <v>0.4938</v>
      </c>
      <c r="EX131" s="0" t="n">
        <v>0.0261</v>
      </c>
      <c r="EY131" s="0" t="n">
        <v>0.3281</v>
      </c>
      <c r="EZ131" s="0" t="n">
        <v>0.1826</v>
      </c>
      <c r="FA131" s="0" t="n">
        <v>0.192</v>
      </c>
      <c r="FB131" s="0" t="n">
        <v>0.2509</v>
      </c>
      <c r="FC131" s="0" t="n">
        <v>0.0191</v>
      </c>
      <c r="FD131" s="0" t="n">
        <v>0.0711</v>
      </c>
      <c r="FE131" s="0" t="n">
        <v>0.0396</v>
      </c>
      <c r="FF131" s="0" t="n">
        <v>0.4445</v>
      </c>
      <c r="FG131" s="0" t="n">
        <v>0.1873</v>
      </c>
      <c r="FH131" s="0" t="n">
        <v>0.0535</v>
      </c>
      <c r="FI131" s="0" t="n">
        <v>0.0936</v>
      </c>
      <c r="FJ131" s="0" t="n">
        <v>0.0849</v>
      </c>
      <c r="FK131" s="0" t="n">
        <v>0.1321</v>
      </c>
      <c r="FL131" s="0" t="n">
        <v>0.0241</v>
      </c>
      <c r="FM131" s="0" t="n">
        <v>0.0084</v>
      </c>
      <c r="FN131" s="0" t="n">
        <v>0.0338</v>
      </c>
      <c r="FO131" s="0" t="n">
        <v>0.3185</v>
      </c>
      <c r="FP131" s="0" t="n">
        <v>0.6652</v>
      </c>
    </row>
    <row r="132" customFormat="false" ht="13.8" hidden="false" customHeight="false" outlineLevel="0" collapsed="false">
      <c r="A132" s="2" t="s">
        <v>426</v>
      </c>
      <c r="B132" s="0" t="s">
        <v>176</v>
      </c>
      <c r="C132" s="0" t="n">
        <v>325</v>
      </c>
      <c r="D132" s="0" t="s">
        <v>427</v>
      </c>
      <c r="G132" s="0" t="n">
        <v>974.2848</v>
      </c>
      <c r="H132" s="0" t="n">
        <v>69.224</v>
      </c>
      <c r="I132" s="0" t="n">
        <v>217.4736</v>
      </c>
      <c r="J132" s="0" t="n">
        <v>0.7105</v>
      </c>
      <c r="K132" s="0" t="n">
        <v>0.0127</v>
      </c>
      <c r="L132" s="0" t="n">
        <v>71.8293</v>
      </c>
      <c r="M132" s="0" t="n">
        <v>67.7026</v>
      </c>
      <c r="N132" s="0" t="n">
        <v>97.2422</v>
      </c>
      <c r="O132" s="0" t="n">
        <v>84.687</v>
      </c>
      <c r="P132" s="0" t="n">
        <v>63.8121</v>
      </c>
      <c r="Q132" s="0" t="n">
        <v>44.0285</v>
      </c>
      <c r="R132" s="0" t="n">
        <v>38.7884</v>
      </c>
      <c r="S132" s="0" t="n">
        <v>25.3643</v>
      </c>
      <c r="T132" s="0" t="n">
        <v>26.6521</v>
      </c>
      <c r="U132" s="0" t="n">
        <v>35.4252</v>
      </c>
      <c r="V132" s="0" t="n">
        <v>27.5977</v>
      </c>
      <c r="W132" s="0" t="n">
        <v>22.5559</v>
      </c>
      <c r="X132" s="0" t="n">
        <v>22.9569</v>
      </c>
      <c r="Y132" s="0" t="n">
        <v>16.7671</v>
      </c>
      <c r="Z132" s="0" t="n">
        <v>17.9629</v>
      </c>
      <c r="AA132" s="0" t="n">
        <v>16.9496</v>
      </c>
      <c r="AB132" s="0" t="n">
        <v>15.0827</v>
      </c>
      <c r="AC132" s="0" t="n">
        <v>11.508</v>
      </c>
      <c r="AD132" s="0" t="n">
        <v>10.2182</v>
      </c>
      <c r="AE132" s="0" t="n">
        <v>12.3638</v>
      </c>
      <c r="AF132" s="0" t="n">
        <v>13.1333</v>
      </c>
      <c r="AG132" s="0" t="n">
        <v>12.0144</v>
      </c>
      <c r="AH132" s="0" t="n">
        <v>10.8694</v>
      </c>
      <c r="AI132" s="0" t="n">
        <v>10.6602</v>
      </c>
      <c r="AJ132" s="0" t="n">
        <v>10.0468</v>
      </c>
      <c r="AK132" s="0" t="n">
        <v>13.7182</v>
      </c>
      <c r="AL132" s="0" t="n">
        <v>14.4727</v>
      </c>
      <c r="AM132" s="0" t="n">
        <v>18.4793</v>
      </c>
      <c r="AN132" s="0" t="n">
        <v>13.0715</v>
      </c>
      <c r="AO132" s="0" t="n">
        <v>12.1463</v>
      </c>
      <c r="AP132" s="0" t="n">
        <v>9.722</v>
      </c>
      <c r="AQ132" s="0" t="n">
        <v>13.3686</v>
      </c>
      <c r="AR132" s="0" t="n">
        <v>10.4842</v>
      </c>
      <c r="AS132" s="0" t="n">
        <v>7.829</v>
      </c>
      <c r="AT132" s="0" t="n">
        <v>13.322</v>
      </c>
      <c r="AU132" s="0" t="n">
        <v>9.8899</v>
      </c>
      <c r="AV132" s="0" t="n">
        <v>8.3892</v>
      </c>
      <c r="AW132" s="0" t="n">
        <v>4.9359</v>
      </c>
      <c r="AX132" s="0" t="n">
        <v>6.039</v>
      </c>
      <c r="AY132" s="0" t="n">
        <v>5.3545</v>
      </c>
      <c r="AZ132" s="0" t="n">
        <v>3.1646</v>
      </c>
      <c r="BA132" s="0" t="n">
        <v>3.6243</v>
      </c>
      <c r="BB132" s="0" t="n">
        <v>3.0746</v>
      </c>
      <c r="BC132" s="0" t="n">
        <v>2.6807</v>
      </c>
      <c r="BD132" s="0" t="n">
        <v>3.1383</v>
      </c>
      <c r="BE132" s="0" t="n">
        <v>2.8273</v>
      </c>
      <c r="BF132" s="0" t="n">
        <v>1.8655</v>
      </c>
      <c r="BG132" s="0" t="n">
        <v>1.4246</v>
      </c>
      <c r="BH132" s="0" t="n">
        <v>1.2121</v>
      </c>
      <c r="BI132" s="0" t="n">
        <v>0.6284</v>
      </c>
      <c r="BJ132" s="0" t="n">
        <v>0.7153</v>
      </c>
      <c r="BK132" s="0" t="n">
        <v>1.0123</v>
      </c>
      <c r="BL132" s="0" t="n">
        <v>0.3965</v>
      </c>
      <c r="BM132" s="0" t="n">
        <v>0.1432</v>
      </c>
      <c r="BN132" s="0" t="n">
        <v>0.1062</v>
      </c>
      <c r="BO132" s="0" t="n">
        <v>0.0677</v>
      </c>
      <c r="BP132" s="0" t="n">
        <v>0.0227</v>
      </c>
      <c r="BQ132" s="0" t="n">
        <v>0</v>
      </c>
      <c r="BR132" s="0" t="n">
        <v>0.1148</v>
      </c>
      <c r="BS132" s="0" t="n">
        <v>0.0539</v>
      </c>
      <c r="BT132" s="0" t="n">
        <v>0.0333</v>
      </c>
      <c r="BU132" s="0" t="n">
        <v>0.1438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0.1248</v>
      </c>
      <c r="CE132" s="0" t="n">
        <v>0.0137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0</v>
      </c>
      <c r="CN132" s="0" t="n">
        <v>0.0002</v>
      </c>
      <c r="CO132" s="0" t="n">
        <v>1.8853</v>
      </c>
      <c r="CP132" s="0" t="n">
        <v>2.6186</v>
      </c>
      <c r="CQ132" s="0" t="n">
        <v>5.3453</v>
      </c>
      <c r="CR132" s="0" t="n">
        <v>5.9057</v>
      </c>
      <c r="CS132" s="0" t="n">
        <v>5.4876</v>
      </c>
      <c r="CT132" s="0" t="n">
        <v>4.4554</v>
      </c>
      <c r="CU132" s="0" t="n">
        <v>4.5732</v>
      </c>
      <c r="CV132" s="0" t="n">
        <v>3.389</v>
      </c>
      <c r="CW132" s="0" t="n">
        <v>3.9681</v>
      </c>
      <c r="CX132" s="0" t="n">
        <v>5.8375</v>
      </c>
      <c r="CY132" s="0" t="n">
        <v>4.9786</v>
      </c>
      <c r="CZ132" s="0" t="n">
        <v>4.4284</v>
      </c>
      <c r="DA132" s="0" t="n">
        <v>4.8532</v>
      </c>
      <c r="DB132" s="0" t="n">
        <v>3.8193</v>
      </c>
      <c r="DC132" s="0" t="n">
        <v>4.3827</v>
      </c>
      <c r="DD132" s="0" t="n">
        <v>4.3823</v>
      </c>
      <c r="DE132" s="0" t="n">
        <v>4.1405</v>
      </c>
      <c r="DF132" s="0" t="n">
        <v>3.3362</v>
      </c>
      <c r="DG132" s="0" t="n">
        <v>3.1263</v>
      </c>
      <c r="DH132" s="0" t="n">
        <v>3.9863</v>
      </c>
      <c r="DI132" s="0" t="n">
        <v>4.44</v>
      </c>
      <c r="DJ132" s="0" t="n">
        <v>4.2456</v>
      </c>
      <c r="DK132" s="0" t="n">
        <v>4.0077</v>
      </c>
      <c r="DL132" s="0" t="n">
        <v>4.1006</v>
      </c>
      <c r="DM132" s="0" t="n">
        <v>4.0201</v>
      </c>
      <c r="DN132" s="0" t="n">
        <v>5.7152</v>
      </c>
      <c r="DO132" s="0" t="n">
        <v>6.2671</v>
      </c>
      <c r="DP132" s="0" t="n">
        <v>8.2717</v>
      </c>
      <c r="DQ132" s="0" t="n">
        <v>6.059</v>
      </c>
      <c r="DR132" s="0" t="n">
        <v>5.8265</v>
      </c>
      <c r="DS132" s="0" t="n">
        <v>4.8101</v>
      </c>
      <c r="DT132" s="0" t="n">
        <v>6.8183</v>
      </c>
      <c r="DU132" s="0" t="n">
        <v>5.5244</v>
      </c>
      <c r="DV132" s="0" t="n">
        <v>4.2439</v>
      </c>
      <c r="DW132" s="0" t="n">
        <v>7.4352</v>
      </c>
      <c r="DX132" s="0" t="n">
        <v>5.6747</v>
      </c>
      <c r="DY132" s="0" t="n">
        <v>4.933</v>
      </c>
      <c r="DZ132" s="0" t="n">
        <v>2.9867</v>
      </c>
      <c r="EA132" s="0" t="n">
        <v>3.7494</v>
      </c>
      <c r="EB132" s="0" t="n">
        <v>3.4026</v>
      </c>
      <c r="EC132" s="0" t="n">
        <v>2.0598</v>
      </c>
      <c r="ED132" s="0" t="n">
        <v>2.4193</v>
      </c>
      <c r="EE132" s="0" t="n">
        <v>2.1025</v>
      </c>
      <c r="EF132" s="0" t="n">
        <v>1.8701</v>
      </c>
      <c r="EG132" s="0" t="n">
        <v>2.2351</v>
      </c>
      <c r="EH132" s="0" t="n">
        <v>2.0653</v>
      </c>
      <c r="EI132" s="0" t="n">
        <v>1.3902</v>
      </c>
      <c r="EJ132" s="0" t="n">
        <v>1.0835</v>
      </c>
      <c r="EK132" s="0" t="n">
        <v>0.9423</v>
      </c>
      <c r="EL132" s="0" t="n">
        <v>0.4986</v>
      </c>
      <c r="EM132" s="0" t="n">
        <v>0.5787</v>
      </c>
      <c r="EN132" s="0" t="n">
        <v>0.8378</v>
      </c>
      <c r="EO132" s="0" t="n">
        <v>0.3316</v>
      </c>
      <c r="EP132" s="0" t="n">
        <v>0.122</v>
      </c>
      <c r="EQ132" s="0" t="n">
        <v>0.0929</v>
      </c>
      <c r="ER132" s="0" t="n">
        <v>0.0596</v>
      </c>
      <c r="ES132" s="0" t="n">
        <v>0.0204</v>
      </c>
      <c r="ET132" s="0" t="n">
        <v>0</v>
      </c>
      <c r="EU132" s="0" t="n">
        <v>0.1074</v>
      </c>
      <c r="EV132" s="0" t="n">
        <v>0.0514</v>
      </c>
      <c r="EW132" s="0" t="n">
        <v>0.0322</v>
      </c>
      <c r="EX132" s="0" t="n">
        <v>0.1411</v>
      </c>
      <c r="EY132" s="0" t="n">
        <v>0</v>
      </c>
      <c r="EZ132" s="0" t="n">
        <v>0</v>
      </c>
      <c r="FA132" s="0" t="n">
        <v>0</v>
      </c>
      <c r="FB132" s="0" t="n">
        <v>0</v>
      </c>
      <c r="FC132" s="0" t="n">
        <v>0</v>
      </c>
      <c r="FD132" s="0" t="n">
        <v>0</v>
      </c>
      <c r="FE132" s="0" t="n">
        <v>0</v>
      </c>
      <c r="FF132" s="0" t="n">
        <v>0</v>
      </c>
      <c r="FG132" s="0" t="n">
        <v>0.1408</v>
      </c>
      <c r="FH132" s="0" t="n">
        <v>0.0156</v>
      </c>
      <c r="FI132" s="0" t="n">
        <v>0</v>
      </c>
      <c r="FJ132" s="0" t="n">
        <v>0</v>
      </c>
      <c r="FK132" s="0" t="n">
        <v>0</v>
      </c>
      <c r="FL132" s="0" t="n">
        <v>0</v>
      </c>
      <c r="FM132" s="0" t="n">
        <v>0</v>
      </c>
      <c r="FN132" s="0" t="n">
        <v>0</v>
      </c>
      <c r="FO132" s="0" t="n">
        <v>0</v>
      </c>
      <c r="FP132" s="0" t="n">
        <v>0</v>
      </c>
    </row>
    <row r="133" customFormat="false" ht="13.8" hidden="false" customHeight="false" outlineLevel="0" collapsed="false">
      <c r="A133" s="2" t="s">
        <v>428</v>
      </c>
      <c r="B133" s="0" t="s">
        <v>176</v>
      </c>
      <c r="C133" s="0" t="n">
        <v>283</v>
      </c>
      <c r="D133" s="0" t="s">
        <v>429</v>
      </c>
      <c r="G133" s="0" t="n">
        <v>983.5668</v>
      </c>
      <c r="H133" s="0" t="n">
        <v>57.905</v>
      </c>
      <c r="I133" s="0" t="n">
        <v>181.9139</v>
      </c>
      <c r="J133" s="0" t="n">
        <v>0.5887</v>
      </c>
      <c r="K133" s="0" t="n">
        <v>0</v>
      </c>
      <c r="L133" s="0" t="n">
        <v>115.1446</v>
      </c>
      <c r="M133" s="0" t="n">
        <v>98.3014</v>
      </c>
      <c r="N133" s="0" t="n">
        <v>113.3891</v>
      </c>
      <c r="O133" s="0" t="n">
        <v>82.2693</v>
      </c>
      <c r="P133" s="0" t="n">
        <v>63.0877</v>
      </c>
      <c r="Q133" s="0" t="n">
        <v>36.3185</v>
      </c>
      <c r="R133" s="0" t="n">
        <v>37.7157</v>
      </c>
      <c r="S133" s="0" t="n">
        <v>30.7325</v>
      </c>
      <c r="T133" s="0" t="n">
        <v>36.4888</v>
      </c>
      <c r="U133" s="0" t="n">
        <v>35.183</v>
      </c>
      <c r="V133" s="0" t="n">
        <v>31.8676</v>
      </c>
      <c r="W133" s="0" t="n">
        <v>33.1081</v>
      </c>
      <c r="X133" s="0" t="n">
        <v>23.7846</v>
      </c>
      <c r="Y133" s="0" t="n">
        <v>17.1685</v>
      </c>
      <c r="Z133" s="0" t="n">
        <v>19.2183</v>
      </c>
      <c r="AA133" s="0" t="n">
        <v>14.4929</v>
      </c>
      <c r="AB133" s="0" t="n">
        <v>11.4554</v>
      </c>
      <c r="AC133" s="0" t="n">
        <v>6.779</v>
      </c>
      <c r="AD133" s="0" t="n">
        <v>5.8204</v>
      </c>
      <c r="AE133" s="0" t="n">
        <v>7.6955</v>
      </c>
      <c r="AF133" s="0" t="n">
        <v>8.0583</v>
      </c>
      <c r="AG133" s="0" t="n">
        <v>6.7378</v>
      </c>
      <c r="AH133" s="0" t="n">
        <v>6.4118</v>
      </c>
      <c r="AI133" s="0" t="n">
        <v>6.2006</v>
      </c>
      <c r="AJ133" s="0" t="n">
        <v>7.9554</v>
      </c>
      <c r="AK133" s="0" t="n">
        <v>7.0765</v>
      </c>
      <c r="AL133" s="0" t="n">
        <v>7.3574</v>
      </c>
      <c r="AM133" s="0" t="n">
        <v>9.137</v>
      </c>
      <c r="AN133" s="0" t="n">
        <v>9.1653</v>
      </c>
      <c r="AO133" s="0" t="n">
        <v>10.8294</v>
      </c>
      <c r="AP133" s="0" t="n">
        <v>7.1619</v>
      </c>
      <c r="AQ133" s="0" t="n">
        <v>6.5414</v>
      </c>
      <c r="AR133" s="0" t="n">
        <v>8.6785</v>
      </c>
      <c r="AS133" s="0" t="n">
        <v>7.9198</v>
      </c>
      <c r="AT133" s="0" t="n">
        <v>4.9331</v>
      </c>
      <c r="AU133" s="0" t="n">
        <v>4.047</v>
      </c>
      <c r="AV133" s="0" t="n">
        <v>4.3308</v>
      </c>
      <c r="AW133" s="0" t="n">
        <v>4.4665</v>
      </c>
      <c r="AX133" s="0" t="n">
        <v>5.2514</v>
      </c>
      <c r="AY133" s="0" t="n">
        <v>2.842</v>
      </c>
      <c r="AZ133" s="0" t="n">
        <v>2.4299</v>
      </c>
      <c r="BA133" s="0" t="n">
        <v>2.9399</v>
      </c>
      <c r="BB133" s="0" t="n">
        <v>2.0075</v>
      </c>
      <c r="BC133" s="0" t="n">
        <v>1.4071</v>
      </c>
      <c r="BD133" s="0" t="n">
        <v>1.7552</v>
      </c>
      <c r="BE133" s="0" t="n">
        <v>2.0132</v>
      </c>
      <c r="BF133" s="0" t="n">
        <v>1.6485</v>
      </c>
      <c r="BG133" s="0" t="n">
        <v>1.0362</v>
      </c>
      <c r="BH133" s="0" t="n">
        <v>1.483</v>
      </c>
      <c r="BI133" s="0" t="n">
        <v>0.7569</v>
      </c>
      <c r="BJ133" s="0" t="n">
        <v>1.8891</v>
      </c>
      <c r="BK133" s="0" t="n">
        <v>1.7321</v>
      </c>
      <c r="BL133" s="0" t="n">
        <v>0.4618</v>
      </c>
      <c r="BM133" s="0" t="n">
        <v>1.558</v>
      </c>
      <c r="BN133" s="0" t="n">
        <v>0.8049</v>
      </c>
      <c r="BO133" s="0" t="n">
        <v>0.9337</v>
      </c>
      <c r="BP133" s="0" t="n">
        <v>0.1376</v>
      </c>
      <c r="BQ133" s="0" t="n">
        <v>0.468</v>
      </c>
      <c r="BR133" s="0" t="n">
        <v>0.2605</v>
      </c>
      <c r="BS133" s="0" t="n">
        <v>0.7205</v>
      </c>
      <c r="BT133" s="0" t="n">
        <v>0.6908</v>
      </c>
      <c r="BU133" s="0" t="n">
        <v>0.1686</v>
      </c>
      <c r="BV133" s="0" t="n">
        <v>0</v>
      </c>
      <c r="BW133" s="0" t="n">
        <v>0.4148</v>
      </c>
      <c r="BX133" s="0" t="n">
        <v>0.1671</v>
      </c>
      <c r="BY133" s="0" t="n">
        <v>0.0677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3.003</v>
      </c>
      <c r="CP133" s="0" t="n">
        <v>3.8425</v>
      </c>
      <c r="CQ133" s="0" t="n">
        <v>6.1746</v>
      </c>
      <c r="CR133" s="0" t="n">
        <v>5.7358</v>
      </c>
      <c r="CS133" s="0" t="n">
        <v>5.4138</v>
      </c>
      <c r="CT133" s="0" t="n">
        <v>3.6982</v>
      </c>
      <c r="CU133" s="0" t="n">
        <v>4.4435</v>
      </c>
      <c r="CV133" s="0" t="n">
        <v>4.1097</v>
      </c>
      <c r="CW133" s="0" t="n">
        <v>5.4501</v>
      </c>
      <c r="CX133" s="0" t="n">
        <v>5.7814</v>
      </c>
      <c r="CY133" s="0" t="n">
        <v>5.7706</v>
      </c>
      <c r="CZ133" s="0" t="n">
        <v>6.4962</v>
      </c>
      <c r="DA133" s="0" t="n">
        <v>5.0285</v>
      </c>
      <c r="DB133" s="0" t="n">
        <v>3.9129</v>
      </c>
      <c r="DC133" s="0" t="n">
        <v>4.6711</v>
      </c>
      <c r="DD133" s="0" t="n">
        <v>3.7503</v>
      </c>
      <c r="DE133" s="0" t="n">
        <v>3.1523</v>
      </c>
      <c r="DF133" s="0" t="n">
        <v>1.9627</v>
      </c>
      <c r="DG133" s="0" t="n">
        <v>1.7816</v>
      </c>
      <c r="DH133" s="0" t="n">
        <v>2.4769</v>
      </c>
      <c r="DI133" s="0" t="n">
        <v>2.7243</v>
      </c>
      <c r="DJ133" s="0" t="n">
        <v>2.3715</v>
      </c>
      <c r="DK133" s="0" t="n">
        <v>2.3612</v>
      </c>
      <c r="DL133" s="0" t="n">
        <v>2.3848</v>
      </c>
      <c r="DM133" s="0" t="n">
        <v>3.1826</v>
      </c>
      <c r="DN133" s="0" t="n">
        <v>2.9432</v>
      </c>
      <c r="DO133" s="0" t="n">
        <v>3.1884</v>
      </c>
      <c r="DP133" s="0" t="n">
        <v>4.0863</v>
      </c>
      <c r="DQ133" s="0" t="n">
        <v>4.2424</v>
      </c>
      <c r="DR133" s="0" t="n">
        <v>5.1768</v>
      </c>
      <c r="DS133" s="0" t="n">
        <v>3.5432</v>
      </c>
      <c r="DT133" s="0" t="n">
        <v>3.3414</v>
      </c>
      <c r="DU133" s="0" t="n">
        <v>4.5637</v>
      </c>
      <c r="DV133" s="0" t="n">
        <v>4.2886</v>
      </c>
      <c r="DW133" s="0" t="n">
        <v>2.7471</v>
      </c>
      <c r="DX133" s="0" t="n">
        <v>2.3182</v>
      </c>
      <c r="DY133" s="0" t="n">
        <v>2.5414</v>
      </c>
      <c r="DZ133" s="0" t="n">
        <v>2.6901</v>
      </c>
      <c r="EA133" s="0" t="n">
        <v>3.251</v>
      </c>
      <c r="EB133" s="0" t="n">
        <v>1.8081</v>
      </c>
      <c r="EC133" s="0" t="n">
        <v>1.5877</v>
      </c>
      <c r="ED133" s="0" t="n">
        <v>1.9633</v>
      </c>
      <c r="EE133" s="0" t="n">
        <v>1.3717</v>
      </c>
      <c r="EF133" s="0" t="n">
        <v>0.9808</v>
      </c>
      <c r="EG133" s="0" t="n">
        <v>1.253</v>
      </c>
      <c r="EH133" s="0" t="n">
        <v>1.4666</v>
      </c>
      <c r="EI133" s="0" t="n">
        <v>1.2325</v>
      </c>
      <c r="EJ133" s="0" t="n">
        <v>0.7918</v>
      </c>
      <c r="EK133" s="0" t="n">
        <v>1.1561</v>
      </c>
      <c r="EL133" s="0" t="n">
        <v>0.5996</v>
      </c>
      <c r="EM133" s="0" t="n">
        <v>1.5285</v>
      </c>
      <c r="EN133" s="0" t="n">
        <v>1.4304</v>
      </c>
      <c r="EO133" s="0" t="n">
        <v>0.3883</v>
      </c>
      <c r="EP133" s="0" t="n">
        <v>1.3327</v>
      </c>
      <c r="EQ133" s="0" t="n">
        <v>0.7039</v>
      </c>
      <c r="ER133" s="0" t="n">
        <v>0.8266</v>
      </c>
      <c r="ES133" s="0" t="n">
        <v>0.124</v>
      </c>
      <c r="ET133" s="0" t="n">
        <v>0.4294</v>
      </c>
      <c r="EU133" s="0" t="n">
        <v>0.2434</v>
      </c>
      <c r="EV133" s="0" t="n">
        <v>0.6872</v>
      </c>
      <c r="EW133" s="0" t="n">
        <v>0.6651</v>
      </c>
      <c r="EX133" s="0" t="n">
        <v>0.1663</v>
      </c>
      <c r="EY133" s="0" t="n">
        <v>0</v>
      </c>
      <c r="EZ133" s="0" t="n">
        <v>0.4186</v>
      </c>
      <c r="FA133" s="0" t="n">
        <v>0.1706</v>
      </c>
      <c r="FB133" s="0" t="n">
        <v>0.0711</v>
      </c>
      <c r="FC133" s="0" t="n">
        <v>0</v>
      </c>
      <c r="FD133" s="0" t="n">
        <v>0</v>
      </c>
      <c r="FE133" s="0" t="n">
        <v>0</v>
      </c>
      <c r="FF133" s="0" t="n">
        <v>0</v>
      </c>
      <c r="FG133" s="0" t="n">
        <v>0</v>
      </c>
      <c r="FH133" s="0" t="n">
        <v>0</v>
      </c>
      <c r="FI133" s="0" t="n">
        <v>0</v>
      </c>
      <c r="FJ133" s="0" t="n">
        <v>0</v>
      </c>
      <c r="FK133" s="0" t="n">
        <v>0</v>
      </c>
      <c r="FL133" s="0" t="n">
        <v>0</v>
      </c>
      <c r="FM133" s="0" t="n">
        <v>0</v>
      </c>
      <c r="FN133" s="0" t="n">
        <v>0</v>
      </c>
      <c r="FO133" s="0" t="n">
        <v>0</v>
      </c>
      <c r="FP133" s="0" t="n">
        <v>0</v>
      </c>
    </row>
    <row r="134" customFormat="false" ht="13.8" hidden="false" customHeight="false" outlineLevel="0" collapsed="false">
      <c r="A134" s="2" t="s">
        <v>430</v>
      </c>
      <c r="B134" s="0" t="s">
        <v>173</v>
      </c>
      <c r="C134" s="0" t="n">
        <v>127</v>
      </c>
      <c r="D134" s="0" t="s">
        <v>431</v>
      </c>
      <c r="G134" s="0" t="n">
        <v>1483.0828</v>
      </c>
      <c r="H134" s="0" t="n">
        <v>100.0929</v>
      </c>
      <c r="I134" s="0" t="n">
        <v>314.4511</v>
      </c>
      <c r="J134" s="0" t="n">
        <v>0.6927</v>
      </c>
      <c r="K134" s="0" t="n">
        <v>0</v>
      </c>
      <c r="L134" s="0" t="n">
        <v>116.6608</v>
      </c>
      <c r="M134" s="0" t="n">
        <v>92.5258</v>
      </c>
      <c r="N134" s="0" t="n">
        <v>126.1536</v>
      </c>
      <c r="O134" s="0" t="n">
        <v>93.6099</v>
      </c>
      <c r="P134" s="0" t="n">
        <v>76.4817</v>
      </c>
      <c r="Q134" s="0" t="n">
        <v>62.6545</v>
      </c>
      <c r="R134" s="0" t="n">
        <v>64.8115</v>
      </c>
      <c r="S134" s="0" t="n">
        <v>51.6797</v>
      </c>
      <c r="T134" s="0" t="n">
        <v>55.9905</v>
      </c>
      <c r="U134" s="0" t="n">
        <v>57.1515</v>
      </c>
      <c r="V134" s="0" t="n">
        <v>56.3517</v>
      </c>
      <c r="W134" s="0" t="n">
        <v>45.8361</v>
      </c>
      <c r="X134" s="0" t="n">
        <v>45.535</v>
      </c>
      <c r="Y134" s="0" t="n">
        <v>38.5594</v>
      </c>
      <c r="Z134" s="0" t="n">
        <v>37.2289</v>
      </c>
      <c r="AA134" s="0" t="n">
        <v>26.3109</v>
      </c>
      <c r="AB134" s="0" t="n">
        <v>27.6543</v>
      </c>
      <c r="AC134" s="0" t="n">
        <v>27.1349</v>
      </c>
      <c r="AD134" s="0" t="n">
        <v>24.2217</v>
      </c>
      <c r="AE134" s="0" t="n">
        <v>22.7439</v>
      </c>
      <c r="AF134" s="0" t="n">
        <v>23.2814</v>
      </c>
      <c r="AG134" s="0" t="n">
        <v>20.5432</v>
      </c>
      <c r="AH134" s="0" t="n">
        <v>22.0311</v>
      </c>
      <c r="AI134" s="0" t="n">
        <v>21.3309</v>
      </c>
      <c r="AJ134" s="0" t="n">
        <v>22.571</v>
      </c>
      <c r="AK134" s="0" t="n">
        <v>24.1886</v>
      </c>
      <c r="AL134" s="0" t="n">
        <v>23.439</v>
      </c>
      <c r="AM134" s="0" t="n">
        <v>24.3549</v>
      </c>
      <c r="AN134" s="0" t="n">
        <v>20.79</v>
      </c>
      <c r="AO134" s="0" t="n">
        <v>17.1634</v>
      </c>
      <c r="AP134" s="0" t="n">
        <v>19.5858</v>
      </c>
      <c r="AQ134" s="0" t="n">
        <v>16.7244</v>
      </c>
      <c r="AR134" s="0" t="n">
        <v>18.3318</v>
      </c>
      <c r="AS134" s="0" t="n">
        <v>14.269</v>
      </c>
      <c r="AT134" s="0" t="n">
        <v>10.626</v>
      </c>
      <c r="AU134" s="0" t="n">
        <v>7.3012</v>
      </c>
      <c r="AV134" s="0" t="n">
        <v>5.3953</v>
      </c>
      <c r="AW134" s="0" t="n">
        <v>4.9868</v>
      </c>
      <c r="AX134" s="0" t="n">
        <v>4.0387</v>
      </c>
      <c r="AY134" s="0" t="n">
        <v>3.3356</v>
      </c>
      <c r="AZ134" s="0" t="n">
        <v>2.1974</v>
      </c>
      <c r="BA134" s="0" t="n">
        <v>1.803</v>
      </c>
      <c r="BB134" s="0" t="n">
        <v>1.5426</v>
      </c>
      <c r="BC134" s="0" t="n">
        <v>0.3299</v>
      </c>
      <c r="BD134" s="0" t="n">
        <v>0.4055</v>
      </c>
      <c r="BE134" s="0" t="n">
        <v>0.6827</v>
      </c>
      <c r="BF134" s="0" t="n">
        <v>0.6428</v>
      </c>
      <c r="BG134" s="0" t="n">
        <v>0.3153</v>
      </c>
      <c r="BH134" s="0" t="n">
        <v>0.2454</v>
      </c>
      <c r="BI134" s="0" t="n">
        <v>0.193</v>
      </c>
      <c r="BJ134" s="0" t="n">
        <v>0.1375</v>
      </c>
      <c r="BK134" s="0" t="n">
        <v>0.0064</v>
      </c>
      <c r="BL134" s="0" t="n">
        <v>0.1474</v>
      </c>
      <c r="BM134" s="0" t="n">
        <v>0.0317</v>
      </c>
      <c r="BN134" s="0" t="n">
        <v>0.0069</v>
      </c>
      <c r="BO134" s="0" t="n">
        <v>0.0127</v>
      </c>
      <c r="BP134" s="0" t="n">
        <v>0.0127</v>
      </c>
      <c r="BQ134" s="0" t="n">
        <v>0.0127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0</v>
      </c>
      <c r="CN134" s="0" t="n">
        <v>0</v>
      </c>
      <c r="CO134" s="0" t="n">
        <v>3.0242</v>
      </c>
      <c r="CP134" s="0" t="n">
        <v>3.5859</v>
      </c>
      <c r="CQ134" s="0" t="n">
        <v>6.9038</v>
      </c>
      <c r="CR134" s="0" t="n">
        <v>6.5402</v>
      </c>
      <c r="CS134" s="0" t="n">
        <v>6.581</v>
      </c>
      <c r="CT134" s="0" t="n">
        <v>6.3902</v>
      </c>
      <c r="CU134" s="0" t="n">
        <v>7.6417</v>
      </c>
      <c r="CV134" s="0" t="n">
        <v>6.923</v>
      </c>
      <c r="CW134" s="0" t="n">
        <v>8.3379</v>
      </c>
      <c r="CX134" s="0" t="n">
        <v>9.4162</v>
      </c>
      <c r="CY134" s="0" t="n">
        <v>10.2143</v>
      </c>
      <c r="CZ134" s="0" t="n">
        <v>8.9729</v>
      </c>
      <c r="DA134" s="0" t="n">
        <v>9.6629</v>
      </c>
      <c r="DB134" s="0" t="n">
        <v>8.7877</v>
      </c>
      <c r="DC134" s="0" t="n">
        <v>9.0653</v>
      </c>
      <c r="DD134" s="0" t="n">
        <v>6.8143</v>
      </c>
      <c r="DE134" s="0" t="n">
        <v>7.5987</v>
      </c>
      <c r="DF134" s="0" t="n">
        <v>7.8828</v>
      </c>
      <c r="DG134" s="0" t="n">
        <v>7.4112</v>
      </c>
      <c r="DH134" s="0" t="n">
        <v>7.3268</v>
      </c>
      <c r="DI134" s="0" t="n">
        <v>7.8778</v>
      </c>
      <c r="DJ134" s="0" t="n">
        <v>7.255</v>
      </c>
      <c r="DK134" s="0" t="n">
        <v>8.1376</v>
      </c>
      <c r="DL134" s="0" t="n">
        <v>8.2054</v>
      </c>
      <c r="DM134" s="0" t="n">
        <v>9.0354</v>
      </c>
      <c r="DN134" s="0" t="n">
        <v>10.0736</v>
      </c>
      <c r="DO134" s="0" t="n">
        <v>10.1411</v>
      </c>
      <c r="DP134" s="0" t="n">
        <v>10.9006</v>
      </c>
      <c r="DQ134" s="0" t="n">
        <v>9.6153</v>
      </c>
      <c r="DR134" s="0" t="n">
        <v>8.2205</v>
      </c>
      <c r="DS134" s="0" t="n">
        <v>9.6949</v>
      </c>
      <c r="DT134" s="0" t="n">
        <v>8.5288</v>
      </c>
      <c r="DU134" s="0" t="n">
        <v>9.6381</v>
      </c>
      <c r="DV134" s="0" t="n">
        <v>7.7267</v>
      </c>
      <c r="DW134" s="0" t="n">
        <v>5.9155</v>
      </c>
      <c r="DX134" s="0" t="n">
        <v>4.181</v>
      </c>
      <c r="DY134" s="0" t="n">
        <v>3.1752</v>
      </c>
      <c r="DZ134" s="0" t="n">
        <v>3.0079</v>
      </c>
      <c r="EA134" s="0" t="n">
        <v>2.5076</v>
      </c>
      <c r="EB134" s="0" t="n">
        <v>2.1246</v>
      </c>
      <c r="EC134" s="0" t="n">
        <v>1.4324</v>
      </c>
      <c r="ED134" s="0" t="n">
        <v>1.2037</v>
      </c>
      <c r="EE134" s="0" t="n">
        <v>1.0516</v>
      </c>
      <c r="EF134" s="0" t="n">
        <v>0.2313</v>
      </c>
      <c r="EG134" s="0" t="n">
        <v>0.2898</v>
      </c>
      <c r="EH134" s="0" t="n">
        <v>0.4971</v>
      </c>
      <c r="EI134" s="0" t="n">
        <v>0.4811</v>
      </c>
      <c r="EJ134" s="0" t="n">
        <v>0.2401</v>
      </c>
      <c r="EK134" s="0" t="n">
        <v>0.191</v>
      </c>
      <c r="EL134" s="0" t="n">
        <v>0.153</v>
      </c>
      <c r="EM134" s="0" t="n">
        <v>0.1106</v>
      </c>
      <c r="EN134" s="0" t="n">
        <v>0.0053</v>
      </c>
      <c r="EO134" s="0" t="n">
        <v>0.1234</v>
      </c>
      <c r="EP134" s="0" t="n">
        <v>0.0273</v>
      </c>
      <c r="EQ134" s="0" t="n">
        <v>0.006</v>
      </c>
      <c r="ER134" s="0" t="n">
        <v>0.0112</v>
      </c>
      <c r="ES134" s="0" t="n">
        <v>0.0115</v>
      </c>
      <c r="ET134" s="0" t="n">
        <v>0.0116</v>
      </c>
      <c r="EU134" s="0" t="n">
        <v>0</v>
      </c>
      <c r="EV134" s="0" t="n">
        <v>0</v>
      </c>
      <c r="EW134" s="0" t="n">
        <v>0</v>
      </c>
      <c r="EX134" s="0" t="n">
        <v>0</v>
      </c>
      <c r="EY134" s="0" t="n">
        <v>0</v>
      </c>
      <c r="EZ134" s="0" t="n">
        <v>0</v>
      </c>
      <c r="FA134" s="0" t="n">
        <v>0</v>
      </c>
      <c r="FB134" s="0" t="n">
        <v>0</v>
      </c>
      <c r="FC134" s="0" t="n">
        <v>0</v>
      </c>
      <c r="FD134" s="0" t="n">
        <v>0</v>
      </c>
      <c r="FE134" s="0" t="n">
        <v>0</v>
      </c>
      <c r="FF134" s="0" t="n">
        <v>0</v>
      </c>
      <c r="FG134" s="0" t="n">
        <v>0</v>
      </c>
      <c r="FH134" s="0" t="n">
        <v>0</v>
      </c>
      <c r="FI134" s="0" t="n">
        <v>0</v>
      </c>
      <c r="FJ134" s="0" t="n">
        <v>0</v>
      </c>
      <c r="FK134" s="0" t="n">
        <v>0</v>
      </c>
      <c r="FL134" s="0" t="n">
        <v>0</v>
      </c>
      <c r="FM134" s="0" t="n">
        <v>0</v>
      </c>
      <c r="FN134" s="0" t="n">
        <v>0</v>
      </c>
      <c r="FO134" s="0" t="n">
        <v>0</v>
      </c>
      <c r="FP134" s="0" t="n">
        <v>0</v>
      </c>
    </row>
    <row r="135" customFormat="false" ht="13.8" hidden="false" customHeight="false" outlineLevel="0" collapsed="false">
      <c r="A135" s="2" t="s">
        <v>432</v>
      </c>
      <c r="B135" s="0" t="s">
        <v>173</v>
      </c>
      <c r="C135" s="0" t="n">
        <v>44</v>
      </c>
      <c r="D135" s="0" t="s">
        <v>433</v>
      </c>
      <c r="G135" s="0" t="n">
        <v>4115.9796</v>
      </c>
      <c r="H135" s="0" t="n">
        <v>281.8827</v>
      </c>
      <c r="I135" s="0" t="n">
        <v>885.5606</v>
      </c>
      <c r="J135" s="0" t="n">
        <v>0.6532</v>
      </c>
      <c r="K135" s="0" t="n">
        <v>0.0367</v>
      </c>
      <c r="L135" s="0" t="n">
        <v>278.7121</v>
      </c>
      <c r="M135" s="0" t="n">
        <v>276.3581</v>
      </c>
      <c r="N135" s="0" t="n">
        <v>457.3485</v>
      </c>
      <c r="O135" s="0" t="n">
        <v>362.4703</v>
      </c>
      <c r="P135" s="0" t="n">
        <v>255.8577</v>
      </c>
      <c r="Q135" s="0" t="n">
        <v>175.7199</v>
      </c>
      <c r="R135" s="0" t="n">
        <v>175.0673</v>
      </c>
      <c r="S135" s="0" t="n">
        <v>125.1763</v>
      </c>
      <c r="T135" s="0" t="n">
        <v>123.4823</v>
      </c>
      <c r="U135" s="0" t="n">
        <v>107.267</v>
      </c>
      <c r="V135" s="0" t="n">
        <v>96.4157</v>
      </c>
      <c r="W135" s="0" t="n">
        <v>100.5648</v>
      </c>
      <c r="X135" s="0" t="n">
        <v>89.105</v>
      </c>
      <c r="Y135" s="0" t="n">
        <v>77.5983</v>
      </c>
      <c r="Z135" s="0" t="n">
        <v>73.7137</v>
      </c>
      <c r="AA135" s="0" t="n">
        <v>65.3032</v>
      </c>
      <c r="AB135" s="0" t="n">
        <v>63.9985</v>
      </c>
      <c r="AC135" s="0" t="n">
        <v>60.9135</v>
      </c>
      <c r="AD135" s="0" t="n">
        <v>65.7372</v>
      </c>
      <c r="AE135" s="0" t="n">
        <v>68.4629</v>
      </c>
      <c r="AF135" s="0" t="n">
        <v>67.3363</v>
      </c>
      <c r="AG135" s="0" t="n">
        <v>61.1086</v>
      </c>
      <c r="AH135" s="0" t="n">
        <v>64.8128</v>
      </c>
      <c r="AI135" s="0" t="n">
        <v>64.9795</v>
      </c>
      <c r="AJ135" s="0" t="n">
        <v>75.2597</v>
      </c>
      <c r="AK135" s="0" t="n">
        <v>76.9048</v>
      </c>
      <c r="AL135" s="0" t="n">
        <v>67.9279</v>
      </c>
      <c r="AM135" s="0" t="n">
        <v>65.6706</v>
      </c>
      <c r="AN135" s="0" t="n">
        <v>50.4444</v>
      </c>
      <c r="AO135" s="0" t="n">
        <v>49.7048</v>
      </c>
      <c r="AP135" s="0" t="n">
        <v>46.1836</v>
      </c>
      <c r="AQ135" s="0" t="n">
        <v>42.3623</v>
      </c>
      <c r="AR135" s="0" t="n">
        <v>43.4631</v>
      </c>
      <c r="AS135" s="0" t="n">
        <v>41.0978</v>
      </c>
      <c r="AT135" s="0" t="n">
        <v>40.2163</v>
      </c>
      <c r="AU135" s="0" t="n">
        <v>31.6378</v>
      </c>
      <c r="AV135" s="0" t="n">
        <v>24.093</v>
      </c>
      <c r="AW135" s="0" t="n">
        <v>17.9577</v>
      </c>
      <c r="AX135" s="0" t="n">
        <v>17.8769</v>
      </c>
      <c r="AY135" s="0" t="n">
        <v>11.637</v>
      </c>
      <c r="AZ135" s="0" t="n">
        <v>8.2431</v>
      </c>
      <c r="BA135" s="0" t="n">
        <v>9.1318</v>
      </c>
      <c r="BB135" s="0" t="n">
        <v>7.0121</v>
      </c>
      <c r="BC135" s="0" t="n">
        <v>3.8343</v>
      </c>
      <c r="BD135" s="0" t="n">
        <v>4.3692</v>
      </c>
      <c r="BE135" s="0" t="n">
        <v>3.3126</v>
      </c>
      <c r="BF135" s="0" t="n">
        <v>1.9311</v>
      </c>
      <c r="BG135" s="0" t="n">
        <v>2.6601</v>
      </c>
      <c r="BH135" s="0" t="n">
        <v>1.1451</v>
      </c>
      <c r="BI135" s="0" t="n">
        <v>3.1527</v>
      </c>
      <c r="BJ135" s="0" t="n">
        <v>1.6397</v>
      </c>
      <c r="BK135" s="0" t="n">
        <v>1.5265</v>
      </c>
      <c r="BL135" s="0" t="n">
        <v>1.0774</v>
      </c>
      <c r="BM135" s="0" t="n">
        <v>0.8334</v>
      </c>
      <c r="BN135" s="0" t="n">
        <v>0.5695</v>
      </c>
      <c r="BO135" s="0" t="n">
        <v>0.3776</v>
      </c>
      <c r="BP135" s="0" t="n">
        <v>0.2734</v>
      </c>
      <c r="BQ135" s="0" t="n">
        <v>0.498</v>
      </c>
      <c r="BR135" s="0" t="n">
        <v>0.5512</v>
      </c>
      <c r="BS135" s="0" t="n">
        <v>0.1532</v>
      </c>
      <c r="BT135" s="0" t="n">
        <v>0.0492</v>
      </c>
      <c r="BU135" s="0" t="n">
        <v>0.083</v>
      </c>
      <c r="BV135" s="0" t="n">
        <v>0.0064</v>
      </c>
      <c r="BW135" s="0" t="n">
        <v>0</v>
      </c>
      <c r="BX135" s="0" t="n">
        <v>0</v>
      </c>
      <c r="BY135" s="0" t="n">
        <v>0</v>
      </c>
      <c r="BZ135" s="0" t="n">
        <v>0.0064</v>
      </c>
      <c r="CA135" s="0" t="n">
        <v>0</v>
      </c>
      <c r="CB135" s="0" t="n">
        <v>0.0132</v>
      </c>
      <c r="CC135" s="0" t="n">
        <v>0.0064</v>
      </c>
      <c r="CD135" s="0" t="n">
        <v>0.0222</v>
      </c>
      <c r="CE135" s="0" t="n">
        <v>0.1221</v>
      </c>
      <c r="CF135" s="0" t="n">
        <v>0.0132</v>
      </c>
      <c r="CG135" s="0" t="n">
        <v>0</v>
      </c>
      <c r="CH135" s="0" t="n">
        <v>0.0064</v>
      </c>
      <c r="CI135" s="0" t="n">
        <v>0.1808</v>
      </c>
      <c r="CJ135" s="0" t="n">
        <v>0.0069</v>
      </c>
      <c r="CK135" s="0" t="n">
        <v>0.0159</v>
      </c>
      <c r="CL135" s="0" t="n">
        <v>0</v>
      </c>
      <c r="CM135" s="0" t="n">
        <v>0.2607</v>
      </c>
      <c r="CN135" s="0" t="n">
        <v>0.0004</v>
      </c>
      <c r="CO135" s="0" t="n">
        <v>7.3624</v>
      </c>
      <c r="CP135" s="0" t="n">
        <v>10.7181</v>
      </c>
      <c r="CQ135" s="0" t="n">
        <v>25.1837</v>
      </c>
      <c r="CR135" s="0" t="n">
        <v>25.2105</v>
      </c>
      <c r="CS135" s="0" t="n">
        <v>21.981</v>
      </c>
      <c r="CT135" s="0" t="n">
        <v>17.9186</v>
      </c>
      <c r="CU135" s="0" t="n">
        <v>20.6191</v>
      </c>
      <c r="CV135" s="0" t="n">
        <v>16.7346</v>
      </c>
      <c r="CW135" s="0" t="n">
        <v>18.3555</v>
      </c>
      <c r="CX135" s="0" t="n">
        <v>17.6421</v>
      </c>
      <c r="CY135" s="0" t="n">
        <v>17.4522</v>
      </c>
      <c r="CZ135" s="0" t="n">
        <v>19.7326</v>
      </c>
      <c r="DA135" s="0" t="n">
        <v>18.8715</v>
      </c>
      <c r="DB135" s="0" t="n">
        <v>17.6891</v>
      </c>
      <c r="DC135" s="0" t="n">
        <v>17.9683</v>
      </c>
      <c r="DD135" s="0" t="n">
        <v>16.919</v>
      </c>
      <c r="DE135" s="0" t="n">
        <v>17.5535</v>
      </c>
      <c r="DF135" s="0" t="n">
        <v>17.7121</v>
      </c>
      <c r="DG135" s="0" t="n">
        <v>20.1189</v>
      </c>
      <c r="DH135" s="0" t="n">
        <v>22.0395</v>
      </c>
      <c r="DI135" s="0" t="n">
        <v>22.7622</v>
      </c>
      <c r="DJ135" s="0" t="n">
        <v>21.5969</v>
      </c>
      <c r="DK135" s="0" t="n">
        <v>23.9416</v>
      </c>
      <c r="DL135" s="0" t="n">
        <v>25.0015</v>
      </c>
      <c r="DM135" s="0" t="n">
        <v>30.1221</v>
      </c>
      <c r="DN135" s="0" t="n">
        <v>32.0108</v>
      </c>
      <c r="DO135" s="0" t="n">
        <v>29.3785</v>
      </c>
      <c r="DP135" s="0" t="n">
        <v>29.3931</v>
      </c>
      <c r="DQ135" s="0" t="n">
        <v>23.345</v>
      </c>
      <c r="DR135" s="0" t="n">
        <v>23.7921</v>
      </c>
      <c r="DS135" s="0" t="n">
        <v>22.8626</v>
      </c>
      <c r="DT135" s="0" t="n">
        <v>21.6311</v>
      </c>
      <c r="DU135" s="0" t="n">
        <v>22.8641</v>
      </c>
      <c r="DV135" s="0" t="n">
        <v>22.2584</v>
      </c>
      <c r="DW135" s="0" t="n">
        <v>22.427</v>
      </c>
      <c r="DX135" s="0" t="n">
        <v>18.1374</v>
      </c>
      <c r="DY135" s="0" t="n">
        <v>14.1789</v>
      </c>
      <c r="DZ135" s="0" t="n">
        <v>10.8489</v>
      </c>
      <c r="EA135" s="0" t="n">
        <v>11.089</v>
      </c>
      <c r="EB135" s="0" t="n">
        <v>7.4024</v>
      </c>
      <c r="EC135" s="0" t="n">
        <v>5.3781</v>
      </c>
      <c r="ED135" s="0" t="n">
        <v>6.1014</v>
      </c>
      <c r="EE135" s="0" t="n">
        <v>4.7884</v>
      </c>
      <c r="EF135" s="0" t="n">
        <v>2.679</v>
      </c>
      <c r="EG135" s="0" t="n">
        <v>3.1181</v>
      </c>
      <c r="EH135" s="0" t="n">
        <v>2.4168</v>
      </c>
      <c r="EI135" s="0" t="n">
        <v>1.4396</v>
      </c>
      <c r="EJ135" s="0" t="n">
        <v>2.0235</v>
      </c>
      <c r="EK135" s="0" t="n">
        <v>0.8904</v>
      </c>
      <c r="EL135" s="0" t="n">
        <v>2.4978</v>
      </c>
      <c r="EM135" s="0" t="n">
        <v>1.3247</v>
      </c>
      <c r="EN135" s="0" t="n">
        <v>1.2597</v>
      </c>
      <c r="EO135" s="0" t="n">
        <v>0.9041</v>
      </c>
      <c r="EP135" s="0" t="n">
        <v>0.7138</v>
      </c>
      <c r="EQ135" s="0" t="n">
        <v>0.4966</v>
      </c>
      <c r="ER135" s="0" t="n">
        <v>0.335</v>
      </c>
      <c r="ES135" s="0" t="n">
        <v>0.2467</v>
      </c>
      <c r="ET135" s="0" t="n">
        <v>0.4575</v>
      </c>
      <c r="EU135" s="0" t="n">
        <v>0.5146</v>
      </c>
      <c r="EV135" s="0" t="n">
        <v>0.1447</v>
      </c>
      <c r="EW135" s="0" t="n">
        <v>0.0474</v>
      </c>
      <c r="EX135" s="0" t="n">
        <v>0.0813</v>
      </c>
      <c r="EY135" s="0" t="n">
        <v>0.0064</v>
      </c>
      <c r="EZ135" s="0" t="n">
        <v>0</v>
      </c>
      <c r="FA135" s="0" t="n">
        <v>0</v>
      </c>
      <c r="FB135" s="0" t="n">
        <v>0</v>
      </c>
      <c r="FC135" s="0" t="n">
        <v>0.0067</v>
      </c>
      <c r="FD135" s="0" t="n">
        <v>0</v>
      </c>
      <c r="FE135" s="0" t="n">
        <v>0.0145</v>
      </c>
      <c r="FF135" s="0" t="n">
        <v>0.007</v>
      </c>
      <c r="FG135" s="0" t="n">
        <v>0.025</v>
      </c>
      <c r="FH135" s="0" t="n">
        <v>0.1392</v>
      </c>
      <c r="FI135" s="0" t="n">
        <v>0.0152</v>
      </c>
      <c r="FJ135" s="0" t="n">
        <v>0</v>
      </c>
      <c r="FK135" s="0" t="n">
        <v>0.0075</v>
      </c>
      <c r="FL135" s="0" t="n">
        <v>0.2163</v>
      </c>
      <c r="FM135" s="0" t="n">
        <v>0.0084</v>
      </c>
      <c r="FN135" s="0" t="n">
        <v>0.0196</v>
      </c>
      <c r="FO135" s="0" t="n">
        <v>0</v>
      </c>
      <c r="FP135" s="0" t="n">
        <v>0.3602</v>
      </c>
    </row>
    <row r="136" customFormat="false" ht="13.8" hidden="false" customHeight="false" outlineLevel="0" collapsed="false">
      <c r="A136" s="2" t="s">
        <v>434</v>
      </c>
      <c r="B136" s="0" t="s">
        <v>176</v>
      </c>
      <c r="C136" s="0" t="n">
        <v>222</v>
      </c>
      <c r="D136" s="0" t="s">
        <v>435</v>
      </c>
      <c r="G136" s="0" t="n">
        <v>3070.4389</v>
      </c>
      <c r="H136" s="0" t="n">
        <v>222.3591</v>
      </c>
      <c r="I136" s="0" t="n">
        <v>698.5621</v>
      </c>
      <c r="J136" s="0" t="n">
        <v>0.758066666666667</v>
      </c>
      <c r="K136" s="0" t="n">
        <v>0</v>
      </c>
      <c r="L136" s="0" t="n">
        <v>184.9424</v>
      </c>
      <c r="M136" s="0" t="n">
        <v>184.9092</v>
      </c>
      <c r="N136" s="0" t="n">
        <v>305.0045</v>
      </c>
      <c r="O136" s="0" t="n">
        <v>287.0537</v>
      </c>
      <c r="P136" s="0" t="n">
        <v>221.0928</v>
      </c>
      <c r="Q136" s="0" t="n">
        <v>162.818</v>
      </c>
      <c r="R136" s="0" t="n">
        <v>175.5192</v>
      </c>
      <c r="S136" s="0" t="n">
        <v>100.0686</v>
      </c>
      <c r="T136" s="0" t="n">
        <v>93.9754</v>
      </c>
      <c r="U136" s="0" t="n">
        <v>82.8836</v>
      </c>
      <c r="V136" s="0" t="n">
        <v>77.9955</v>
      </c>
      <c r="W136" s="0" t="n">
        <v>77.6149</v>
      </c>
      <c r="X136" s="0" t="n">
        <v>79.0499</v>
      </c>
      <c r="Y136" s="0" t="n">
        <v>46.7775</v>
      </c>
      <c r="Z136" s="0" t="n">
        <v>49.0247</v>
      </c>
      <c r="AA136" s="0" t="n">
        <v>41.061</v>
      </c>
      <c r="AB136" s="0" t="n">
        <v>38.3279</v>
      </c>
      <c r="AC136" s="0" t="n">
        <v>29.984</v>
      </c>
      <c r="AD136" s="0" t="n">
        <v>39.0124</v>
      </c>
      <c r="AE136" s="0" t="n">
        <v>35.9291</v>
      </c>
      <c r="AF136" s="0" t="n">
        <v>31.745</v>
      </c>
      <c r="AG136" s="0" t="n">
        <v>32.6786</v>
      </c>
      <c r="AH136" s="0" t="n">
        <v>30.106</v>
      </c>
      <c r="AI136" s="0" t="n">
        <v>30.3145</v>
      </c>
      <c r="AJ136" s="0" t="n">
        <v>27.5173</v>
      </c>
      <c r="AK136" s="0" t="n">
        <v>30.2344</v>
      </c>
      <c r="AL136" s="0" t="n">
        <v>28.761</v>
      </c>
      <c r="AM136" s="0" t="n">
        <v>30.9845</v>
      </c>
      <c r="AN136" s="0" t="n">
        <v>28.8343</v>
      </c>
      <c r="AO136" s="0" t="n">
        <v>36.0481</v>
      </c>
      <c r="AP136" s="0" t="n">
        <v>29.902</v>
      </c>
      <c r="AQ136" s="0" t="n">
        <v>30.4099</v>
      </c>
      <c r="AR136" s="0" t="n">
        <v>32.3178</v>
      </c>
      <c r="AS136" s="0" t="n">
        <v>29.3716</v>
      </c>
      <c r="AT136" s="0" t="n">
        <v>35.6779</v>
      </c>
      <c r="AU136" s="0" t="n">
        <v>33.3574</v>
      </c>
      <c r="AV136" s="0" t="n">
        <v>30.6896</v>
      </c>
      <c r="AW136" s="0" t="n">
        <v>31.5514</v>
      </c>
      <c r="AX136" s="0" t="n">
        <v>28.3745</v>
      </c>
      <c r="AY136" s="0" t="n">
        <v>27.7203</v>
      </c>
      <c r="AZ136" s="0" t="n">
        <v>23.3428</v>
      </c>
      <c r="BA136" s="0" t="n">
        <v>19.0671</v>
      </c>
      <c r="BB136" s="0" t="n">
        <v>19.5785</v>
      </c>
      <c r="BC136" s="0" t="n">
        <v>12.6717</v>
      </c>
      <c r="BD136" s="0" t="n">
        <v>13.663</v>
      </c>
      <c r="BE136" s="0" t="n">
        <v>8.655</v>
      </c>
      <c r="BF136" s="0" t="n">
        <v>8.1266</v>
      </c>
      <c r="BG136" s="0" t="n">
        <v>7.1889</v>
      </c>
      <c r="BH136" s="0" t="n">
        <v>5.867</v>
      </c>
      <c r="BI136" s="0" t="n">
        <v>4.048</v>
      </c>
      <c r="BJ136" s="0" t="n">
        <v>2.9118</v>
      </c>
      <c r="BK136" s="0" t="n">
        <v>2.8347</v>
      </c>
      <c r="BL136" s="0" t="n">
        <v>1.801</v>
      </c>
      <c r="BM136" s="0" t="n">
        <v>2.3198</v>
      </c>
      <c r="BN136" s="0" t="n">
        <v>1.6744</v>
      </c>
      <c r="BO136" s="0" t="n">
        <v>1.1515</v>
      </c>
      <c r="BP136" s="0" t="n">
        <v>0.4531</v>
      </c>
      <c r="BQ136" s="0" t="n">
        <v>0.7849</v>
      </c>
      <c r="BR136" s="0" t="n">
        <v>0.5266</v>
      </c>
      <c r="BS136" s="0" t="n">
        <v>0.4929</v>
      </c>
      <c r="BT136" s="0" t="n">
        <v>0.4822</v>
      </c>
      <c r="BU136" s="0" t="n">
        <v>0.2344</v>
      </c>
      <c r="BV136" s="0" t="n">
        <v>0.0348</v>
      </c>
      <c r="BW136" s="0" t="n">
        <v>0.0829</v>
      </c>
      <c r="BX136" s="0" t="n">
        <v>0.0691</v>
      </c>
      <c r="BY136" s="0" t="n">
        <v>0.2623</v>
      </c>
      <c r="BZ136" s="0" t="n">
        <v>0.1235</v>
      </c>
      <c r="CA136" s="0" t="n">
        <v>0.0291</v>
      </c>
      <c r="CB136" s="0" t="n">
        <v>0.0396</v>
      </c>
      <c r="CC136" s="0" t="n">
        <v>0.0428</v>
      </c>
      <c r="CD136" s="0" t="n">
        <v>0.0454</v>
      </c>
      <c r="CE136" s="0" t="n">
        <v>0.1485</v>
      </c>
      <c r="CF136" s="0" t="n">
        <v>0.0507</v>
      </c>
      <c r="CG136" s="0" t="n">
        <v>0</v>
      </c>
      <c r="CH136" s="0" t="n">
        <v>0.2054</v>
      </c>
      <c r="CI136" s="0" t="n">
        <v>0.0349</v>
      </c>
      <c r="CJ136" s="0" t="n">
        <v>0.2065</v>
      </c>
      <c r="CK136" s="0" t="n">
        <v>0.0322</v>
      </c>
      <c r="CL136" s="0" t="n">
        <v>0.0069</v>
      </c>
      <c r="CM136" s="0" t="n">
        <v>0.5953</v>
      </c>
      <c r="CN136" s="0" t="n">
        <v>0</v>
      </c>
      <c r="CO136" s="0" t="n">
        <v>4.8584</v>
      </c>
      <c r="CP136" s="0" t="n">
        <v>7.0836</v>
      </c>
      <c r="CQ136" s="0" t="n">
        <v>16.8725</v>
      </c>
      <c r="CR136" s="0" t="n">
        <v>20.0152</v>
      </c>
      <c r="CS136" s="0" t="n">
        <v>19.0151</v>
      </c>
      <c r="CT136" s="0" t="n">
        <v>16.6049</v>
      </c>
      <c r="CU136" s="0" t="n">
        <v>20.7192</v>
      </c>
      <c r="CV136" s="0" t="n">
        <v>13.3577</v>
      </c>
      <c r="CW136" s="0" t="n">
        <v>13.9762</v>
      </c>
      <c r="CX136" s="0" t="n">
        <v>13.6125</v>
      </c>
      <c r="CY136" s="0" t="n">
        <v>14.1259</v>
      </c>
      <c r="CZ136" s="0" t="n">
        <v>15.1896</v>
      </c>
      <c r="DA136" s="0" t="n">
        <v>16.7477</v>
      </c>
      <c r="DB136" s="0" t="n">
        <v>10.6382</v>
      </c>
      <c r="DC136" s="0" t="n">
        <v>11.9568</v>
      </c>
      <c r="DD136" s="0" t="n">
        <v>10.6145</v>
      </c>
      <c r="DE136" s="0" t="n">
        <v>10.5292</v>
      </c>
      <c r="DF136" s="0" t="n">
        <v>8.7217</v>
      </c>
      <c r="DG136" s="0" t="n">
        <v>11.9558</v>
      </c>
      <c r="DH136" s="0" t="n">
        <v>11.5681</v>
      </c>
      <c r="DI136" s="0" t="n">
        <v>10.7269</v>
      </c>
      <c r="DJ136" s="0" t="n">
        <v>11.5287</v>
      </c>
      <c r="DK136" s="0" t="n">
        <v>11.1285</v>
      </c>
      <c r="DL136" s="0" t="n">
        <v>11.671</v>
      </c>
      <c r="DM136" s="0" t="n">
        <v>11.0021</v>
      </c>
      <c r="DN136" s="0" t="n">
        <v>12.595</v>
      </c>
      <c r="DO136" s="0" t="n">
        <v>12.449</v>
      </c>
      <c r="DP136" s="0" t="n">
        <v>13.8604</v>
      </c>
      <c r="DQ136" s="0" t="n">
        <v>13.3387</v>
      </c>
      <c r="DR136" s="0" t="n">
        <v>17.2716</v>
      </c>
      <c r="DS136" s="0" t="n">
        <v>14.8212</v>
      </c>
      <c r="DT136" s="0" t="n">
        <v>15.5305</v>
      </c>
      <c r="DU136" s="0" t="n">
        <v>17.0141</v>
      </c>
      <c r="DV136" s="0" t="n">
        <v>15.9089</v>
      </c>
      <c r="DW136" s="0" t="n">
        <v>19.9125</v>
      </c>
      <c r="DX136" s="0" t="n">
        <v>19.1525</v>
      </c>
      <c r="DY136" s="0" t="n">
        <v>18.0534</v>
      </c>
      <c r="DZ136" s="0" t="n">
        <v>19.0846</v>
      </c>
      <c r="EA136" s="0" t="n">
        <v>17.6135</v>
      </c>
      <c r="EB136" s="0" t="n">
        <v>17.6393</v>
      </c>
      <c r="EC136" s="0" t="n">
        <v>15.2159</v>
      </c>
      <c r="ED136" s="0" t="n">
        <v>12.7313</v>
      </c>
      <c r="EE136" s="0" t="n">
        <v>13.3721</v>
      </c>
      <c r="EF136" s="0" t="n">
        <v>8.8567</v>
      </c>
      <c r="EG136" s="0" t="n">
        <v>9.7592</v>
      </c>
      <c r="EH136" s="0" t="n">
        <v>6.3147</v>
      </c>
      <c r="EI136" s="0" t="n">
        <v>6.0605</v>
      </c>
      <c r="EJ136" s="0" t="n">
        <v>5.4739</v>
      </c>
      <c r="EK136" s="0" t="n">
        <v>4.5696</v>
      </c>
      <c r="EL136" s="0" t="n">
        <v>3.2126</v>
      </c>
      <c r="EM136" s="0" t="n">
        <v>2.3528</v>
      </c>
      <c r="EN136" s="0" t="n">
        <v>2.3388</v>
      </c>
      <c r="EO136" s="0" t="n">
        <v>1.5138</v>
      </c>
      <c r="EP136" s="0" t="n">
        <v>1.982</v>
      </c>
      <c r="EQ136" s="0" t="n">
        <v>1.463</v>
      </c>
      <c r="ER136" s="0" t="n">
        <v>1.0224</v>
      </c>
      <c r="ES136" s="0" t="n">
        <v>0.408</v>
      </c>
      <c r="ET136" s="0" t="n">
        <v>0.7208</v>
      </c>
      <c r="EU136" s="0" t="n">
        <v>0.492</v>
      </c>
      <c r="EV136" s="0" t="n">
        <v>0.4674</v>
      </c>
      <c r="EW136" s="0" t="n">
        <v>0.4654</v>
      </c>
      <c r="EX136" s="0" t="n">
        <v>0.2299</v>
      </c>
      <c r="EY136" s="0" t="n">
        <v>0.0346</v>
      </c>
      <c r="EZ136" s="0" t="n">
        <v>0.084</v>
      </c>
      <c r="FA136" s="0" t="n">
        <v>0.0707</v>
      </c>
      <c r="FB136" s="0" t="n">
        <v>0.2735</v>
      </c>
      <c r="FC136" s="0" t="n">
        <v>0.1318</v>
      </c>
      <c r="FD136" s="0" t="n">
        <v>0.0313</v>
      </c>
      <c r="FE136" s="0" t="n">
        <v>0.0433</v>
      </c>
      <c r="FF136" s="0" t="n">
        <v>0.0473</v>
      </c>
      <c r="FG136" s="0" t="n">
        <v>0.0512</v>
      </c>
      <c r="FH136" s="0" t="n">
        <v>0.1695</v>
      </c>
      <c r="FI136" s="0" t="n">
        <v>0.0586</v>
      </c>
      <c r="FJ136" s="0" t="n">
        <v>0</v>
      </c>
      <c r="FK136" s="0" t="n">
        <v>0.2448</v>
      </c>
      <c r="FL136" s="0" t="n">
        <v>0.0419</v>
      </c>
      <c r="FM136" s="0" t="n">
        <v>0.2512</v>
      </c>
      <c r="FN136" s="0" t="n">
        <v>0.0399</v>
      </c>
      <c r="FO136" s="0" t="n">
        <v>0.0086</v>
      </c>
      <c r="FP136" s="0" t="n">
        <v>0.8202</v>
      </c>
    </row>
    <row r="137" customFormat="false" ht="13.8" hidden="false" customHeight="false" outlineLevel="0" collapsed="false">
      <c r="A137" s="2" t="s">
        <v>436</v>
      </c>
      <c r="B137" s="0" t="s">
        <v>176</v>
      </c>
      <c r="C137" s="0" t="n">
        <v>357</v>
      </c>
      <c r="D137" s="0" t="s">
        <v>437</v>
      </c>
      <c r="E137" s="0" t="e">
        <f aca="false">VLOOKUP(A137,[1]RHIZOMES!$A$1:$B$1048576,2,0)</f>
        <v>#N/A</v>
      </c>
      <c r="F137" s="0" t="n">
        <v>0.9389</v>
      </c>
      <c r="G137" s="0" t="n">
        <v>677.6382</v>
      </c>
      <c r="H137" s="0" t="n">
        <v>66.0003</v>
      </c>
      <c r="I137" s="0" t="n">
        <v>207.346</v>
      </c>
      <c r="J137" s="0" t="n">
        <v>0.974</v>
      </c>
      <c r="K137" s="0" t="n">
        <v>0.0069</v>
      </c>
      <c r="L137" s="0" t="n">
        <v>2.4213</v>
      </c>
      <c r="M137" s="0" t="n">
        <v>6.1132</v>
      </c>
      <c r="N137" s="0" t="n">
        <v>40.4904</v>
      </c>
      <c r="O137" s="0" t="n">
        <v>56.2669</v>
      </c>
      <c r="P137" s="0" t="n">
        <v>42.9519</v>
      </c>
      <c r="Q137" s="0" t="n">
        <v>65.9933</v>
      </c>
      <c r="R137" s="0" t="n">
        <v>31.9939</v>
      </c>
      <c r="S137" s="0" t="n">
        <v>27.8219</v>
      </c>
      <c r="T137" s="0" t="n">
        <v>23.6176</v>
      </c>
      <c r="U137" s="0" t="n">
        <v>28.2038</v>
      </c>
      <c r="V137" s="0" t="n">
        <v>14.0522</v>
      </c>
      <c r="W137" s="0" t="n">
        <v>21.1008</v>
      </c>
      <c r="X137" s="0" t="n">
        <v>12.3694</v>
      </c>
      <c r="Y137" s="0" t="n">
        <v>8.4321</v>
      </c>
      <c r="Z137" s="0" t="n">
        <v>13.3242</v>
      </c>
      <c r="AA137" s="0" t="n">
        <v>13.8937</v>
      </c>
      <c r="AB137" s="0" t="n">
        <v>12.5386</v>
      </c>
      <c r="AC137" s="0" t="n">
        <v>5.7351</v>
      </c>
      <c r="AD137" s="0" t="n">
        <v>7.0722</v>
      </c>
      <c r="AE137" s="0" t="n">
        <v>6.1167</v>
      </c>
      <c r="AF137" s="0" t="n">
        <v>14.5198</v>
      </c>
      <c r="AG137" s="0" t="n">
        <v>5.2854</v>
      </c>
      <c r="AH137" s="0" t="n">
        <v>11.7068</v>
      </c>
      <c r="AI137" s="0" t="n">
        <v>13.5846</v>
      </c>
      <c r="AJ137" s="0" t="n">
        <v>9.778</v>
      </c>
      <c r="AK137" s="0" t="n">
        <v>12.5023</v>
      </c>
      <c r="AL137" s="0" t="n">
        <v>11.1167</v>
      </c>
      <c r="AM137" s="0" t="n">
        <v>8.896</v>
      </c>
      <c r="AN137" s="0" t="n">
        <v>15.0265</v>
      </c>
      <c r="AO137" s="0" t="n">
        <v>15.1305</v>
      </c>
      <c r="AP137" s="0" t="n">
        <v>13.1757</v>
      </c>
      <c r="AQ137" s="0" t="n">
        <v>13.1691</v>
      </c>
      <c r="AR137" s="0" t="n">
        <v>11.1208</v>
      </c>
      <c r="AS137" s="0" t="n">
        <v>8.4161</v>
      </c>
      <c r="AT137" s="0" t="n">
        <v>12.5298</v>
      </c>
      <c r="AU137" s="0" t="n">
        <v>9.7366</v>
      </c>
      <c r="AV137" s="0" t="n">
        <v>5.4559</v>
      </c>
      <c r="AW137" s="0" t="n">
        <v>7.5461</v>
      </c>
      <c r="AX137" s="0" t="n">
        <v>5.851</v>
      </c>
      <c r="AY137" s="0" t="n">
        <v>4.2851</v>
      </c>
      <c r="AZ137" s="0" t="n">
        <v>5.6403</v>
      </c>
      <c r="BA137" s="0" t="n">
        <v>2.1755</v>
      </c>
      <c r="BB137" s="0" t="n">
        <v>3.4751</v>
      </c>
      <c r="BC137" s="0" t="n">
        <v>1.9897</v>
      </c>
      <c r="BD137" s="0" t="n">
        <v>0.8017</v>
      </c>
      <c r="BE137" s="0" t="n">
        <v>1.7489</v>
      </c>
      <c r="BF137" s="0" t="n">
        <v>0.854</v>
      </c>
      <c r="BG137" s="0" t="n">
        <v>1.4562</v>
      </c>
      <c r="BH137" s="0" t="n">
        <v>1.5253</v>
      </c>
      <c r="BI137" s="0" t="n">
        <v>0.6511</v>
      </c>
      <c r="BJ137" s="0" t="n">
        <v>0.6076</v>
      </c>
      <c r="BK137" s="0" t="n">
        <v>0.2333</v>
      </c>
      <c r="BL137" s="0" t="n">
        <v>0.3225</v>
      </c>
      <c r="BM137" s="0" t="n">
        <v>0.2226</v>
      </c>
      <c r="BN137" s="0" t="n">
        <v>0.1582</v>
      </c>
      <c r="BO137" s="0" t="n">
        <v>0.4314</v>
      </c>
      <c r="BP137" s="0" t="n">
        <v>0.1893</v>
      </c>
      <c r="BQ137" s="0" t="n">
        <v>0.4024</v>
      </c>
      <c r="BR137" s="0" t="n">
        <v>0.4879</v>
      </c>
      <c r="BS137" s="0" t="n">
        <v>0.2316</v>
      </c>
      <c r="BT137" s="0" t="n">
        <v>0.1449</v>
      </c>
      <c r="BU137" s="0" t="n">
        <v>0.138</v>
      </c>
      <c r="BV137" s="0" t="n">
        <v>0.4018</v>
      </c>
      <c r="BW137" s="0" t="n">
        <v>0.2452</v>
      </c>
      <c r="BX137" s="0" t="n">
        <v>0.0936</v>
      </c>
      <c r="BY137" s="0" t="n">
        <v>0.1496</v>
      </c>
      <c r="BZ137" s="0" t="n">
        <v>0.1095</v>
      </c>
      <c r="CA137" s="0" t="n">
        <v>0.0814</v>
      </c>
      <c r="CB137" s="0" t="n">
        <v>0.1179</v>
      </c>
      <c r="CC137" s="0" t="n">
        <v>0.1481</v>
      </c>
      <c r="CD137" s="0" t="n">
        <v>0.2306</v>
      </c>
      <c r="CE137" s="0" t="n">
        <v>0.1412</v>
      </c>
      <c r="CF137" s="0" t="n">
        <v>0.2469</v>
      </c>
      <c r="CG137" s="0" t="n">
        <v>0.1777</v>
      </c>
      <c r="CH137" s="0" t="n">
        <v>0.1349</v>
      </c>
      <c r="CI137" s="0" t="n">
        <v>0.1185</v>
      </c>
      <c r="CJ137" s="0" t="n">
        <v>0.0613</v>
      </c>
      <c r="CK137" s="0" t="n">
        <v>0.1338</v>
      </c>
      <c r="CL137" s="0" t="n">
        <v>0.1962</v>
      </c>
      <c r="CM137" s="0" t="n">
        <v>1.6137</v>
      </c>
      <c r="CN137" s="0" t="n">
        <v>0.0001</v>
      </c>
      <c r="CO137" s="0" t="n">
        <v>0.066</v>
      </c>
      <c r="CP137" s="0" t="n">
        <v>0.2423</v>
      </c>
      <c r="CQ137" s="0" t="n">
        <v>2.3035</v>
      </c>
      <c r="CR137" s="0" t="n">
        <v>3.9739</v>
      </c>
      <c r="CS137" s="0" t="n">
        <v>3.5862</v>
      </c>
      <c r="CT137" s="0" t="n">
        <v>6.6585</v>
      </c>
      <c r="CU137" s="0" t="n">
        <v>3.8098</v>
      </c>
      <c r="CV137" s="0" t="n">
        <v>3.7026</v>
      </c>
      <c r="CW137" s="0" t="n">
        <v>3.4713</v>
      </c>
      <c r="CX137" s="0" t="n">
        <v>4.682</v>
      </c>
      <c r="CY137" s="0" t="n">
        <v>2.5541</v>
      </c>
      <c r="CZ137" s="0" t="n">
        <v>4.1422</v>
      </c>
      <c r="DA137" s="0" t="n">
        <v>2.663</v>
      </c>
      <c r="DB137" s="0" t="n">
        <v>1.9079</v>
      </c>
      <c r="DC137" s="0" t="n">
        <v>3.2265</v>
      </c>
      <c r="DD137" s="0" t="n">
        <v>3.5928</v>
      </c>
      <c r="DE137" s="0" t="n">
        <v>3.4625</v>
      </c>
      <c r="DF137" s="0" t="n">
        <v>1.6652</v>
      </c>
      <c r="DG137" s="0" t="n">
        <v>2.1623</v>
      </c>
      <c r="DH137" s="0" t="n">
        <v>1.9633</v>
      </c>
      <c r="DI137" s="0" t="n">
        <v>4.9315</v>
      </c>
      <c r="DJ137" s="0" t="n">
        <v>1.885</v>
      </c>
      <c r="DK137" s="0" t="n">
        <v>4.2994</v>
      </c>
      <c r="DL137" s="0" t="n">
        <v>5.2398</v>
      </c>
      <c r="DM137" s="0" t="n">
        <v>3.9115</v>
      </c>
      <c r="DN137" s="0" t="n">
        <v>5.2139</v>
      </c>
      <c r="DO137" s="0" t="n">
        <v>4.8071</v>
      </c>
      <c r="DP137" s="0" t="n">
        <v>3.962</v>
      </c>
      <c r="DQ137" s="0" t="n">
        <v>6.9693</v>
      </c>
      <c r="DR137" s="0" t="n">
        <v>7.2807</v>
      </c>
      <c r="DS137" s="0" t="n">
        <v>6.4908</v>
      </c>
      <c r="DT137" s="0" t="n">
        <v>6.7113</v>
      </c>
      <c r="DU137" s="0" t="n">
        <v>5.8508</v>
      </c>
      <c r="DV137" s="0" t="n">
        <v>4.5363</v>
      </c>
      <c r="DW137" s="0" t="n">
        <v>6.9563</v>
      </c>
      <c r="DX137" s="0" t="n">
        <v>5.5912</v>
      </c>
      <c r="DY137" s="0" t="n">
        <v>3.2199</v>
      </c>
      <c r="DZ137" s="0" t="n">
        <v>4.541</v>
      </c>
      <c r="EA137" s="0" t="n">
        <v>3.6282</v>
      </c>
      <c r="EB137" s="0" t="n">
        <v>2.7369</v>
      </c>
      <c r="EC137" s="0" t="n">
        <v>3.6833</v>
      </c>
      <c r="ED137" s="0" t="n">
        <v>1.4481</v>
      </c>
      <c r="EE137" s="0" t="n">
        <v>2.3654</v>
      </c>
      <c r="EF137" s="0" t="n">
        <v>1.3947</v>
      </c>
      <c r="EG137" s="0" t="n">
        <v>0.5734</v>
      </c>
      <c r="EH137" s="0" t="n">
        <v>1.2779</v>
      </c>
      <c r="EI137" s="0" t="n">
        <v>0.6369</v>
      </c>
      <c r="EJ137" s="0" t="n">
        <v>1.1084</v>
      </c>
      <c r="EK137" s="0" t="n">
        <v>1.1871</v>
      </c>
      <c r="EL137" s="0" t="n">
        <v>0.517</v>
      </c>
      <c r="EM137" s="0" t="n">
        <v>0.4914</v>
      </c>
      <c r="EN137" s="0" t="n">
        <v>0.1928</v>
      </c>
      <c r="EO137" s="0" t="n">
        <v>0.2708</v>
      </c>
      <c r="EP137" s="0" t="n">
        <v>0.1902</v>
      </c>
      <c r="EQ137" s="0" t="n">
        <v>0.1378</v>
      </c>
      <c r="ER137" s="0" t="n">
        <v>0.3825</v>
      </c>
      <c r="ES137" s="0" t="n">
        <v>0.1711</v>
      </c>
      <c r="ET137" s="0" t="n">
        <v>0.37</v>
      </c>
      <c r="EU137" s="0" t="n">
        <v>0.4561</v>
      </c>
      <c r="EV137" s="0" t="n">
        <v>0.2211</v>
      </c>
      <c r="EW137" s="0" t="n">
        <v>0.1399</v>
      </c>
      <c r="EX137" s="0" t="n">
        <v>0.1355</v>
      </c>
      <c r="EY137" s="0" t="n">
        <v>0.4006</v>
      </c>
      <c r="EZ137" s="0" t="n">
        <v>0.2492</v>
      </c>
      <c r="FA137" s="0" t="n">
        <v>0.0959</v>
      </c>
      <c r="FB137" s="0" t="n">
        <v>0.1562</v>
      </c>
      <c r="FC137" s="0" t="n">
        <v>0.116</v>
      </c>
      <c r="FD137" s="0" t="n">
        <v>0.0876</v>
      </c>
      <c r="FE137" s="0" t="n">
        <v>0.1285</v>
      </c>
      <c r="FF137" s="0" t="n">
        <v>0.1641</v>
      </c>
      <c r="FG137" s="0" t="n">
        <v>0.2594</v>
      </c>
      <c r="FH137" s="0" t="n">
        <v>0.1608</v>
      </c>
      <c r="FI137" s="0" t="n">
        <v>0.2849</v>
      </c>
      <c r="FJ137" s="0" t="n">
        <v>0.208</v>
      </c>
      <c r="FK137" s="0" t="n">
        <v>0.1599</v>
      </c>
      <c r="FL137" s="0" t="n">
        <v>0.1427</v>
      </c>
      <c r="FM137" s="0" t="n">
        <v>0.0747</v>
      </c>
      <c r="FN137" s="0" t="n">
        <v>0.1646</v>
      </c>
      <c r="FO137" s="0" t="n">
        <v>0.2448</v>
      </c>
      <c r="FP137" s="0" t="n">
        <v>2.1715</v>
      </c>
    </row>
    <row r="138" customFormat="false" ht="13.8" hidden="false" customHeight="false" outlineLevel="0" collapsed="false">
      <c r="A138" s="2" t="s">
        <v>438</v>
      </c>
      <c r="B138" s="0" t="s">
        <v>176</v>
      </c>
      <c r="C138" s="0" t="n">
        <v>202</v>
      </c>
      <c r="D138" s="0" t="s">
        <v>439</v>
      </c>
      <c r="F138" s="0" t="e">
        <f aca="false">VLOOKUP(A138,[1]ROOT!$A$1:$C$1048576,3,0)</f>
        <v>#N/A</v>
      </c>
      <c r="G138" s="0" t="n">
        <v>1736.9796</v>
      </c>
      <c r="H138" s="0" t="n">
        <v>118.819</v>
      </c>
      <c r="I138" s="0" t="n">
        <v>373.2807</v>
      </c>
      <c r="J138" s="0" t="n">
        <v>0.684133333333333</v>
      </c>
      <c r="K138" s="0" t="n">
        <v>0</v>
      </c>
      <c r="L138" s="0" t="n">
        <v>208.2089</v>
      </c>
      <c r="M138" s="0" t="n">
        <v>227.9484</v>
      </c>
      <c r="N138" s="0" t="n">
        <v>141.2433</v>
      </c>
      <c r="O138" s="0" t="n">
        <v>0.5598</v>
      </c>
      <c r="P138" s="0" t="n">
        <v>167.3546</v>
      </c>
      <c r="Q138" s="0" t="n">
        <v>62.1877</v>
      </c>
      <c r="R138" s="0" t="n">
        <v>89.3028</v>
      </c>
      <c r="S138" s="0" t="n">
        <v>58.7527</v>
      </c>
      <c r="T138" s="0" t="n">
        <v>12.1996</v>
      </c>
      <c r="U138" s="0" t="n">
        <v>65.5829</v>
      </c>
      <c r="V138" s="0" t="n">
        <v>51.2955</v>
      </c>
      <c r="W138" s="0" t="n">
        <v>27.3754</v>
      </c>
      <c r="X138" s="0" t="n">
        <v>26.7324</v>
      </c>
      <c r="Y138" s="0" t="n">
        <v>18.5534</v>
      </c>
      <c r="Z138" s="0" t="n">
        <v>16.0762</v>
      </c>
      <c r="AA138" s="0" t="n">
        <v>13.5542</v>
      </c>
      <c r="AB138" s="0" t="n">
        <v>25.6341</v>
      </c>
      <c r="AC138" s="0" t="n">
        <v>10.809</v>
      </c>
      <c r="AD138" s="0" t="n">
        <v>35.8446</v>
      </c>
      <c r="AE138" s="0" t="n">
        <v>21.7059</v>
      </c>
      <c r="AF138" s="0" t="n">
        <v>44.334</v>
      </c>
      <c r="AG138" s="0" t="n">
        <v>14.5924</v>
      </c>
      <c r="AH138" s="0" t="n">
        <v>30.251</v>
      </c>
      <c r="AI138" s="0" t="n">
        <v>34.2331</v>
      </c>
      <c r="AJ138" s="0" t="n">
        <v>6.7163</v>
      </c>
      <c r="AK138" s="0" t="n">
        <v>48.1584</v>
      </c>
      <c r="AL138" s="0" t="n">
        <v>37.8488</v>
      </c>
      <c r="AM138" s="0" t="n">
        <v>23.3221</v>
      </c>
      <c r="AN138" s="0" t="n">
        <v>15.3189</v>
      </c>
      <c r="AO138" s="0" t="n">
        <v>33.5283</v>
      </c>
      <c r="AP138" s="0" t="n">
        <v>15.1114</v>
      </c>
      <c r="AQ138" s="0" t="n">
        <v>28.0941</v>
      </c>
      <c r="AR138" s="0" t="n">
        <v>23.7779</v>
      </c>
      <c r="AS138" s="0" t="n">
        <v>13.5603</v>
      </c>
      <c r="AT138" s="0" t="n">
        <v>27.9521</v>
      </c>
      <c r="AU138" s="0" t="n">
        <v>13.803</v>
      </c>
      <c r="AV138" s="0" t="n">
        <v>1.3817</v>
      </c>
      <c r="AW138" s="0" t="n">
        <v>9.805</v>
      </c>
      <c r="AX138" s="0" t="n">
        <v>9.7115</v>
      </c>
      <c r="AY138" s="0" t="n">
        <v>4.1788</v>
      </c>
      <c r="AZ138" s="0" t="n">
        <v>3.8021</v>
      </c>
      <c r="BA138" s="0" t="n">
        <v>2.1386</v>
      </c>
      <c r="BB138" s="0" t="n">
        <v>2.9589</v>
      </c>
      <c r="BC138" s="0" t="n">
        <v>2.3338</v>
      </c>
      <c r="BD138" s="0" t="n">
        <v>0.9947</v>
      </c>
      <c r="BE138" s="0" t="n">
        <v>1.5573</v>
      </c>
      <c r="BF138" s="0" t="n">
        <v>0.2261</v>
      </c>
      <c r="BG138" s="0" t="n">
        <v>0.644</v>
      </c>
      <c r="BH138" s="0" t="n">
        <v>0.9756</v>
      </c>
      <c r="BI138" s="0" t="n">
        <v>0.5214</v>
      </c>
      <c r="BJ138" s="0" t="n">
        <v>0.3861</v>
      </c>
      <c r="BK138" s="0" t="n">
        <v>0.2717</v>
      </c>
      <c r="BL138" s="0" t="n">
        <v>0.4527</v>
      </c>
      <c r="BM138" s="0" t="n">
        <v>0.036</v>
      </c>
      <c r="BN138" s="0" t="n">
        <v>0.3161</v>
      </c>
      <c r="BO138" s="0" t="n">
        <v>0.0582</v>
      </c>
      <c r="BP138" s="0" t="n">
        <v>0.1375</v>
      </c>
      <c r="BQ138" s="0" t="n">
        <v>0.147</v>
      </c>
      <c r="BR138" s="0" t="n">
        <v>0.2343</v>
      </c>
      <c r="BS138" s="0" t="n">
        <v>0.1496</v>
      </c>
      <c r="BT138" s="0" t="n">
        <v>0.0809</v>
      </c>
      <c r="BU138" s="0" t="n">
        <v>0.0201</v>
      </c>
      <c r="BV138" s="0" t="n">
        <v>0.0064</v>
      </c>
      <c r="BW138" s="0" t="n">
        <v>0.0206</v>
      </c>
      <c r="BX138" s="0" t="n">
        <v>0.0201</v>
      </c>
      <c r="BY138" s="0" t="n">
        <v>0</v>
      </c>
      <c r="BZ138" s="0" t="n">
        <v>0.1032</v>
      </c>
      <c r="CA138" s="0" t="n">
        <v>0.0206</v>
      </c>
      <c r="CB138" s="0" t="n">
        <v>0.0222</v>
      </c>
      <c r="CC138" s="0" t="n">
        <v>0.0159</v>
      </c>
      <c r="CD138" s="0" t="n">
        <v>0.0264</v>
      </c>
      <c r="CE138" s="0" t="n">
        <v>0.0069</v>
      </c>
      <c r="CF138" s="0" t="n">
        <v>0.5847</v>
      </c>
      <c r="CG138" s="0" t="n">
        <v>0.0064</v>
      </c>
      <c r="CH138" s="0" t="n">
        <v>0</v>
      </c>
      <c r="CI138" s="0" t="n">
        <v>0.0942</v>
      </c>
      <c r="CJ138" s="0" t="n">
        <v>0.5183</v>
      </c>
      <c r="CK138" s="0" t="n">
        <v>0.0069</v>
      </c>
      <c r="CL138" s="0" t="n">
        <v>0.0317</v>
      </c>
      <c r="CM138" s="0" t="n">
        <v>0</v>
      </c>
      <c r="CN138" s="0" t="n">
        <v>0</v>
      </c>
      <c r="CO138" s="0" t="n">
        <v>4.4638</v>
      </c>
      <c r="CP138" s="0" t="n">
        <v>9.6803</v>
      </c>
      <c r="CQ138" s="0" t="n">
        <v>8.6332</v>
      </c>
      <c r="CR138" s="0" t="n">
        <v>0.0386</v>
      </c>
      <c r="CS138" s="0" t="n">
        <v>14.0121</v>
      </c>
      <c r="CT138" s="0" t="n">
        <v>6.321</v>
      </c>
      <c r="CU138" s="0" t="n">
        <v>10.4036</v>
      </c>
      <c r="CV138" s="0" t="n">
        <v>8.1603</v>
      </c>
      <c r="CW138" s="0" t="n">
        <v>1.7638</v>
      </c>
      <c r="CX138" s="0" t="n">
        <v>10.6589</v>
      </c>
      <c r="CY138" s="0" t="n">
        <v>9.3832</v>
      </c>
      <c r="CZ138" s="0" t="n">
        <v>5.4288</v>
      </c>
      <c r="DA138" s="0" t="n">
        <v>5.5978</v>
      </c>
      <c r="DB138" s="0" t="n">
        <v>4.2184</v>
      </c>
      <c r="DC138" s="0" t="n">
        <v>3.9454</v>
      </c>
      <c r="DD138" s="0" t="n">
        <v>3.4592</v>
      </c>
      <c r="DE138" s="0" t="n">
        <v>7.011</v>
      </c>
      <c r="DF138" s="0" t="n">
        <v>3.1256</v>
      </c>
      <c r="DG138" s="0" t="n">
        <v>10.9137</v>
      </c>
      <c r="DH138" s="0" t="n">
        <v>6.9854</v>
      </c>
      <c r="DI138" s="0" t="n">
        <v>15.1197</v>
      </c>
      <c r="DJ138" s="0" t="n">
        <v>5.1827</v>
      </c>
      <c r="DK138" s="0" t="n">
        <v>11.1733</v>
      </c>
      <c r="DL138" s="0" t="n">
        <v>13.3395</v>
      </c>
      <c r="DM138" s="0" t="n">
        <v>2.6736</v>
      </c>
      <c r="DN138" s="0" t="n">
        <v>20.011</v>
      </c>
      <c r="DO138" s="0" t="n">
        <v>16.5022</v>
      </c>
      <c r="DP138" s="0" t="n">
        <v>10.5769</v>
      </c>
      <c r="DQ138" s="0" t="n">
        <v>7.0503</v>
      </c>
      <c r="DR138" s="0" t="n">
        <v>16.0588</v>
      </c>
      <c r="DS138" s="0" t="n">
        <v>7.5032</v>
      </c>
      <c r="DT138" s="0" t="n">
        <v>14.3384</v>
      </c>
      <c r="DU138" s="0" t="n">
        <v>12.5672</v>
      </c>
      <c r="DV138" s="0" t="n">
        <v>7.2836</v>
      </c>
      <c r="DW138" s="0" t="n">
        <v>15.528</v>
      </c>
      <c r="DX138" s="0" t="n">
        <v>7.9659</v>
      </c>
      <c r="DY138" s="0" t="n">
        <v>0.8187</v>
      </c>
      <c r="DZ138" s="0" t="n">
        <v>5.8717</v>
      </c>
      <c r="EA138" s="0" t="n">
        <v>6.0232</v>
      </c>
      <c r="EB138" s="0" t="n">
        <v>2.6723</v>
      </c>
      <c r="EC138" s="0" t="n">
        <v>2.4653</v>
      </c>
      <c r="ED138" s="0" t="n">
        <v>1.4191</v>
      </c>
      <c r="EE138" s="0" t="n">
        <v>2.0236</v>
      </c>
      <c r="EF138" s="0" t="n">
        <v>1.6402</v>
      </c>
      <c r="EG138" s="0" t="n">
        <v>0.7112</v>
      </c>
      <c r="EH138" s="0" t="n">
        <v>1.1413</v>
      </c>
      <c r="EI138" s="0" t="n">
        <v>0.1681</v>
      </c>
      <c r="EJ138" s="0" t="n">
        <v>0.4902</v>
      </c>
      <c r="EK138" s="0" t="n">
        <v>0.7635</v>
      </c>
      <c r="EL138" s="0" t="n">
        <v>0.4161</v>
      </c>
      <c r="EM138" s="0" t="n">
        <v>0.311</v>
      </c>
      <c r="EN138" s="0" t="n">
        <v>0.2242</v>
      </c>
      <c r="EO138" s="0" t="n">
        <v>0.3819</v>
      </c>
      <c r="EP138" s="0" t="n">
        <v>0.0307</v>
      </c>
      <c r="EQ138" s="0" t="n">
        <v>0.2762</v>
      </c>
      <c r="ER138" s="0" t="n">
        <v>0.0517</v>
      </c>
      <c r="ES138" s="0" t="n">
        <v>0.1239</v>
      </c>
      <c r="ET138" s="0" t="n">
        <v>0.1351</v>
      </c>
      <c r="EU138" s="0" t="n">
        <v>0.2191</v>
      </c>
      <c r="EV138" s="0" t="n">
        <v>0.1417</v>
      </c>
      <c r="EW138" s="0" t="n">
        <v>0.0784</v>
      </c>
      <c r="EX138" s="0" t="n">
        <v>0.0196</v>
      </c>
      <c r="EY138" s="0" t="n">
        <v>0.0063</v>
      </c>
      <c r="EZ138" s="0" t="n">
        <v>0.0209</v>
      </c>
      <c r="FA138" s="0" t="n">
        <v>0.0208</v>
      </c>
      <c r="FB138" s="0" t="n">
        <v>0</v>
      </c>
      <c r="FC138" s="0" t="n">
        <v>0.109</v>
      </c>
      <c r="FD138" s="0" t="n">
        <v>0.0222</v>
      </c>
      <c r="FE138" s="0" t="n">
        <v>0.0243</v>
      </c>
      <c r="FF138" s="0" t="n">
        <v>0.0175</v>
      </c>
      <c r="FG138" s="0" t="n">
        <v>0.0296</v>
      </c>
      <c r="FH138" s="0" t="n">
        <v>0.0078</v>
      </c>
      <c r="FI138" s="0" t="n">
        <v>0.6737</v>
      </c>
      <c r="FJ138" s="0" t="n">
        <v>0.0075</v>
      </c>
      <c r="FK138" s="0" t="n">
        <v>0</v>
      </c>
      <c r="FL138" s="0" t="n">
        <v>0.1128</v>
      </c>
      <c r="FM138" s="0" t="n">
        <v>0.6306</v>
      </c>
      <c r="FN138" s="0" t="n">
        <v>0.0085</v>
      </c>
      <c r="FO138" s="0" t="n">
        <v>0.0394</v>
      </c>
      <c r="FP138" s="0" t="n">
        <v>0</v>
      </c>
    </row>
    <row r="139" customFormat="false" ht="13.8" hidden="false" customHeight="false" outlineLevel="0" collapsed="false">
      <c r="A139" s="2" t="s">
        <v>440</v>
      </c>
      <c r="B139" s="0" t="s">
        <v>173</v>
      </c>
      <c r="C139" s="0" t="n">
        <v>157</v>
      </c>
      <c r="D139" s="0" t="s">
        <v>441</v>
      </c>
      <c r="G139" s="0" t="n">
        <v>1795.013</v>
      </c>
      <c r="H139" s="0" t="n">
        <v>126.8978</v>
      </c>
      <c r="I139" s="0" t="n">
        <v>398.6611</v>
      </c>
      <c r="J139" s="0" t="n">
        <v>0.7272</v>
      </c>
      <c r="K139" s="0" t="n">
        <v>0</v>
      </c>
      <c r="L139" s="0" t="n">
        <v>142.4504</v>
      </c>
      <c r="M139" s="0" t="n">
        <v>129.6847</v>
      </c>
      <c r="N139" s="0" t="n">
        <v>208.2028</v>
      </c>
      <c r="O139" s="0" t="n">
        <v>167.7579</v>
      </c>
      <c r="P139" s="0" t="n">
        <v>119.6799</v>
      </c>
      <c r="Q139" s="0" t="n">
        <v>94.6776</v>
      </c>
      <c r="R139" s="0" t="n">
        <v>87.0876</v>
      </c>
      <c r="S139" s="0" t="n">
        <v>46.8112</v>
      </c>
      <c r="T139" s="0" t="n">
        <v>42.3729</v>
      </c>
      <c r="U139" s="0" t="n">
        <v>36.7072</v>
      </c>
      <c r="V139" s="0" t="n">
        <v>33.3659</v>
      </c>
      <c r="W139" s="0" t="n">
        <v>34.5986</v>
      </c>
      <c r="X139" s="0" t="n">
        <v>36.4841</v>
      </c>
      <c r="Y139" s="0" t="n">
        <v>28.0381</v>
      </c>
      <c r="Z139" s="0" t="n">
        <v>26.8314</v>
      </c>
      <c r="AA139" s="0" t="n">
        <v>16.5473</v>
      </c>
      <c r="AB139" s="0" t="n">
        <v>14.8479</v>
      </c>
      <c r="AC139" s="0" t="n">
        <v>15.4545</v>
      </c>
      <c r="AD139" s="0" t="n">
        <v>21.8746</v>
      </c>
      <c r="AE139" s="0" t="n">
        <v>26.7869</v>
      </c>
      <c r="AF139" s="0" t="n">
        <v>29.0667</v>
      </c>
      <c r="AG139" s="0" t="n">
        <v>20.6487</v>
      </c>
      <c r="AH139" s="0" t="n">
        <v>15.8507</v>
      </c>
      <c r="AI139" s="0" t="n">
        <v>16.3806</v>
      </c>
      <c r="AJ139" s="0" t="n">
        <v>17.1753</v>
      </c>
      <c r="AK139" s="0" t="n">
        <v>25.4321</v>
      </c>
      <c r="AL139" s="0" t="n">
        <v>22.5949</v>
      </c>
      <c r="AM139" s="0" t="n">
        <v>23.2279</v>
      </c>
      <c r="AN139" s="0" t="n">
        <v>20.8139</v>
      </c>
      <c r="AO139" s="0" t="n">
        <v>18.0031</v>
      </c>
      <c r="AP139" s="0" t="n">
        <v>17.218</v>
      </c>
      <c r="AQ139" s="0" t="n">
        <v>18.4873</v>
      </c>
      <c r="AR139" s="0" t="n">
        <v>24.7337</v>
      </c>
      <c r="AS139" s="0" t="n">
        <v>21.9289</v>
      </c>
      <c r="AT139" s="0" t="n">
        <v>23.6393</v>
      </c>
      <c r="AU139" s="0" t="n">
        <v>24.7662</v>
      </c>
      <c r="AV139" s="0" t="n">
        <v>18.3226</v>
      </c>
      <c r="AW139" s="0" t="n">
        <v>17.9954</v>
      </c>
      <c r="AX139" s="0" t="n">
        <v>15.7577</v>
      </c>
      <c r="AY139" s="0" t="n">
        <v>13.3157</v>
      </c>
      <c r="AZ139" s="0" t="n">
        <v>9.7961</v>
      </c>
      <c r="BA139" s="0" t="n">
        <v>11.1287</v>
      </c>
      <c r="BB139" s="0" t="n">
        <v>6.0565</v>
      </c>
      <c r="BC139" s="0" t="n">
        <v>8.0583</v>
      </c>
      <c r="BD139" s="0" t="n">
        <v>3.8654</v>
      </c>
      <c r="BE139" s="0" t="n">
        <v>2.9115</v>
      </c>
      <c r="BF139" s="0" t="n">
        <v>2.537</v>
      </c>
      <c r="BG139" s="0" t="n">
        <v>3.3497</v>
      </c>
      <c r="BH139" s="0" t="n">
        <v>2.1998</v>
      </c>
      <c r="BI139" s="0" t="n">
        <v>2.1544</v>
      </c>
      <c r="BJ139" s="0" t="n">
        <v>1.6256</v>
      </c>
      <c r="BK139" s="0" t="n">
        <v>1.2601</v>
      </c>
      <c r="BL139" s="0" t="n">
        <v>0.9539</v>
      </c>
      <c r="BM139" s="0" t="n">
        <v>0.533</v>
      </c>
      <c r="BN139" s="0" t="n">
        <v>0.2078</v>
      </c>
      <c r="BO139" s="0" t="n">
        <v>0.2274</v>
      </c>
      <c r="BP139" s="0" t="n">
        <v>0.2521</v>
      </c>
      <c r="BQ139" s="0" t="n">
        <v>0.0222</v>
      </c>
      <c r="BR139" s="0" t="n">
        <v>0.0338</v>
      </c>
      <c r="BS139" s="0" t="n">
        <v>0.0793</v>
      </c>
      <c r="BT139" s="0" t="n">
        <v>0.8307</v>
      </c>
      <c r="BU139" s="0" t="n">
        <v>0.065</v>
      </c>
      <c r="BV139" s="0" t="n">
        <v>0.072</v>
      </c>
      <c r="BW139" s="0" t="n">
        <v>0.1847</v>
      </c>
      <c r="BX139" s="0" t="n">
        <v>0</v>
      </c>
      <c r="BY139" s="0" t="n">
        <v>0.0587</v>
      </c>
      <c r="BZ139" s="0" t="n">
        <v>0.1777</v>
      </c>
      <c r="CA139" s="0" t="n">
        <v>0.0354</v>
      </c>
      <c r="CB139" s="0" t="n">
        <v>0.0392</v>
      </c>
      <c r="CC139" s="0" t="n">
        <v>0</v>
      </c>
      <c r="CD139" s="0" t="n">
        <v>0.0064</v>
      </c>
      <c r="CE139" s="0" t="n">
        <v>0.0064</v>
      </c>
      <c r="CF139" s="0" t="n">
        <v>0.0259</v>
      </c>
      <c r="CG139" s="0" t="n">
        <v>0.0196</v>
      </c>
      <c r="CH139" s="0" t="n">
        <v>0.0064</v>
      </c>
      <c r="CI139" s="0" t="n">
        <v>0.0259</v>
      </c>
      <c r="CJ139" s="0" t="n">
        <v>0.0264</v>
      </c>
      <c r="CK139" s="0" t="n">
        <v>0.0323</v>
      </c>
      <c r="CL139" s="0" t="n">
        <v>0.0259</v>
      </c>
      <c r="CM139" s="0" t="n">
        <v>0.1269</v>
      </c>
      <c r="CN139" s="0" t="n">
        <v>0</v>
      </c>
      <c r="CO139" s="0" t="n">
        <v>3.707</v>
      </c>
      <c r="CP139" s="0" t="n">
        <v>5.0246</v>
      </c>
      <c r="CQ139" s="0" t="n">
        <v>11.5071</v>
      </c>
      <c r="CR139" s="0" t="n">
        <v>11.6828</v>
      </c>
      <c r="CS139" s="0" t="n">
        <v>10.2982</v>
      </c>
      <c r="CT139" s="0" t="n">
        <v>9.6406</v>
      </c>
      <c r="CU139" s="0" t="n">
        <v>10.2484</v>
      </c>
      <c r="CV139" s="0" t="n">
        <v>6.2527</v>
      </c>
      <c r="CW139" s="0" t="n">
        <v>6.3099</v>
      </c>
      <c r="CX139" s="0" t="n">
        <v>6.0351</v>
      </c>
      <c r="CY139" s="0" t="n">
        <v>6.0473</v>
      </c>
      <c r="CZ139" s="0" t="n">
        <v>6.788</v>
      </c>
      <c r="DA139" s="0" t="n">
        <v>7.7156</v>
      </c>
      <c r="DB139" s="0" t="n">
        <v>6.3796</v>
      </c>
      <c r="DC139" s="0" t="n">
        <v>6.5311</v>
      </c>
      <c r="DD139" s="0" t="n">
        <v>4.2671</v>
      </c>
      <c r="DE139" s="0" t="n">
        <v>4.0698</v>
      </c>
      <c r="DF139" s="0" t="n">
        <v>4.4987</v>
      </c>
      <c r="DG139" s="0" t="n">
        <v>6.6999</v>
      </c>
      <c r="DH139" s="0" t="n">
        <v>8.6363</v>
      </c>
      <c r="DI139" s="0" t="n">
        <v>9.8463</v>
      </c>
      <c r="DJ139" s="0" t="n">
        <v>7.273</v>
      </c>
      <c r="DK139" s="0" t="n">
        <v>5.8579</v>
      </c>
      <c r="DL139" s="0" t="n">
        <v>6.3039</v>
      </c>
      <c r="DM139" s="0" t="n">
        <v>6.8754</v>
      </c>
      <c r="DN139" s="0" t="n">
        <v>10.5806</v>
      </c>
      <c r="DO139" s="0" t="n">
        <v>9.7787</v>
      </c>
      <c r="DP139" s="0" t="n">
        <v>10.3882</v>
      </c>
      <c r="DQ139" s="0" t="n">
        <v>9.6392</v>
      </c>
      <c r="DR139" s="0" t="n">
        <v>8.6256</v>
      </c>
      <c r="DS139" s="0" t="n">
        <v>8.5151</v>
      </c>
      <c r="DT139" s="0" t="n">
        <v>9.4387</v>
      </c>
      <c r="DU139" s="0" t="n">
        <v>13.0255</v>
      </c>
      <c r="DV139" s="0" t="n">
        <v>11.8721</v>
      </c>
      <c r="DW139" s="0" t="n">
        <v>13.1925</v>
      </c>
      <c r="DX139" s="0" t="n">
        <v>14.2184</v>
      </c>
      <c r="DY139" s="0" t="n">
        <v>10.7822</v>
      </c>
      <c r="DZ139" s="0" t="n">
        <v>10.8653</v>
      </c>
      <c r="EA139" s="0" t="n">
        <v>9.7746</v>
      </c>
      <c r="EB139" s="0" t="n">
        <v>8.4782</v>
      </c>
      <c r="EC139" s="0" t="n">
        <v>6.3822</v>
      </c>
      <c r="ED139" s="0" t="n">
        <v>7.4183</v>
      </c>
      <c r="EE139" s="0" t="n">
        <v>4.1295</v>
      </c>
      <c r="EF139" s="0" t="n">
        <v>5.6229</v>
      </c>
      <c r="EG139" s="0" t="n">
        <v>2.7628</v>
      </c>
      <c r="EH139" s="0" t="n">
        <v>2.1272</v>
      </c>
      <c r="EI139" s="0" t="n">
        <v>1.8954</v>
      </c>
      <c r="EJ139" s="0" t="n">
        <v>2.5499</v>
      </c>
      <c r="EK139" s="0" t="n">
        <v>1.7121</v>
      </c>
      <c r="EL139" s="0" t="n">
        <v>1.7073</v>
      </c>
      <c r="EM139" s="0" t="n">
        <v>1.3116</v>
      </c>
      <c r="EN139" s="0" t="n">
        <v>1.038</v>
      </c>
      <c r="EO139" s="0" t="n">
        <v>0.8018</v>
      </c>
      <c r="EP139" s="0" t="n">
        <v>0.4551</v>
      </c>
      <c r="EQ139" s="0" t="n">
        <v>0.1811</v>
      </c>
      <c r="ER139" s="0" t="n">
        <v>0.2022</v>
      </c>
      <c r="ES139" s="0" t="n">
        <v>0.227</v>
      </c>
      <c r="ET139" s="0" t="n">
        <v>0.0204</v>
      </c>
      <c r="EU139" s="0" t="n">
        <v>0.0317</v>
      </c>
      <c r="EV139" s="0" t="n">
        <v>0.0754</v>
      </c>
      <c r="EW139" s="0" t="n">
        <v>0.8008</v>
      </c>
      <c r="EX139" s="0" t="n">
        <v>0.0639</v>
      </c>
      <c r="EY139" s="0" t="n">
        <v>0.0721</v>
      </c>
      <c r="EZ139" s="0" t="n">
        <v>0.1867</v>
      </c>
      <c r="FA139" s="0" t="n">
        <v>0</v>
      </c>
      <c r="FB139" s="0" t="n">
        <v>0.0616</v>
      </c>
      <c r="FC139" s="0" t="n">
        <v>0.1879</v>
      </c>
      <c r="FD139" s="0" t="n">
        <v>0.0379</v>
      </c>
      <c r="FE139" s="0" t="n">
        <v>0.0427</v>
      </c>
      <c r="FF139" s="0" t="n">
        <v>0</v>
      </c>
      <c r="FG139" s="0" t="n">
        <v>0.0072</v>
      </c>
      <c r="FH139" s="0" t="n">
        <v>0.0073</v>
      </c>
      <c r="FI139" s="0" t="n">
        <v>0.0299</v>
      </c>
      <c r="FJ139" s="0" t="n">
        <v>0.0229</v>
      </c>
      <c r="FK139" s="0" t="n">
        <v>0.0075</v>
      </c>
      <c r="FL139" s="0" t="n">
        <v>0.0311</v>
      </c>
      <c r="FM139" s="0" t="n">
        <v>0.0322</v>
      </c>
      <c r="FN139" s="0" t="n">
        <v>0.0398</v>
      </c>
      <c r="FO139" s="0" t="n">
        <v>0.0324</v>
      </c>
      <c r="FP139" s="0" t="n">
        <v>0.1624</v>
      </c>
    </row>
    <row r="140" customFormat="false" ht="13.8" hidden="false" customHeight="false" outlineLevel="0" collapsed="false">
      <c r="A140" s="2" t="s">
        <v>442</v>
      </c>
      <c r="B140" s="0" t="s">
        <v>176</v>
      </c>
      <c r="C140" s="0" t="n">
        <v>314</v>
      </c>
      <c r="D140" s="0" t="s">
        <v>443</v>
      </c>
      <c r="E140" s="0" t="e">
        <f aca="false">VLOOKUP(A140,[1]RHIZOMES!$A$1:$B$1048576,2,0)</f>
        <v>#N/A</v>
      </c>
      <c r="F140" s="0" t="n">
        <v>3.8549</v>
      </c>
      <c r="G140" s="0" t="n">
        <v>3930.1181</v>
      </c>
      <c r="H140" s="0" t="n">
        <v>246.2862</v>
      </c>
      <c r="I140" s="0" t="n">
        <v>773.731</v>
      </c>
      <c r="J140" s="0" t="n">
        <v>0.6272375</v>
      </c>
      <c r="K140" s="0" t="n">
        <v>0</v>
      </c>
      <c r="L140" s="0" t="n">
        <v>401.5913</v>
      </c>
      <c r="M140" s="0" t="n">
        <v>499.02</v>
      </c>
      <c r="N140" s="0" t="n">
        <v>408.1469</v>
      </c>
      <c r="O140" s="0" t="n">
        <v>53.982</v>
      </c>
      <c r="P140" s="0" t="n">
        <v>432.6562</v>
      </c>
      <c r="Q140" s="0" t="n">
        <v>223.6539</v>
      </c>
      <c r="R140" s="0" t="n">
        <v>234.2557</v>
      </c>
      <c r="S140" s="0" t="n">
        <v>147.5187</v>
      </c>
      <c r="T140" s="0" t="n">
        <v>49.2888</v>
      </c>
      <c r="U140" s="0" t="n">
        <v>144.5818</v>
      </c>
      <c r="V140" s="0" t="n">
        <v>117.0866</v>
      </c>
      <c r="W140" s="0" t="n">
        <v>76.6832</v>
      </c>
      <c r="X140" s="0" t="n">
        <v>75.3907</v>
      </c>
      <c r="Y140" s="0" t="n">
        <v>55.6258</v>
      </c>
      <c r="Z140" s="0" t="n">
        <v>48.364</v>
      </c>
      <c r="AA140" s="0" t="n">
        <v>38.3782</v>
      </c>
      <c r="AB140" s="0" t="n">
        <v>62.8563</v>
      </c>
      <c r="AC140" s="0" t="n">
        <v>28.2535</v>
      </c>
      <c r="AD140" s="0" t="n">
        <v>61.2389</v>
      </c>
      <c r="AE140" s="0" t="n">
        <v>40.7167</v>
      </c>
      <c r="AF140" s="0" t="n">
        <v>61.5461</v>
      </c>
      <c r="AG140" s="0" t="n">
        <v>30.8789</v>
      </c>
      <c r="AH140" s="0" t="n">
        <v>45.1225</v>
      </c>
      <c r="AI140" s="0" t="n">
        <v>59.437</v>
      </c>
      <c r="AJ140" s="0" t="n">
        <v>15.0098</v>
      </c>
      <c r="AK140" s="0" t="n">
        <v>57.2961</v>
      </c>
      <c r="AL140" s="0" t="n">
        <v>47.1619</v>
      </c>
      <c r="AM140" s="0" t="n">
        <v>30.8752</v>
      </c>
      <c r="AN140" s="0" t="n">
        <v>21.6822</v>
      </c>
      <c r="AO140" s="0" t="n">
        <v>47.4449</v>
      </c>
      <c r="AP140" s="0" t="n">
        <v>31.3275</v>
      </c>
      <c r="AQ140" s="0" t="n">
        <v>34.0778</v>
      </c>
      <c r="AR140" s="0" t="n">
        <v>25.1489</v>
      </c>
      <c r="AS140" s="0" t="n">
        <v>26.6444</v>
      </c>
      <c r="AT140" s="0" t="n">
        <v>35.948</v>
      </c>
      <c r="AU140" s="0" t="n">
        <v>29.9402</v>
      </c>
      <c r="AV140" s="0" t="n">
        <v>3.7111</v>
      </c>
      <c r="AW140" s="0" t="n">
        <v>18.3339</v>
      </c>
      <c r="AX140" s="0" t="n">
        <v>20.2669</v>
      </c>
      <c r="AY140" s="0" t="n">
        <v>9.314</v>
      </c>
      <c r="AZ140" s="0" t="n">
        <v>11.3774</v>
      </c>
      <c r="BA140" s="0" t="n">
        <v>6.8515</v>
      </c>
      <c r="BB140" s="0" t="n">
        <v>8.3368</v>
      </c>
      <c r="BC140" s="0" t="n">
        <v>6.5153</v>
      </c>
      <c r="BD140" s="0" t="n">
        <v>2.6228</v>
      </c>
      <c r="BE140" s="0" t="n">
        <v>4.8951</v>
      </c>
      <c r="BF140" s="0" t="n">
        <v>2.1701</v>
      </c>
      <c r="BG140" s="0" t="n">
        <v>5.2765</v>
      </c>
      <c r="BH140" s="0" t="n">
        <v>3.5014</v>
      </c>
      <c r="BI140" s="0" t="n">
        <v>1.2877</v>
      </c>
      <c r="BJ140" s="0" t="n">
        <v>1.9025</v>
      </c>
      <c r="BK140" s="0" t="n">
        <v>3.0841</v>
      </c>
      <c r="BL140" s="0" t="n">
        <v>1.9392</v>
      </c>
      <c r="BM140" s="0" t="n">
        <v>0.9567</v>
      </c>
      <c r="BN140" s="0" t="n">
        <v>2.2611</v>
      </c>
      <c r="BO140" s="0" t="n">
        <v>0.201</v>
      </c>
      <c r="BP140" s="0" t="n">
        <v>0.8935</v>
      </c>
      <c r="BQ140" s="0" t="n">
        <v>0.7901</v>
      </c>
      <c r="BR140" s="0" t="n">
        <v>0.8815</v>
      </c>
      <c r="BS140" s="0" t="n">
        <v>0.8731</v>
      </c>
      <c r="BT140" s="0" t="n">
        <v>0.8726</v>
      </c>
      <c r="BU140" s="0" t="n">
        <v>0.617</v>
      </c>
      <c r="BV140" s="0" t="n">
        <v>0.7363</v>
      </c>
      <c r="BW140" s="0" t="n">
        <v>0.4513</v>
      </c>
      <c r="BX140" s="0" t="n">
        <v>0.4166</v>
      </c>
      <c r="BY140" s="0" t="n">
        <v>0.6649</v>
      </c>
      <c r="BZ140" s="0" t="n">
        <v>0.9312</v>
      </c>
      <c r="CA140" s="0" t="n">
        <v>1.2548</v>
      </c>
      <c r="CB140" s="0" t="n">
        <v>0.2565</v>
      </c>
      <c r="CC140" s="0" t="n">
        <v>0.1073</v>
      </c>
      <c r="CD140" s="0" t="n">
        <v>0.2396</v>
      </c>
      <c r="CE140" s="0" t="n">
        <v>0.1343</v>
      </c>
      <c r="CF140" s="0" t="n">
        <v>0.7368</v>
      </c>
      <c r="CG140" s="0" t="n">
        <v>1.0808</v>
      </c>
      <c r="CH140" s="0" t="n">
        <v>0.018</v>
      </c>
      <c r="CI140" s="0" t="n">
        <v>0.0999</v>
      </c>
      <c r="CJ140" s="0" t="n">
        <v>0.3436</v>
      </c>
      <c r="CK140" s="0" t="n">
        <v>0.0392</v>
      </c>
      <c r="CL140" s="0" t="n">
        <v>0.0988</v>
      </c>
      <c r="CM140" s="0" t="n">
        <v>2.3674</v>
      </c>
      <c r="CN140" s="0" t="n">
        <v>0</v>
      </c>
      <c r="CO140" s="0" t="n">
        <v>8.6332</v>
      </c>
      <c r="CP140" s="0" t="n">
        <v>21.225</v>
      </c>
      <c r="CQ140" s="0" t="n">
        <v>24.715</v>
      </c>
      <c r="CR140" s="0" t="n">
        <v>3.862</v>
      </c>
      <c r="CS140" s="0" t="n">
        <v>36.0964</v>
      </c>
      <c r="CT140" s="0" t="n">
        <v>22.5946</v>
      </c>
      <c r="CU140" s="0" t="n">
        <v>27.5142</v>
      </c>
      <c r="CV140" s="0" t="n">
        <v>20.3115</v>
      </c>
      <c r="CW140" s="0" t="n">
        <v>7.1825</v>
      </c>
      <c r="CX140" s="0" t="n">
        <v>23.5604</v>
      </c>
      <c r="CY140" s="0" t="n">
        <v>21.374</v>
      </c>
      <c r="CZ140" s="0" t="n">
        <v>15.1775</v>
      </c>
      <c r="DA140" s="0" t="n">
        <v>15.9144</v>
      </c>
      <c r="DB140" s="0" t="n">
        <v>12.6456</v>
      </c>
      <c r="DC140" s="0" t="n">
        <v>11.8416</v>
      </c>
      <c r="DD140" s="0" t="n">
        <v>9.8585</v>
      </c>
      <c r="DE140" s="0" t="n">
        <v>17.2439</v>
      </c>
      <c r="DF140" s="0" t="n">
        <v>8.1995</v>
      </c>
      <c r="DG140" s="0" t="n">
        <v>18.6297</v>
      </c>
      <c r="DH140" s="0" t="n">
        <v>13.0595</v>
      </c>
      <c r="DI140" s="0" t="n">
        <v>20.8614</v>
      </c>
      <c r="DJ140" s="0" t="n">
        <v>10.9724</v>
      </c>
      <c r="DK140" s="0" t="n">
        <v>16.6757</v>
      </c>
      <c r="DL140" s="0" t="n">
        <v>23.1051</v>
      </c>
      <c r="DM140" s="0" t="n">
        <v>5.9831</v>
      </c>
      <c r="DN140" s="0" t="n">
        <v>23.7999</v>
      </c>
      <c r="DO140" s="0" t="n">
        <v>20.5348</v>
      </c>
      <c r="DP140" s="0" t="n">
        <v>14.0123</v>
      </c>
      <c r="DQ140" s="0" t="n">
        <v>9.9743</v>
      </c>
      <c r="DR140" s="0" t="n">
        <v>22.6573</v>
      </c>
      <c r="DS140" s="0" t="n">
        <v>15.5565</v>
      </c>
      <c r="DT140" s="0" t="n">
        <v>17.4866</v>
      </c>
      <c r="DU140" s="0" t="n">
        <v>13.2295</v>
      </c>
      <c r="DV140" s="0" t="n">
        <v>14.3211</v>
      </c>
      <c r="DW140" s="0" t="n">
        <v>20.0063</v>
      </c>
      <c r="DX140" s="0" t="n">
        <v>17.2767</v>
      </c>
      <c r="DY140" s="0" t="n">
        <v>2.1972</v>
      </c>
      <c r="DZ140" s="0" t="n">
        <v>10.9869</v>
      </c>
      <c r="EA140" s="0" t="n">
        <v>12.5692</v>
      </c>
      <c r="EB140" s="0" t="n">
        <v>5.9518</v>
      </c>
      <c r="EC140" s="0" t="n">
        <v>7.4049</v>
      </c>
      <c r="ED140" s="0" t="n">
        <v>4.5478</v>
      </c>
      <c r="EE140" s="0" t="n">
        <v>5.6885</v>
      </c>
      <c r="EF140" s="0" t="n">
        <v>4.5669</v>
      </c>
      <c r="EG140" s="0" t="n">
        <v>1.8801</v>
      </c>
      <c r="EH140" s="0" t="n">
        <v>3.5808</v>
      </c>
      <c r="EI140" s="0" t="n">
        <v>1.6136</v>
      </c>
      <c r="EJ140" s="0" t="n">
        <v>4.0205</v>
      </c>
      <c r="EK140" s="0" t="n">
        <v>2.7376</v>
      </c>
      <c r="EL140" s="0" t="n">
        <v>1.0254</v>
      </c>
      <c r="EM140" s="0" t="n">
        <v>1.5332</v>
      </c>
      <c r="EN140" s="0" t="n">
        <v>2.5383</v>
      </c>
      <c r="EO140" s="0" t="n">
        <v>1.638</v>
      </c>
      <c r="EP140" s="0" t="n">
        <v>0.8181</v>
      </c>
      <c r="EQ140" s="0" t="n">
        <v>1.9743</v>
      </c>
      <c r="ER140" s="0" t="n">
        <v>0.1784</v>
      </c>
      <c r="ES140" s="0" t="n">
        <v>0.8057</v>
      </c>
      <c r="ET140" s="0" t="n">
        <v>0.7273</v>
      </c>
      <c r="EU140" s="0" t="n">
        <v>0.8224</v>
      </c>
      <c r="EV140" s="0" t="n">
        <v>0.828</v>
      </c>
      <c r="EW140" s="0" t="n">
        <v>0.8441</v>
      </c>
      <c r="EX140" s="0" t="n">
        <v>0.6091</v>
      </c>
      <c r="EY140" s="0" t="n">
        <v>0.7321</v>
      </c>
      <c r="EZ140" s="0" t="n">
        <v>0.4576</v>
      </c>
      <c r="FA140" s="0" t="n">
        <v>0.4315</v>
      </c>
      <c r="FB140" s="0" t="n">
        <v>0.6915</v>
      </c>
      <c r="FC140" s="0" t="n">
        <v>0.9838</v>
      </c>
      <c r="FD140" s="0" t="n">
        <v>1.3503</v>
      </c>
      <c r="FE140" s="0" t="n">
        <v>0.2811</v>
      </c>
      <c r="FF140" s="0" t="n">
        <v>0.1186</v>
      </c>
      <c r="FG140" s="0" t="n">
        <v>0.2683</v>
      </c>
      <c r="FH140" s="0" t="n">
        <v>0.1526</v>
      </c>
      <c r="FI140" s="0" t="n">
        <v>0.8498</v>
      </c>
      <c r="FJ140" s="0" t="n">
        <v>1.2705</v>
      </c>
      <c r="FK140" s="0" t="n">
        <v>0.0213</v>
      </c>
      <c r="FL140" s="0" t="n">
        <v>0.1197</v>
      </c>
      <c r="FM140" s="0" t="n">
        <v>0.4177</v>
      </c>
      <c r="FN140" s="0" t="n">
        <v>0.0485</v>
      </c>
      <c r="FO140" s="0" t="n">
        <v>0.1228</v>
      </c>
      <c r="FP140" s="0" t="n">
        <v>3.3073</v>
      </c>
    </row>
    <row r="141" customFormat="false" ht="13.8" hidden="false" customHeight="false" outlineLevel="0" collapsed="false">
      <c r="A141" s="2" t="s">
        <v>444</v>
      </c>
      <c r="B141" s="0" t="s">
        <v>173</v>
      </c>
      <c r="C141" s="0" t="n">
        <v>27</v>
      </c>
      <c r="D141" s="0" t="s">
        <v>445</v>
      </c>
      <c r="F141" s="0" t="n">
        <v>2.9315</v>
      </c>
      <c r="G141" s="0" t="n">
        <v>2323.4397</v>
      </c>
      <c r="H141" s="0" t="n">
        <v>223.6935</v>
      </c>
      <c r="I141" s="0" t="n">
        <v>702.754</v>
      </c>
      <c r="J141" s="0" t="n">
        <v>0.8656</v>
      </c>
      <c r="K141" s="0" t="n">
        <v>0</v>
      </c>
      <c r="L141" s="0" t="n">
        <v>6.6837</v>
      </c>
      <c r="M141" s="0" t="n">
        <v>13.1834</v>
      </c>
      <c r="N141" s="0" t="n">
        <v>120.4749</v>
      </c>
      <c r="O141" s="0" t="n">
        <v>180.3929</v>
      </c>
      <c r="P141" s="0" t="n">
        <v>161.9433</v>
      </c>
      <c r="Q141" s="0" t="n">
        <v>255.085</v>
      </c>
      <c r="R141" s="0" t="n">
        <v>126.0564</v>
      </c>
      <c r="S141" s="0" t="n">
        <v>110.0017</v>
      </c>
      <c r="T141" s="0" t="n">
        <v>95.7812</v>
      </c>
      <c r="U141" s="0" t="n">
        <v>111.3392</v>
      </c>
      <c r="V141" s="0" t="n">
        <v>48.5396</v>
      </c>
      <c r="W141" s="0" t="n">
        <v>76.0181</v>
      </c>
      <c r="X141" s="0" t="n">
        <v>50.3339</v>
      </c>
      <c r="Y141" s="0" t="n">
        <v>35.5145</v>
      </c>
      <c r="Z141" s="0" t="n">
        <v>48.9026</v>
      </c>
      <c r="AA141" s="0" t="n">
        <v>44.7744</v>
      </c>
      <c r="AB141" s="0" t="n">
        <v>36.6955</v>
      </c>
      <c r="AC141" s="0" t="n">
        <v>25.7383</v>
      </c>
      <c r="AD141" s="0" t="n">
        <v>41.4358</v>
      </c>
      <c r="AE141" s="0" t="n">
        <v>36.9654</v>
      </c>
      <c r="AF141" s="0" t="n">
        <v>46.1092</v>
      </c>
      <c r="AG141" s="0" t="n">
        <v>20.4343</v>
      </c>
      <c r="AH141" s="0" t="n">
        <v>32.0869</v>
      </c>
      <c r="AI141" s="0" t="n">
        <v>36.158</v>
      </c>
      <c r="AJ141" s="0" t="n">
        <v>20.1014</v>
      </c>
      <c r="AK141" s="0" t="n">
        <v>37.4776</v>
      </c>
      <c r="AL141" s="0" t="n">
        <v>24.1061</v>
      </c>
      <c r="AM141" s="0" t="n">
        <v>28.7356</v>
      </c>
      <c r="AN141" s="0" t="n">
        <v>36.3672</v>
      </c>
      <c r="AO141" s="0" t="n">
        <v>37.0612</v>
      </c>
      <c r="AP141" s="0" t="n">
        <v>27.8388</v>
      </c>
      <c r="AQ141" s="0" t="n">
        <v>31.587</v>
      </c>
      <c r="AR141" s="0" t="n">
        <v>28.6455</v>
      </c>
      <c r="AS141" s="0" t="n">
        <v>20.1489</v>
      </c>
      <c r="AT141" s="0" t="n">
        <v>40.0318</v>
      </c>
      <c r="AU141" s="0" t="n">
        <v>34.039</v>
      </c>
      <c r="AV141" s="0" t="n">
        <v>18.1643</v>
      </c>
      <c r="AW141" s="0" t="n">
        <v>21.8979</v>
      </c>
      <c r="AX141" s="0" t="n">
        <v>25.4392</v>
      </c>
      <c r="AY141" s="0" t="n">
        <v>14.0741</v>
      </c>
      <c r="AZ141" s="0" t="n">
        <v>20.8625</v>
      </c>
      <c r="BA141" s="0" t="n">
        <v>9.2894</v>
      </c>
      <c r="BB141" s="0" t="n">
        <v>14.1092</v>
      </c>
      <c r="BC141" s="0" t="n">
        <v>8.7695</v>
      </c>
      <c r="BD141" s="0" t="n">
        <v>6.7504</v>
      </c>
      <c r="BE141" s="0" t="n">
        <v>6.5489</v>
      </c>
      <c r="BF141" s="0" t="n">
        <v>4.9541</v>
      </c>
      <c r="BG141" s="0" t="n">
        <v>3.8381</v>
      </c>
      <c r="BH141" s="0" t="n">
        <v>3.5446</v>
      </c>
      <c r="BI141" s="0" t="n">
        <v>3.1635</v>
      </c>
      <c r="BJ141" s="0" t="n">
        <v>2.0602</v>
      </c>
      <c r="BK141" s="0" t="n">
        <v>3.2654</v>
      </c>
      <c r="BL141" s="0" t="n">
        <v>1.1691</v>
      </c>
      <c r="BM141" s="0" t="n">
        <v>1.8288</v>
      </c>
      <c r="BN141" s="0" t="n">
        <v>1.6781</v>
      </c>
      <c r="BO141" s="0" t="n">
        <v>1.2063</v>
      </c>
      <c r="BP141" s="0" t="n">
        <v>1.0673</v>
      </c>
      <c r="BQ141" s="0" t="n">
        <v>1.6814</v>
      </c>
      <c r="BR141" s="0" t="n">
        <v>1.2858</v>
      </c>
      <c r="BS141" s="0" t="n">
        <v>0.6184</v>
      </c>
      <c r="BT141" s="0" t="n">
        <v>0.5821</v>
      </c>
      <c r="BU141" s="0" t="n">
        <v>0.4711</v>
      </c>
      <c r="BV141" s="0" t="n">
        <v>0.7253</v>
      </c>
      <c r="BW141" s="0" t="n">
        <v>0.9964</v>
      </c>
      <c r="BX141" s="0" t="n">
        <v>1.2513</v>
      </c>
      <c r="BY141" s="0" t="n">
        <v>0.8656</v>
      </c>
      <c r="BZ141" s="0" t="n">
        <v>1.0076</v>
      </c>
      <c r="CA141" s="0" t="n">
        <v>0.9721</v>
      </c>
      <c r="CB141" s="0" t="n">
        <v>0.5949</v>
      </c>
      <c r="CC141" s="0" t="n">
        <v>1.5314</v>
      </c>
      <c r="CD141" s="0" t="n">
        <v>0.4846</v>
      </c>
      <c r="CE141" s="0" t="n">
        <v>2.1918</v>
      </c>
      <c r="CF141" s="0" t="n">
        <v>0.349</v>
      </c>
      <c r="CG141" s="0" t="n">
        <v>0.7627</v>
      </c>
      <c r="CH141" s="0" t="n">
        <v>0.4578</v>
      </c>
      <c r="CI141" s="0" t="n">
        <v>0.1057</v>
      </c>
      <c r="CJ141" s="0" t="n">
        <v>0.6957</v>
      </c>
      <c r="CK141" s="0" t="n">
        <v>0.166</v>
      </c>
      <c r="CL141" s="0" t="n">
        <v>0.5129</v>
      </c>
      <c r="CM141" s="0" t="n">
        <v>4.3839</v>
      </c>
      <c r="CN141" s="0" t="n">
        <v>0</v>
      </c>
      <c r="CO141" s="0" t="n">
        <v>0.186</v>
      </c>
      <c r="CP141" s="0" t="n">
        <v>0.5349</v>
      </c>
      <c r="CQ141" s="0" t="n">
        <v>6.8622</v>
      </c>
      <c r="CR141" s="0" t="n">
        <v>12.8022</v>
      </c>
      <c r="CS141" s="0" t="n">
        <v>13.5191</v>
      </c>
      <c r="CT141" s="0" t="n">
        <v>25.7498</v>
      </c>
      <c r="CU141" s="0" t="n">
        <v>15.0047</v>
      </c>
      <c r="CV141" s="0" t="n">
        <v>14.6199</v>
      </c>
      <c r="CW141" s="0" t="n">
        <v>14.0462</v>
      </c>
      <c r="CX141" s="0" t="n">
        <v>18.5069</v>
      </c>
      <c r="CY141" s="0" t="n">
        <v>8.8223</v>
      </c>
      <c r="CZ141" s="0" t="n">
        <v>14.88</v>
      </c>
      <c r="DA141" s="0" t="n">
        <v>10.8902</v>
      </c>
      <c r="DB141" s="0" t="n">
        <v>8.0641</v>
      </c>
      <c r="DC141" s="0" t="n">
        <v>11.8505</v>
      </c>
      <c r="DD141" s="0" t="n">
        <v>11.567</v>
      </c>
      <c r="DE141" s="0" t="n">
        <v>10.1181</v>
      </c>
      <c r="DF141" s="0" t="n">
        <v>7.4938</v>
      </c>
      <c r="DG141" s="0" t="n">
        <v>12.7114</v>
      </c>
      <c r="DH141" s="0" t="n">
        <v>11.8504</v>
      </c>
      <c r="DI141" s="0" t="n">
        <v>15.64</v>
      </c>
      <c r="DJ141" s="0" t="n">
        <v>7.2955</v>
      </c>
      <c r="DK141" s="0" t="n">
        <v>11.784</v>
      </c>
      <c r="DL141" s="0" t="n">
        <v>13.9754</v>
      </c>
      <c r="DM141" s="0" t="n">
        <v>8.0465</v>
      </c>
      <c r="DN141" s="0" t="n">
        <v>15.6108</v>
      </c>
      <c r="DO141" s="0" t="n">
        <v>10.4527</v>
      </c>
      <c r="DP141" s="0" t="n">
        <v>12.8066</v>
      </c>
      <c r="DQ141" s="0" t="n">
        <v>16.8351</v>
      </c>
      <c r="DR141" s="0" t="n">
        <v>17.8375</v>
      </c>
      <c r="DS141" s="0" t="n">
        <v>13.7112</v>
      </c>
      <c r="DT141" s="0" t="n">
        <v>16.0852</v>
      </c>
      <c r="DU141" s="0" t="n">
        <v>15.102</v>
      </c>
      <c r="DV141" s="0" t="n">
        <v>10.8731</v>
      </c>
      <c r="DW141" s="0" t="n">
        <v>22.2288</v>
      </c>
      <c r="DX141" s="0" t="n">
        <v>19.5565</v>
      </c>
      <c r="DY141" s="0" t="n">
        <v>10.7303</v>
      </c>
      <c r="DZ141" s="0" t="n">
        <v>13.1739</v>
      </c>
      <c r="EA141" s="0" t="n">
        <v>15.8023</v>
      </c>
      <c r="EB141" s="0" t="n">
        <v>8.9669</v>
      </c>
      <c r="EC141" s="0" t="n">
        <v>13.6283</v>
      </c>
      <c r="ED141" s="0" t="n">
        <v>6.1724</v>
      </c>
      <c r="EE141" s="0" t="n">
        <v>9.6129</v>
      </c>
      <c r="EF141" s="0" t="n">
        <v>6.1533</v>
      </c>
      <c r="EG141" s="0" t="n">
        <v>4.8377</v>
      </c>
      <c r="EH141" s="0" t="n">
        <v>4.7875</v>
      </c>
      <c r="EI141" s="0" t="n">
        <v>3.6804</v>
      </c>
      <c r="EJ141" s="0" t="n">
        <v>2.9191</v>
      </c>
      <c r="EK141" s="0" t="n">
        <v>2.7563</v>
      </c>
      <c r="EL141" s="0" t="n">
        <v>2.5083</v>
      </c>
      <c r="EM141" s="0" t="n">
        <v>1.6652</v>
      </c>
      <c r="EN141" s="0" t="n">
        <v>2.6922</v>
      </c>
      <c r="EO141" s="0" t="n">
        <v>0.9828</v>
      </c>
      <c r="EP141" s="0" t="n">
        <v>1.5645</v>
      </c>
      <c r="EQ141" s="0" t="n">
        <v>1.4666</v>
      </c>
      <c r="ER141" s="0" t="n">
        <v>1.0695</v>
      </c>
      <c r="ES141" s="0" t="n">
        <v>0.9645</v>
      </c>
      <c r="ET141" s="0" t="n">
        <v>1.5483</v>
      </c>
      <c r="EU141" s="0" t="n">
        <v>1.2008</v>
      </c>
      <c r="EV141" s="0" t="n">
        <v>0.5885</v>
      </c>
      <c r="EW141" s="0" t="n">
        <v>0.5631</v>
      </c>
      <c r="EX141" s="0" t="n">
        <v>0.4648</v>
      </c>
      <c r="EY141" s="0" t="n">
        <v>0.722</v>
      </c>
      <c r="EZ141" s="0" t="n">
        <v>1.0083</v>
      </c>
      <c r="FA141" s="0" t="n">
        <v>1.2814</v>
      </c>
      <c r="FB141" s="0" t="n">
        <v>0.9065</v>
      </c>
      <c r="FC141" s="0" t="n">
        <v>1.0676</v>
      </c>
      <c r="FD141" s="0" t="n">
        <v>1.0452</v>
      </c>
      <c r="FE141" s="0" t="n">
        <v>0.6502</v>
      </c>
      <c r="FF141" s="0" t="n">
        <v>1.6888</v>
      </c>
      <c r="FG141" s="0" t="n">
        <v>0.5451</v>
      </c>
      <c r="FH141" s="0" t="n">
        <v>2.4968</v>
      </c>
      <c r="FI141" s="0" t="n">
        <v>0.4024</v>
      </c>
      <c r="FJ141" s="0" t="n">
        <v>0.8936</v>
      </c>
      <c r="FK141" s="0" t="n">
        <v>0.5426</v>
      </c>
      <c r="FL141" s="0" t="n">
        <v>0.1271</v>
      </c>
      <c r="FM141" s="0" t="n">
        <v>0.8475</v>
      </c>
      <c r="FN141" s="0" t="n">
        <v>0.2046</v>
      </c>
      <c r="FO141" s="0" t="n">
        <v>0.6417</v>
      </c>
      <c r="FP141" s="0" t="n">
        <v>6.3212</v>
      </c>
    </row>
    <row r="142" s="5" customFormat="true" ht="13.8" hidden="false" customHeight="false" outlineLevel="0" collapsed="false">
      <c r="A142" s="2" t="s">
        <v>446</v>
      </c>
      <c r="B142" s="5" t="s">
        <v>176</v>
      </c>
      <c r="C142" s="5" t="n">
        <v>213</v>
      </c>
      <c r="D142" s="5" t="s">
        <v>447</v>
      </c>
      <c r="E142" s="5" t="s">
        <v>232</v>
      </c>
      <c r="G142" s="5" t="n">
        <v>4498.1173</v>
      </c>
      <c r="H142" s="5" t="n">
        <v>195.1772</v>
      </c>
      <c r="I142" s="5" t="n">
        <v>613.1678</v>
      </c>
      <c r="J142" s="5" t="n">
        <v>0.423266666666667</v>
      </c>
      <c r="K142" s="5" t="n">
        <v>0.0303</v>
      </c>
      <c r="L142" s="5" t="n">
        <v>300.1012</v>
      </c>
      <c r="M142" s="5" t="n">
        <v>361.6498</v>
      </c>
      <c r="N142" s="5" t="n">
        <v>736.407</v>
      </c>
      <c r="O142" s="5" t="n">
        <v>666.0331</v>
      </c>
      <c r="P142" s="5" t="n">
        <v>499.1722</v>
      </c>
      <c r="Q142" s="5" t="n">
        <v>327.1505</v>
      </c>
      <c r="R142" s="5" t="n">
        <v>288.0119</v>
      </c>
      <c r="S142" s="5" t="n">
        <v>162.3143</v>
      </c>
      <c r="T142" s="5" t="n">
        <v>128.343</v>
      </c>
      <c r="U142" s="5" t="n">
        <v>112.1075</v>
      </c>
      <c r="V142" s="5" t="n">
        <v>84.6085</v>
      </c>
      <c r="W142" s="5" t="n">
        <v>77.4815</v>
      </c>
      <c r="X142" s="5" t="n">
        <v>79.8695</v>
      </c>
      <c r="Y142" s="5" t="n">
        <v>66.9842</v>
      </c>
      <c r="Z142" s="5" t="n">
        <v>57.972</v>
      </c>
      <c r="AA142" s="5" t="n">
        <v>46.1856</v>
      </c>
      <c r="AB142" s="5" t="n">
        <v>39.2015</v>
      </c>
      <c r="AC142" s="5" t="n">
        <v>34.3375</v>
      </c>
      <c r="AD142" s="5" t="n">
        <v>34.0376</v>
      </c>
      <c r="AE142" s="5" t="n">
        <v>27.725</v>
      </c>
      <c r="AF142" s="5" t="n">
        <v>30.3797</v>
      </c>
      <c r="AG142" s="5" t="n">
        <v>29.1994</v>
      </c>
      <c r="AH142" s="5" t="n">
        <v>24.1742</v>
      </c>
      <c r="AI142" s="5" t="n">
        <v>20.2143</v>
      </c>
      <c r="AJ142" s="5" t="n">
        <v>18.8682</v>
      </c>
      <c r="AK142" s="5" t="n">
        <v>17.6192</v>
      </c>
      <c r="AL142" s="5" t="n">
        <v>16.8801</v>
      </c>
      <c r="AM142" s="5" t="n">
        <v>17.9573</v>
      </c>
      <c r="AN142" s="5" t="n">
        <v>19.5167</v>
      </c>
      <c r="AO142" s="5" t="n">
        <v>24.5593</v>
      </c>
      <c r="AP142" s="5" t="n">
        <v>24.8293</v>
      </c>
      <c r="AQ142" s="5" t="n">
        <v>20.6658</v>
      </c>
      <c r="AR142" s="5" t="n">
        <v>16.7653</v>
      </c>
      <c r="AS142" s="5" t="n">
        <v>18.758</v>
      </c>
      <c r="AT142" s="5" t="n">
        <v>17.15</v>
      </c>
      <c r="AU142" s="5" t="n">
        <v>15.8994</v>
      </c>
      <c r="AV142" s="5" t="n">
        <v>10.3</v>
      </c>
      <c r="AW142" s="5" t="n">
        <v>6.3724</v>
      </c>
      <c r="AX142" s="5" t="n">
        <v>4.3883</v>
      </c>
      <c r="AY142" s="5" t="n">
        <v>3.0754</v>
      </c>
      <c r="AZ142" s="5" t="n">
        <v>1.7242</v>
      </c>
      <c r="BA142" s="5" t="n">
        <v>1.4107</v>
      </c>
      <c r="BB142" s="5" t="n">
        <v>1.0196</v>
      </c>
      <c r="BC142" s="5" t="n">
        <v>2.0549</v>
      </c>
      <c r="BD142" s="5" t="n">
        <v>0.522</v>
      </c>
      <c r="BE142" s="5" t="n">
        <v>0.448</v>
      </c>
      <c r="BF142" s="5" t="n">
        <v>0.7284</v>
      </c>
      <c r="BG142" s="5" t="n">
        <v>0.3427</v>
      </c>
      <c r="BH142" s="5" t="n">
        <v>0.7295</v>
      </c>
      <c r="BI142" s="5" t="n">
        <v>0.2252</v>
      </c>
      <c r="BJ142" s="5" t="n">
        <v>0.1428</v>
      </c>
      <c r="BK142" s="5" t="n">
        <v>0.2083</v>
      </c>
      <c r="BL142" s="5" t="n">
        <v>0.0942</v>
      </c>
      <c r="BM142" s="5" t="n">
        <v>0.0687</v>
      </c>
      <c r="BN142" s="5" t="n">
        <v>0.0952</v>
      </c>
      <c r="BO142" s="5" t="n">
        <v>0.0592</v>
      </c>
      <c r="BP142" s="5" t="n">
        <v>0.1424</v>
      </c>
      <c r="BQ142" s="5" t="n">
        <v>0</v>
      </c>
      <c r="BR142" s="5" t="n">
        <v>0</v>
      </c>
      <c r="BS142" s="5" t="n">
        <v>0</v>
      </c>
      <c r="BT142" s="5" t="n">
        <v>0</v>
      </c>
      <c r="BU142" s="5" t="n">
        <v>0</v>
      </c>
      <c r="BV142" s="5" t="n">
        <v>0</v>
      </c>
      <c r="BW142" s="5" t="n">
        <v>0</v>
      </c>
      <c r="BX142" s="5" t="n">
        <v>0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0</v>
      </c>
      <c r="CF142" s="5" t="n">
        <v>0</v>
      </c>
      <c r="CG142" s="5" t="n">
        <v>0</v>
      </c>
      <c r="CH142" s="5" t="n">
        <v>0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0.0003</v>
      </c>
      <c r="CO142" s="5" t="n">
        <v>7.9474</v>
      </c>
      <c r="CP142" s="5" t="n">
        <v>14.255</v>
      </c>
      <c r="CQ142" s="5" t="n">
        <v>40.8523</v>
      </c>
      <c r="CR142" s="5" t="n">
        <v>46.4129</v>
      </c>
      <c r="CS142" s="5" t="n">
        <v>42.78</v>
      </c>
      <c r="CT142" s="5" t="n">
        <v>33.2501</v>
      </c>
      <c r="CU142" s="5" t="n">
        <v>33.8841</v>
      </c>
      <c r="CV142" s="5" t="n">
        <v>21.6555</v>
      </c>
      <c r="CW142" s="5" t="n">
        <v>19.1113</v>
      </c>
      <c r="CX142" s="5" t="n">
        <v>18.4448</v>
      </c>
      <c r="CY142" s="5" t="n">
        <v>15.3184</v>
      </c>
      <c r="CZ142" s="5" t="n">
        <v>15.2188</v>
      </c>
      <c r="DA142" s="5" t="n">
        <v>16.9026</v>
      </c>
      <c r="DB142" s="5" t="n">
        <v>15.2323</v>
      </c>
      <c r="DC142" s="5" t="n">
        <v>14.1118</v>
      </c>
      <c r="DD142" s="5" t="n">
        <v>11.9564</v>
      </c>
      <c r="DE142" s="5" t="n">
        <v>10.7565</v>
      </c>
      <c r="DF142" s="5" t="n">
        <v>9.9872</v>
      </c>
      <c r="DG142" s="5" t="n">
        <v>10.415</v>
      </c>
      <c r="DH142" s="5" t="n">
        <v>8.9286</v>
      </c>
      <c r="DI142" s="5" t="n">
        <v>10.2717</v>
      </c>
      <c r="DJ142" s="5" t="n">
        <v>10.3213</v>
      </c>
      <c r="DK142" s="5" t="n">
        <v>8.921</v>
      </c>
      <c r="DL142" s="5" t="n">
        <v>7.7795</v>
      </c>
      <c r="DM142" s="5" t="n">
        <v>7.5466</v>
      </c>
      <c r="DN142" s="5" t="n">
        <v>7.3151</v>
      </c>
      <c r="DO142" s="5" t="n">
        <v>7.3004</v>
      </c>
      <c r="DP142" s="5" t="n">
        <v>8.0409</v>
      </c>
      <c r="DQ142" s="5" t="n">
        <v>9.0335</v>
      </c>
      <c r="DR142" s="5" t="n">
        <v>11.755</v>
      </c>
      <c r="DS142" s="5" t="n">
        <v>12.2905</v>
      </c>
      <c r="DT142" s="5" t="n">
        <v>10.5489</v>
      </c>
      <c r="DU142" s="5" t="n">
        <v>8.8176</v>
      </c>
      <c r="DV142" s="5" t="n">
        <v>10.1763</v>
      </c>
      <c r="DW142" s="5" t="n">
        <v>9.5622</v>
      </c>
      <c r="DX142" s="5" t="n">
        <v>9.1093</v>
      </c>
      <c r="DY142" s="5" t="n">
        <v>6.0655</v>
      </c>
      <c r="DZ142" s="5" t="n">
        <v>3.8473</v>
      </c>
      <c r="EA142" s="5" t="n">
        <v>2.7195</v>
      </c>
      <c r="EB142" s="5" t="n">
        <v>1.9574</v>
      </c>
      <c r="EC142" s="5" t="n">
        <v>1.1239</v>
      </c>
      <c r="ED142" s="5" t="n">
        <v>0.9392</v>
      </c>
      <c r="EE142" s="5" t="n">
        <v>0.6986</v>
      </c>
      <c r="EF142" s="5" t="n">
        <v>1.4299</v>
      </c>
      <c r="EG142" s="5" t="n">
        <v>0.3731</v>
      </c>
      <c r="EH142" s="5" t="n">
        <v>0.3274</v>
      </c>
      <c r="EI142" s="5" t="n">
        <v>0.5411</v>
      </c>
      <c r="EJ142" s="5" t="n">
        <v>0.2612</v>
      </c>
      <c r="EK142" s="5" t="n">
        <v>0.565</v>
      </c>
      <c r="EL142" s="5" t="n">
        <v>0.1784</v>
      </c>
      <c r="EM142" s="5" t="n">
        <v>0.1154</v>
      </c>
      <c r="EN142" s="5" t="n">
        <v>0.1715</v>
      </c>
      <c r="EO142" s="5" t="n">
        <v>0.0793</v>
      </c>
      <c r="EP142" s="5" t="n">
        <v>0.0588</v>
      </c>
      <c r="EQ142" s="5" t="n">
        <v>0.0831</v>
      </c>
      <c r="ER142" s="5" t="n">
        <v>0.0527</v>
      </c>
      <c r="ES142" s="5" t="n">
        <v>0.1281</v>
      </c>
      <c r="ET142" s="5" t="n">
        <v>0</v>
      </c>
      <c r="EU142" s="5" t="n">
        <v>0</v>
      </c>
      <c r="EV142" s="5" t="n">
        <v>0</v>
      </c>
      <c r="EW142" s="5" t="n">
        <v>0</v>
      </c>
      <c r="EX142" s="5" t="n">
        <v>0</v>
      </c>
      <c r="EY142" s="5" t="n">
        <v>0</v>
      </c>
      <c r="EZ142" s="5" t="n">
        <v>0</v>
      </c>
      <c r="FA142" s="5" t="n">
        <v>0</v>
      </c>
      <c r="FB142" s="5" t="n">
        <v>0</v>
      </c>
      <c r="FC142" s="5" t="n">
        <v>0</v>
      </c>
      <c r="FD142" s="5" t="n">
        <v>0</v>
      </c>
      <c r="FE142" s="5" t="n">
        <v>0</v>
      </c>
      <c r="FF142" s="5" t="n">
        <v>0</v>
      </c>
      <c r="FG142" s="5" t="n">
        <v>0</v>
      </c>
      <c r="FH142" s="5" t="n">
        <v>0</v>
      </c>
      <c r="FI142" s="5" t="n">
        <v>0</v>
      </c>
      <c r="FJ142" s="5" t="n">
        <v>0</v>
      </c>
      <c r="FK142" s="5" t="n">
        <v>0</v>
      </c>
      <c r="FL142" s="5" t="n">
        <v>0</v>
      </c>
      <c r="FM142" s="5" t="n">
        <v>0</v>
      </c>
      <c r="FN142" s="5" t="n">
        <v>0</v>
      </c>
      <c r="FO142" s="5" t="n">
        <v>0</v>
      </c>
      <c r="FP142" s="5" t="n">
        <v>0</v>
      </c>
    </row>
    <row r="143" customFormat="false" ht="13.8" hidden="false" customHeight="false" outlineLevel="0" collapsed="false">
      <c r="A143" s="2" t="s">
        <v>448</v>
      </c>
      <c r="B143" s="0" t="s">
        <v>173</v>
      </c>
      <c r="C143" s="0" t="n">
        <v>158</v>
      </c>
      <c r="D143" s="0" t="s">
        <v>449</v>
      </c>
      <c r="F143" s="0" t="e">
        <f aca="false">VLOOKUP(A143,[1]ROOT!$A$1:$C$1048576,3,0)</f>
        <v>#N/A</v>
      </c>
      <c r="G143" s="0" t="n">
        <v>3654.6161</v>
      </c>
      <c r="H143" s="0" t="n">
        <v>180.1334</v>
      </c>
      <c r="I143" s="0" t="n">
        <v>565.9053</v>
      </c>
      <c r="J143" s="0" t="n">
        <v>0.487183333333333</v>
      </c>
      <c r="K143" s="0" t="n">
        <v>0</v>
      </c>
      <c r="L143" s="0" t="n">
        <v>598.9676</v>
      </c>
      <c r="M143" s="0" t="n">
        <v>538.6308</v>
      </c>
      <c r="N143" s="0" t="n">
        <v>334.7249</v>
      </c>
      <c r="O143" s="0" t="n">
        <v>1.3091</v>
      </c>
      <c r="P143" s="0" t="n">
        <v>349.7387</v>
      </c>
      <c r="Q143" s="0" t="n">
        <v>145.9027</v>
      </c>
      <c r="R143" s="0" t="n">
        <v>236.6577</v>
      </c>
      <c r="S143" s="0" t="n">
        <v>142.3032</v>
      </c>
      <c r="T143" s="0" t="n">
        <v>26.6311</v>
      </c>
      <c r="U143" s="0" t="n">
        <v>166.527</v>
      </c>
      <c r="V143" s="0" t="n">
        <v>136.9202</v>
      </c>
      <c r="W143" s="0" t="n">
        <v>73.994</v>
      </c>
      <c r="X143" s="0" t="n">
        <v>97.2181</v>
      </c>
      <c r="Y143" s="0" t="n">
        <v>87.455</v>
      </c>
      <c r="Z143" s="0" t="n">
        <v>73.6128</v>
      </c>
      <c r="AA143" s="0" t="n">
        <v>49.7599</v>
      </c>
      <c r="AB143" s="0" t="n">
        <v>83.6559</v>
      </c>
      <c r="AC143" s="0" t="n">
        <v>29.465</v>
      </c>
      <c r="AD143" s="0" t="n">
        <v>80.6761</v>
      </c>
      <c r="AE143" s="0" t="n">
        <v>35.296</v>
      </c>
      <c r="AF143" s="0" t="n">
        <v>52.4116</v>
      </c>
      <c r="AG143" s="0" t="n">
        <v>16.5537</v>
      </c>
      <c r="AH143" s="0" t="n">
        <v>34.132</v>
      </c>
      <c r="AI143" s="0" t="n">
        <v>37.7997</v>
      </c>
      <c r="AJ143" s="0" t="n">
        <v>7.0228</v>
      </c>
      <c r="AK143" s="0" t="n">
        <v>40.4298</v>
      </c>
      <c r="AL143" s="0" t="n">
        <v>25.5172</v>
      </c>
      <c r="AM143" s="0" t="n">
        <v>12.5338</v>
      </c>
      <c r="AN143" s="0" t="n">
        <v>12.5384</v>
      </c>
      <c r="AO143" s="0" t="n">
        <v>24.5951</v>
      </c>
      <c r="AP143" s="0" t="n">
        <v>11.2129</v>
      </c>
      <c r="AQ143" s="0" t="n">
        <v>22.308</v>
      </c>
      <c r="AR143" s="0" t="n">
        <v>11.7443</v>
      </c>
      <c r="AS143" s="0" t="n">
        <v>8.8071</v>
      </c>
      <c r="AT143" s="0" t="n">
        <v>11.0993</v>
      </c>
      <c r="AU143" s="0" t="n">
        <v>7.3274</v>
      </c>
      <c r="AV143" s="0" t="n">
        <v>0.6454</v>
      </c>
      <c r="AW143" s="0" t="n">
        <v>4.556</v>
      </c>
      <c r="AX143" s="0" t="n">
        <v>4.5484</v>
      </c>
      <c r="AY143" s="0" t="n">
        <v>1.4386</v>
      </c>
      <c r="AZ143" s="0" t="n">
        <v>2.5402</v>
      </c>
      <c r="BA143" s="0" t="n">
        <v>3.5626</v>
      </c>
      <c r="BB143" s="0" t="n">
        <v>2.9119</v>
      </c>
      <c r="BC143" s="0" t="n">
        <v>1.4901</v>
      </c>
      <c r="BD143" s="0" t="n">
        <v>1.1066</v>
      </c>
      <c r="BE143" s="0" t="n">
        <v>1.0042</v>
      </c>
      <c r="BF143" s="0" t="n">
        <v>0.1459</v>
      </c>
      <c r="BG143" s="0" t="n">
        <v>0.5148</v>
      </c>
      <c r="BH143" s="0" t="n">
        <v>0.3211</v>
      </c>
      <c r="BI143" s="0" t="n">
        <v>0.1775</v>
      </c>
      <c r="BJ143" s="0" t="n">
        <v>0.127</v>
      </c>
      <c r="BK143" s="0" t="n">
        <v>0.6632</v>
      </c>
      <c r="BL143" s="0" t="n">
        <v>0.1507</v>
      </c>
      <c r="BM143" s="0" t="n">
        <v>0.1739</v>
      </c>
      <c r="BN143" s="0" t="n">
        <v>0.0587</v>
      </c>
      <c r="BO143" s="0" t="n">
        <v>0.0191</v>
      </c>
      <c r="BP143" s="0" t="n">
        <v>0.0069</v>
      </c>
      <c r="BQ143" s="0" t="n">
        <v>0.0196</v>
      </c>
      <c r="BR143" s="0" t="n">
        <v>0.4074</v>
      </c>
      <c r="BS143" s="0" t="n">
        <v>0</v>
      </c>
      <c r="BT143" s="0" t="n">
        <v>0.0741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0.0444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0.4457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12.7854</v>
      </c>
      <c r="CP143" s="0" t="n">
        <v>22.817</v>
      </c>
      <c r="CQ143" s="0" t="n">
        <v>20.4644</v>
      </c>
      <c r="CR143" s="0" t="n">
        <v>0.0905</v>
      </c>
      <c r="CS143" s="0" t="n">
        <v>29.2087</v>
      </c>
      <c r="CT143" s="0" t="n">
        <v>14.8298</v>
      </c>
      <c r="CU143" s="0" t="n">
        <v>27.6633</v>
      </c>
      <c r="CV143" s="0" t="n">
        <v>19.7523</v>
      </c>
      <c r="CW143" s="0" t="n">
        <v>3.8505</v>
      </c>
      <c r="CX143" s="0" t="n">
        <v>27.0788</v>
      </c>
      <c r="CY143" s="0" t="n">
        <v>25.041</v>
      </c>
      <c r="CZ143" s="0" t="n">
        <v>14.671</v>
      </c>
      <c r="DA143" s="0" t="n">
        <v>20.3817</v>
      </c>
      <c r="DB143" s="0" t="n">
        <v>19.8758</v>
      </c>
      <c r="DC143" s="0" t="n">
        <v>18.0752</v>
      </c>
      <c r="DD143" s="0" t="n">
        <v>12.7157</v>
      </c>
      <c r="DE143" s="0" t="n">
        <v>22.9142</v>
      </c>
      <c r="DF143" s="0" t="n">
        <v>8.5204</v>
      </c>
      <c r="DG143" s="0" t="n">
        <v>24.5166</v>
      </c>
      <c r="DH143" s="0" t="n">
        <v>11.3556</v>
      </c>
      <c r="DI143" s="0" t="n">
        <v>17.8207</v>
      </c>
      <c r="DJ143" s="0" t="n">
        <v>5.8662</v>
      </c>
      <c r="DK143" s="0" t="n">
        <v>12.5945</v>
      </c>
      <c r="DL143" s="0" t="n">
        <v>14.7614</v>
      </c>
      <c r="DM143" s="0" t="n">
        <v>2.7885</v>
      </c>
      <c r="DN143" s="0" t="n">
        <v>16.7936</v>
      </c>
      <c r="DO143" s="0" t="n">
        <v>11.1289</v>
      </c>
      <c r="DP143" s="0" t="n">
        <v>5.6869</v>
      </c>
      <c r="DQ143" s="0" t="n">
        <v>5.7721</v>
      </c>
      <c r="DR143" s="0" t="n">
        <v>11.7733</v>
      </c>
      <c r="DS143" s="0" t="n">
        <v>5.5656</v>
      </c>
      <c r="DT143" s="0" t="n">
        <v>11.3915</v>
      </c>
      <c r="DU143" s="0" t="n">
        <v>6.2017</v>
      </c>
      <c r="DV143" s="0" t="n">
        <v>4.7303</v>
      </c>
      <c r="DW143" s="0" t="n">
        <v>6.1668</v>
      </c>
      <c r="DX143" s="0" t="n">
        <v>4.2299</v>
      </c>
      <c r="DY143" s="0" t="n">
        <v>0.3825</v>
      </c>
      <c r="DZ143" s="0" t="n">
        <v>2.7281</v>
      </c>
      <c r="EA143" s="0" t="n">
        <v>2.8198</v>
      </c>
      <c r="EB143" s="0" t="n">
        <v>0.92</v>
      </c>
      <c r="EC143" s="0" t="n">
        <v>1.6434</v>
      </c>
      <c r="ED143" s="0" t="n">
        <v>2.3724</v>
      </c>
      <c r="EE143" s="0" t="n">
        <v>1.9935</v>
      </c>
      <c r="EF143" s="0" t="n">
        <v>1.0458</v>
      </c>
      <c r="EG143" s="0" t="n">
        <v>0.7909</v>
      </c>
      <c r="EH143" s="0" t="n">
        <v>0.7297</v>
      </c>
      <c r="EI143" s="0" t="n">
        <v>0.1085</v>
      </c>
      <c r="EJ143" s="0" t="n">
        <v>0.3921</v>
      </c>
      <c r="EK143" s="0" t="n">
        <v>0.2516</v>
      </c>
      <c r="EL143" s="0" t="n">
        <v>0.1404</v>
      </c>
      <c r="EM143" s="0" t="n">
        <v>0.1022</v>
      </c>
      <c r="EN143" s="0" t="n">
        <v>0.5462</v>
      </c>
      <c r="EO143" s="0" t="n">
        <v>0.1269</v>
      </c>
      <c r="EP143" s="0" t="n">
        <v>0.1491</v>
      </c>
      <c r="EQ143" s="0" t="n">
        <v>0.0509</v>
      </c>
      <c r="ER143" s="0" t="n">
        <v>0.0169</v>
      </c>
      <c r="ES143" s="0" t="n">
        <v>0.0062</v>
      </c>
      <c r="ET143" s="0" t="n">
        <v>0.018</v>
      </c>
      <c r="EU143" s="0" t="n">
        <v>0.382</v>
      </c>
      <c r="EV143" s="0" t="n">
        <v>0</v>
      </c>
      <c r="EW143" s="0" t="n">
        <v>0.0719</v>
      </c>
      <c r="EX143" s="0" t="n">
        <v>0</v>
      </c>
      <c r="EY143" s="0" t="n">
        <v>0</v>
      </c>
      <c r="EZ143" s="0" t="n">
        <v>0</v>
      </c>
      <c r="FA143" s="0" t="n">
        <v>0</v>
      </c>
      <c r="FB143" s="0" t="n">
        <v>0</v>
      </c>
      <c r="FC143" s="0" t="n">
        <v>0</v>
      </c>
      <c r="FD143" s="0" t="n">
        <v>0</v>
      </c>
      <c r="FE143" s="0" t="n">
        <v>0</v>
      </c>
      <c r="FF143" s="0" t="n">
        <v>0.0948</v>
      </c>
      <c r="FG143" s="0" t="n">
        <v>0</v>
      </c>
      <c r="FH143" s="0" t="n">
        <v>0</v>
      </c>
      <c r="FI143" s="0" t="n">
        <v>0</v>
      </c>
      <c r="FJ143" s="0" t="n">
        <v>0</v>
      </c>
      <c r="FK143" s="0" t="n">
        <v>0</v>
      </c>
      <c r="FL143" s="0" t="n">
        <v>0.5339</v>
      </c>
      <c r="FM143" s="0" t="n">
        <v>0</v>
      </c>
      <c r="FN143" s="0" t="n">
        <v>0</v>
      </c>
      <c r="FO143" s="0" t="n">
        <v>0</v>
      </c>
      <c r="FP143" s="0" t="n">
        <v>0</v>
      </c>
    </row>
    <row r="144" customFormat="false" ht="13.8" hidden="false" customHeight="false" outlineLevel="0" collapsed="false">
      <c r="A144" s="2" t="s">
        <v>450</v>
      </c>
      <c r="B144" s="0" t="s">
        <v>176</v>
      </c>
      <c r="C144" s="0" t="n">
        <v>368</v>
      </c>
      <c r="D144" s="0" t="s">
        <v>451</v>
      </c>
      <c r="E144" s="0" t="e">
        <f aca="false">VLOOKUP(A144,[1]RHIZOMES!$A$1:$B$1048576,2,0)</f>
        <v>#N/A</v>
      </c>
      <c r="G144" s="0" t="n">
        <v>2177.4992</v>
      </c>
      <c r="H144" s="0" t="n">
        <v>148.6485</v>
      </c>
      <c r="I144" s="0" t="n">
        <v>466.9928</v>
      </c>
      <c r="J144" s="0" t="n">
        <v>0.63595</v>
      </c>
      <c r="K144" s="0" t="n">
        <v>0</v>
      </c>
      <c r="L144" s="0" t="n">
        <v>235.8946</v>
      </c>
      <c r="M144" s="0" t="n">
        <v>333.4331</v>
      </c>
      <c r="N144" s="0" t="n">
        <v>248.5273</v>
      </c>
      <c r="O144" s="0" t="n">
        <v>0.4641</v>
      </c>
      <c r="P144" s="0" t="n">
        <v>204.2718</v>
      </c>
      <c r="Q144" s="0" t="n">
        <v>74.4807</v>
      </c>
      <c r="R144" s="0" t="n">
        <v>99.7773</v>
      </c>
      <c r="S144" s="0" t="n">
        <v>49.5772</v>
      </c>
      <c r="T144" s="0" t="n">
        <v>11.7939</v>
      </c>
      <c r="U144" s="0" t="n">
        <v>52.8284</v>
      </c>
      <c r="V144" s="0" t="n">
        <v>40.3784</v>
      </c>
      <c r="W144" s="0" t="n">
        <v>19.7909</v>
      </c>
      <c r="X144" s="0" t="n">
        <v>31.4665</v>
      </c>
      <c r="Y144" s="0" t="n">
        <v>21.4537</v>
      </c>
      <c r="Z144" s="0" t="n">
        <v>25.3516</v>
      </c>
      <c r="AA144" s="0" t="n">
        <v>17.6641</v>
      </c>
      <c r="AB144" s="0" t="n">
        <v>36.9216</v>
      </c>
      <c r="AC144" s="0" t="n">
        <v>17.8185</v>
      </c>
      <c r="AD144" s="0" t="n">
        <v>38.6446</v>
      </c>
      <c r="AE144" s="0" t="n">
        <v>25.598</v>
      </c>
      <c r="AF144" s="0" t="n">
        <v>41.7687</v>
      </c>
      <c r="AG144" s="0" t="n">
        <v>29.5688</v>
      </c>
      <c r="AH144" s="0" t="n">
        <v>35.7153</v>
      </c>
      <c r="AI144" s="0" t="n">
        <v>57.6597</v>
      </c>
      <c r="AJ144" s="0" t="n">
        <v>14.4389</v>
      </c>
      <c r="AK144" s="0" t="n">
        <v>52.0192</v>
      </c>
      <c r="AL144" s="0" t="n">
        <v>45.7971</v>
      </c>
      <c r="AM144" s="0" t="n">
        <v>31.4229</v>
      </c>
      <c r="AN144" s="0" t="n">
        <v>18.9814</v>
      </c>
      <c r="AO144" s="0" t="n">
        <v>39.9049</v>
      </c>
      <c r="AP144" s="0" t="n">
        <v>33.7171</v>
      </c>
      <c r="AQ144" s="0" t="n">
        <v>25.4157</v>
      </c>
      <c r="AR144" s="0" t="n">
        <v>13.4282</v>
      </c>
      <c r="AS144" s="0" t="n">
        <v>23.3405</v>
      </c>
      <c r="AT144" s="0" t="n">
        <v>25.5966</v>
      </c>
      <c r="AU144" s="0" t="n">
        <v>24.6704</v>
      </c>
      <c r="AV144" s="0" t="n">
        <v>0.3737</v>
      </c>
      <c r="AW144" s="0" t="n">
        <v>18.1933</v>
      </c>
      <c r="AX144" s="0" t="n">
        <v>15.1726</v>
      </c>
      <c r="AY144" s="0" t="n">
        <v>8.5056</v>
      </c>
      <c r="AZ144" s="0" t="n">
        <v>4.6906</v>
      </c>
      <c r="BA144" s="0" t="n">
        <v>3.8292</v>
      </c>
      <c r="BB144" s="0" t="n">
        <v>6.4611</v>
      </c>
      <c r="BC144" s="0" t="n">
        <v>4.5891</v>
      </c>
      <c r="BD144" s="0" t="n">
        <v>2.5756</v>
      </c>
      <c r="BE144" s="0" t="n">
        <v>3.5788</v>
      </c>
      <c r="BF144" s="0" t="n">
        <v>1.6886</v>
      </c>
      <c r="BG144" s="0" t="n">
        <v>2.0707</v>
      </c>
      <c r="BH144" s="0" t="n">
        <v>1.8699</v>
      </c>
      <c r="BI144" s="0" t="n">
        <v>0.3088</v>
      </c>
      <c r="BJ144" s="0" t="n">
        <v>0.7741</v>
      </c>
      <c r="BK144" s="0" t="n">
        <v>0.275</v>
      </c>
      <c r="BL144" s="0" t="n">
        <v>0.9917</v>
      </c>
      <c r="BM144" s="0" t="n">
        <v>0.1934</v>
      </c>
      <c r="BN144" s="0" t="n">
        <v>0.3877</v>
      </c>
      <c r="BO144" s="0" t="n">
        <v>0.1291</v>
      </c>
      <c r="BP144" s="0" t="n">
        <v>0.0634</v>
      </c>
      <c r="BQ144" s="0" t="n">
        <v>0.2002</v>
      </c>
      <c r="BR144" s="0" t="n">
        <v>0.0513</v>
      </c>
      <c r="BS144" s="0" t="n">
        <v>0.1734</v>
      </c>
      <c r="BT144" s="0" t="n">
        <v>0.0825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</v>
      </c>
      <c r="CO144" s="0" t="n">
        <v>5.0682</v>
      </c>
      <c r="CP144" s="0" t="n">
        <v>14.1852</v>
      </c>
      <c r="CQ144" s="0" t="n">
        <v>15.153</v>
      </c>
      <c r="CR144" s="0" t="n">
        <v>0.0321</v>
      </c>
      <c r="CS144" s="0" t="n">
        <v>16.9699</v>
      </c>
      <c r="CT144" s="0" t="n">
        <v>7.5633</v>
      </c>
      <c r="CU144" s="0" t="n">
        <v>11.6815</v>
      </c>
      <c r="CV144" s="0" t="n">
        <v>6.8835</v>
      </c>
      <c r="CW144" s="0" t="n">
        <v>1.7053</v>
      </c>
      <c r="CX144" s="0" t="n">
        <v>8.5693</v>
      </c>
      <c r="CY144" s="0" t="n">
        <v>7.3683</v>
      </c>
      <c r="CZ144" s="0" t="n">
        <v>3.9341</v>
      </c>
      <c r="DA144" s="0" t="n">
        <v>6.6413</v>
      </c>
      <c r="DB144" s="0" t="n">
        <v>4.8763</v>
      </c>
      <c r="DC144" s="0" t="n">
        <v>6.198</v>
      </c>
      <c r="DD144" s="0" t="n">
        <v>4.5428</v>
      </c>
      <c r="DE144" s="0" t="n">
        <v>10.1208</v>
      </c>
      <c r="DF144" s="0" t="n">
        <v>5.1526</v>
      </c>
      <c r="DG144" s="0" t="n">
        <v>11.7518</v>
      </c>
      <c r="DH144" s="0" t="n">
        <v>8.2051</v>
      </c>
      <c r="DI144" s="0" t="n">
        <v>14.1217</v>
      </c>
      <c r="DJ144" s="0" t="n">
        <v>10.5106</v>
      </c>
      <c r="DK144" s="0" t="n">
        <v>13.2279</v>
      </c>
      <c r="DL144" s="0" t="n">
        <v>22.3625</v>
      </c>
      <c r="DM144" s="0" t="n">
        <v>5.7576</v>
      </c>
      <c r="DN144" s="0" t="n">
        <v>21.5965</v>
      </c>
      <c r="DO144" s="0" t="n">
        <v>19.9618</v>
      </c>
      <c r="DP144" s="0" t="n">
        <v>14.2765</v>
      </c>
      <c r="DQ144" s="0" t="n">
        <v>8.7183</v>
      </c>
      <c r="DR144" s="0" t="n">
        <v>19.0326</v>
      </c>
      <c r="DS144" s="0" t="n">
        <v>16.7504</v>
      </c>
      <c r="DT144" s="0" t="n">
        <v>13.0688</v>
      </c>
      <c r="DU144" s="0" t="n">
        <v>7.0311</v>
      </c>
      <c r="DV144" s="0" t="n">
        <v>12.5437</v>
      </c>
      <c r="DW144" s="0" t="n">
        <v>14.2508</v>
      </c>
      <c r="DX144" s="0" t="n">
        <v>14.2529</v>
      </c>
      <c r="DY144" s="0" t="n">
        <v>0.2214</v>
      </c>
      <c r="DZ144" s="0" t="n">
        <v>10.8936</v>
      </c>
      <c r="EA144" s="0" t="n">
        <v>9.3983</v>
      </c>
      <c r="EB144" s="0" t="n">
        <v>5.4354</v>
      </c>
      <c r="EC144" s="0" t="n">
        <v>3.0661</v>
      </c>
      <c r="ED144" s="0" t="n">
        <v>2.5398</v>
      </c>
      <c r="EE144" s="0" t="n">
        <v>4.4018</v>
      </c>
      <c r="EF144" s="0" t="n">
        <v>3.2184</v>
      </c>
      <c r="EG144" s="0" t="n">
        <v>1.8468</v>
      </c>
      <c r="EH144" s="0" t="n">
        <v>2.6144</v>
      </c>
      <c r="EI144" s="0" t="n">
        <v>1.2556</v>
      </c>
      <c r="EJ144" s="0" t="n">
        <v>1.576</v>
      </c>
      <c r="EK144" s="0" t="n">
        <v>1.4611</v>
      </c>
      <c r="EL144" s="0" t="n">
        <v>0.2458</v>
      </c>
      <c r="EM144" s="0" t="n">
        <v>0.6237</v>
      </c>
      <c r="EN144" s="0" t="n">
        <v>0.2268</v>
      </c>
      <c r="EO144" s="0" t="n">
        <v>0.834</v>
      </c>
      <c r="EP144" s="0" t="n">
        <v>0.1649</v>
      </c>
      <c r="EQ144" s="0" t="n">
        <v>0.3376</v>
      </c>
      <c r="ER144" s="0" t="n">
        <v>0.1146</v>
      </c>
      <c r="ES144" s="0" t="n">
        <v>0.0574</v>
      </c>
      <c r="ET144" s="0" t="n">
        <v>0.1845</v>
      </c>
      <c r="EU144" s="0" t="n">
        <v>0.0477</v>
      </c>
      <c r="EV144" s="0" t="n">
        <v>0.1658</v>
      </c>
      <c r="EW144" s="0" t="n">
        <v>0.0798</v>
      </c>
      <c r="EX144" s="0" t="n">
        <v>0</v>
      </c>
      <c r="EY144" s="0" t="n">
        <v>0</v>
      </c>
      <c r="EZ144" s="0" t="n">
        <v>0</v>
      </c>
      <c r="FA144" s="0" t="n">
        <v>0</v>
      </c>
      <c r="FB144" s="0" t="n">
        <v>0</v>
      </c>
      <c r="FC144" s="0" t="n">
        <v>0</v>
      </c>
      <c r="FD144" s="0" t="n">
        <v>0</v>
      </c>
      <c r="FE144" s="0" t="n">
        <v>0</v>
      </c>
      <c r="FF144" s="0" t="n">
        <v>0</v>
      </c>
      <c r="FG144" s="0" t="n">
        <v>0</v>
      </c>
      <c r="FH144" s="0" t="n">
        <v>0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</v>
      </c>
      <c r="FO144" s="0" t="n">
        <v>0</v>
      </c>
      <c r="FP144" s="0" t="n">
        <v>0</v>
      </c>
    </row>
    <row r="145" customFormat="false" ht="13.8" hidden="false" customHeight="false" outlineLevel="0" collapsed="false">
      <c r="A145" s="2" t="s">
        <v>452</v>
      </c>
      <c r="B145" s="0" t="s">
        <v>173</v>
      </c>
      <c r="C145" s="0" t="n">
        <v>119</v>
      </c>
      <c r="D145" s="0" t="s">
        <v>453</v>
      </c>
      <c r="F145" s="0" t="n">
        <v>6.549</v>
      </c>
      <c r="G145" s="0" t="n">
        <v>5114.6765</v>
      </c>
      <c r="H145" s="0" t="n">
        <v>377.9283</v>
      </c>
      <c r="I145" s="0" t="n">
        <v>1187.2966</v>
      </c>
      <c r="J145" s="0" t="n">
        <v>0.71455</v>
      </c>
      <c r="K145" s="0" t="n">
        <v>0</v>
      </c>
      <c r="L145" s="0" t="n">
        <v>411.1392</v>
      </c>
      <c r="M145" s="0" t="n">
        <v>598.635</v>
      </c>
      <c r="N145" s="0" t="n">
        <v>534.2162</v>
      </c>
      <c r="O145" s="0" t="n">
        <v>1.3977</v>
      </c>
      <c r="P145" s="0" t="n">
        <v>547.4601</v>
      </c>
      <c r="Q145" s="0" t="n">
        <v>210.3303</v>
      </c>
      <c r="R145" s="0" t="n">
        <v>320.9677</v>
      </c>
      <c r="S145" s="0" t="n">
        <v>195.2408</v>
      </c>
      <c r="T145" s="0" t="n">
        <v>35.9262</v>
      </c>
      <c r="U145" s="0" t="n">
        <v>192.1727</v>
      </c>
      <c r="V145" s="0" t="n">
        <v>143.9009</v>
      </c>
      <c r="W145" s="0" t="n">
        <v>71.6191</v>
      </c>
      <c r="X145" s="0" t="n">
        <v>95.1097</v>
      </c>
      <c r="Y145" s="0" t="n">
        <v>76.1401</v>
      </c>
      <c r="Z145" s="0" t="n">
        <v>73.3756</v>
      </c>
      <c r="AA145" s="0" t="n">
        <v>47.5622</v>
      </c>
      <c r="AB145" s="0" t="n">
        <v>67.7469</v>
      </c>
      <c r="AC145" s="0" t="n">
        <v>29.315</v>
      </c>
      <c r="AD145" s="0" t="n">
        <v>70.0111</v>
      </c>
      <c r="AE145" s="0" t="n">
        <v>40.8401</v>
      </c>
      <c r="AF145" s="0" t="n">
        <v>67.8983</v>
      </c>
      <c r="AG145" s="0" t="n">
        <v>23.5837</v>
      </c>
      <c r="AH145" s="0" t="n">
        <v>48.9306</v>
      </c>
      <c r="AI145" s="0" t="n">
        <v>66.4596</v>
      </c>
      <c r="AJ145" s="0" t="n">
        <v>17.105</v>
      </c>
      <c r="AK145" s="0" t="n">
        <v>81.6675</v>
      </c>
      <c r="AL145" s="0" t="n">
        <v>81.6079</v>
      </c>
      <c r="AM145" s="0" t="n">
        <v>43.7065</v>
      </c>
      <c r="AN145" s="0" t="n">
        <v>30.8225</v>
      </c>
      <c r="AO145" s="0" t="n">
        <v>88.7818</v>
      </c>
      <c r="AP145" s="0" t="n">
        <v>58.7334</v>
      </c>
      <c r="AQ145" s="0" t="n">
        <v>72.8385</v>
      </c>
      <c r="AR145" s="0" t="n">
        <v>58.4427</v>
      </c>
      <c r="AS145" s="0" t="n">
        <v>68.0817</v>
      </c>
      <c r="AT145" s="0" t="n">
        <v>80.7604</v>
      </c>
      <c r="AU145" s="0" t="n">
        <v>77.7165</v>
      </c>
      <c r="AV145" s="0" t="n">
        <v>6.2743</v>
      </c>
      <c r="AW145" s="0" t="n">
        <v>61.1776</v>
      </c>
      <c r="AX145" s="0" t="n">
        <v>61.8232</v>
      </c>
      <c r="AY145" s="0" t="n">
        <v>38.056</v>
      </c>
      <c r="AZ145" s="0" t="n">
        <v>32.61</v>
      </c>
      <c r="BA145" s="0" t="n">
        <v>25.6839</v>
      </c>
      <c r="BB145" s="0" t="n">
        <v>35.9537</v>
      </c>
      <c r="BC145" s="0" t="n">
        <v>21.7</v>
      </c>
      <c r="BD145" s="0" t="n">
        <v>13.4766</v>
      </c>
      <c r="BE145" s="0" t="n">
        <v>20.8919</v>
      </c>
      <c r="BF145" s="0" t="n">
        <v>6.7859</v>
      </c>
      <c r="BG145" s="0" t="n">
        <v>18.6397</v>
      </c>
      <c r="BH145" s="0" t="n">
        <v>12.9424</v>
      </c>
      <c r="BI145" s="0" t="n">
        <v>4.0624</v>
      </c>
      <c r="BJ145" s="0" t="n">
        <v>3.7798</v>
      </c>
      <c r="BK145" s="0" t="n">
        <v>6.0872</v>
      </c>
      <c r="BL145" s="0" t="n">
        <v>2.9025</v>
      </c>
      <c r="BM145" s="0" t="n">
        <v>1.2473</v>
      </c>
      <c r="BN145" s="0" t="n">
        <v>1.7837</v>
      </c>
      <c r="BO145" s="0" t="n">
        <v>0.8797</v>
      </c>
      <c r="BP145" s="0" t="n">
        <v>2.6834</v>
      </c>
      <c r="BQ145" s="0" t="n">
        <v>0.5542</v>
      </c>
      <c r="BR145" s="0" t="n">
        <v>0.6105</v>
      </c>
      <c r="BS145" s="0" t="n">
        <v>0.292</v>
      </c>
      <c r="BT145" s="0" t="n">
        <v>0.3354</v>
      </c>
      <c r="BU145" s="0" t="n">
        <v>0.2798</v>
      </c>
      <c r="BV145" s="0" t="n">
        <v>0.0455</v>
      </c>
      <c r="BW145" s="0" t="n">
        <v>0.3025</v>
      </c>
      <c r="BX145" s="0" t="n">
        <v>0.0191</v>
      </c>
      <c r="BY145" s="0" t="n">
        <v>0.2575</v>
      </c>
      <c r="BZ145" s="0" t="n">
        <v>0.1111</v>
      </c>
      <c r="CA145" s="0" t="n">
        <v>0.0592</v>
      </c>
      <c r="CB145" s="0" t="n">
        <v>0.1021</v>
      </c>
      <c r="CC145" s="0" t="n">
        <v>0.0064</v>
      </c>
      <c r="CD145" s="0" t="n">
        <v>0.072</v>
      </c>
      <c r="CE145" s="0" t="n">
        <v>0.0196</v>
      </c>
      <c r="CF145" s="0" t="n">
        <v>0.0736</v>
      </c>
      <c r="CG145" s="0" t="n">
        <v>0.0127</v>
      </c>
      <c r="CH145" s="0" t="n">
        <v>0</v>
      </c>
      <c r="CI145" s="0" t="n">
        <v>0.1808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0</v>
      </c>
      <c r="CO145" s="0" t="n">
        <v>8.8261</v>
      </c>
      <c r="CP145" s="0" t="n">
        <v>25.6276</v>
      </c>
      <c r="CQ145" s="0" t="n">
        <v>32.6609</v>
      </c>
      <c r="CR145" s="0" t="n">
        <v>0.0967</v>
      </c>
      <c r="CS145" s="0" t="n">
        <v>45.6424</v>
      </c>
      <c r="CT145" s="0" t="n">
        <v>21.3698</v>
      </c>
      <c r="CU145" s="0" t="n">
        <v>37.5411</v>
      </c>
      <c r="CV145" s="0" t="n">
        <v>27.1097</v>
      </c>
      <c r="CW145" s="0" t="n">
        <v>5.1944</v>
      </c>
      <c r="CX145" s="0" t="n">
        <v>31.1791</v>
      </c>
      <c r="CY145" s="0" t="n">
        <v>26.2934</v>
      </c>
      <c r="CZ145" s="0" t="n">
        <v>14.2179</v>
      </c>
      <c r="DA145" s="0" t="n">
        <v>20.0119</v>
      </c>
      <c r="DB145" s="0" t="n">
        <v>17.3137</v>
      </c>
      <c r="DC145" s="0" t="n">
        <v>17.9754</v>
      </c>
      <c r="DD145" s="0" t="n">
        <v>12.1696</v>
      </c>
      <c r="DE145" s="0" t="n">
        <v>18.5607</v>
      </c>
      <c r="DF145" s="0" t="n">
        <v>8.4771</v>
      </c>
      <c r="DG145" s="0" t="n">
        <v>21.2854</v>
      </c>
      <c r="DH145" s="0" t="n">
        <v>13.124</v>
      </c>
      <c r="DI145" s="0" t="n">
        <v>23.0607</v>
      </c>
      <c r="DJ145" s="0" t="n">
        <v>8.3764</v>
      </c>
      <c r="DK145" s="0" t="n">
        <v>18.0792</v>
      </c>
      <c r="DL145" s="0" t="n">
        <v>25.8795</v>
      </c>
      <c r="DM145" s="0" t="n">
        <v>6.8138</v>
      </c>
      <c r="DN145" s="0" t="n">
        <v>33.9365</v>
      </c>
      <c r="DO145" s="0" t="n">
        <v>35.5719</v>
      </c>
      <c r="DP145" s="0" t="n">
        <v>19.8456</v>
      </c>
      <c r="DQ145" s="0" t="n">
        <v>14.1735</v>
      </c>
      <c r="DR145" s="0" t="n">
        <v>42.4356</v>
      </c>
      <c r="DS145" s="0" t="n">
        <v>29.166</v>
      </c>
      <c r="DT145" s="0" t="n">
        <v>37.3481</v>
      </c>
      <c r="DU145" s="0" t="n">
        <v>30.7453</v>
      </c>
      <c r="DV145" s="0" t="n">
        <v>36.5851</v>
      </c>
      <c r="DW145" s="0" t="n">
        <v>44.9379</v>
      </c>
      <c r="DX145" s="0" t="n">
        <v>44.8737</v>
      </c>
      <c r="DY145" s="0" t="n">
        <v>3.7178</v>
      </c>
      <c r="DZ145" s="0" t="n">
        <v>36.6324</v>
      </c>
      <c r="EA145" s="0" t="n">
        <v>38.3169</v>
      </c>
      <c r="EB145" s="0" t="n">
        <v>24.3318</v>
      </c>
      <c r="EC145" s="0" t="n">
        <v>21.2252</v>
      </c>
      <c r="ED145" s="0" t="n">
        <v>17.0593</v>
      </c>
      <c r="EE145" s="0" t="n">
        <v>24.5324</v>
      </c>
      <c r="EF145" s="0" t="n">
        <v>15.2155</v>
      </c>
      <c r="EG145" s="0" t="n">
        <v>9.6626</v>
      </c>
      <c r="EH145" s="0" t="n">
        <v>15.265</v>
      </c>
      <c r="EI145" s="0" t="n">
        <v>5.0458</v>
      </c>
      <c r="EJ145" s="0" t="n">
        <v>14.182</v>
      </c>
      <c r="EK145" s="0" t="n">
        <v>10.119</v>
      </c>
      <c r="EL145" s="0" t="n">
        <v>3.2379</v>
      </c>
      <c r="EM145" s="0" t="n">
        <v>3.0458</v>
      </c>
      <c r="EN145" s="0" t="n">
        <v>5.0096</v>
      </c>
      <c r="EO145" s="0" t="n">
        <v>2.4435</v>
      </c>
      <c r="EP145" s="0" t="n">
        <v>1.0677</v>
      </c>
      <c r="EQ145" s="0" t="n">
        <v>1.5579</v>
      </c>
      <c r="ER145" s="0" t="n">
        <v>0.7813</v>
      </c>
      <c r="ES145" s="0" t="n">
        <v>2.421</v>
      </c>
      <c r="ET145" s="0" t="n">
        <v>0.5093</v>
      </c>
      <c r="EU145" s="0" t="n">
        <v>0.5692</v>
      </c>
      <c r="EV145" s="0" t="n">
        <v>0.277</v>
      </c>
      <c r="EW145" s="0" t="n">
        <v>0.3246</v>
      </c>
      <c r="EX145" s="0" t="n">
        <v>0.2741</v>
      </c>
      <c r="EY145" s="0" t="n">
        <v>0.0453</v>
      </c>
      <c r="EZ145" s="0" t="n">
        <v>0.3063</v>
      </c>
      <c r="FA145" s="0" t="n">
        <v>0.0197</v>
      </c>
      <c r="FB145" s="0" t="n">
        <v>0.2682</v>
      </c>
      <c r="FC145" s="0" t="n">
        <v>0.1175</v>
      </c>
      <c r="FD145" s="0" t="n">
        <v>0.0637</v>
      </c>
      <c r="FE145" s="0" t="n">
        <v>0.1118</v>
      </c>
      <c r="FF145" s="0" t="n">
        <v>0.007</v>
      </c>
      <c r="FG145" s="0" t="n">
        <v>0.0806</v>
      </c>
      <c r="FH145" s="0" t="n">
        <v>0.0222</v>
      </c>
      <c r="FI145" s="0" t="n">
        <v>0.085</v>
      </c>
      <c r="FJ145" s="0" t="n">
        <v>0.015</v>
      </c>
      <c r="FK145" s="0" t="n">
        <v>0</v>
      </c>
      <c r="FL145" s="0" t="n">
        <v>0.2165</v>
      </c>
      <c r="FM145" s="0" t="n">
        <v>0</v>
      </c>
      <c r="FN145" s="0" t="n">
        <v>0</v>
      </c>
      <c r="FO145" s="0" t="n">
        <v>0</v>
      </c>
      <c r="FP145" s="0" t="n">
        <v>0</v>
      </c>
    </row>
    <row r="146" customFormat="false" ht="13.8" hidden="false" customHeight="false" outlineLevel="0" collapsed="false">
      <c r="A146" s="2" t="s">
        <v>454</v>
      </c>
      <c r="B146" s="0" t="s">
        <v>176</v>
      </c>
      <c r="C146" s="0" t="n">
        <v>402</v>
      </c>
      <c r="D146" s="0" t="s">
        <v>455</v>
      </c>
      <c r="G146" s="0" t="n">
        <v>4910.6883</v>
      </c>
      <c r="H146" s="0" t="n">
        <v>513.7682</v>
      </c>
      <c r="I146" s="0" t="n">
        <v>1614.0503</v>
      </c>
      <c r="J146" s="0" t="n">
        <v>1.010125</v>
      </c>
      <c r="K146" s="0" t="n">
        <v>0.0126</v>
      </c>
      <c r="L146" s="0" t="n">
        <v>15.9776</v>
      </c>
      <c r="M146" s="0" t="n">
        <v>29.2098</v>
      </c>
      <c r="N146" s="0" t="n">
        <v>170.1395</v>
      </c>
      <c r="O146" s="0" t="n">
        <v>286.3683</v>
      </c>
      <c r="P146" s="0" t="n">
        <v>262.2024</v>
      </c>
      <c r="Q146" s="0" t="n">
        <v>454.0616</v>
      </c>
      <c r="R146" s="0" t="n">
        <v>248.4751</v>
      </c>
      <c r="S146" s="0" t="n">
        <v>228.331</v>
      </c>
      <c r="T146" s="0" t="n">
        <v>209.4468</v>
      </c>
      <c r="U146" s="0" t="n">
        <v>289.5047</v>
      </c>
      <c r="V146" s="0" t="n">
        <v>153.0765</v>
      </c>
      <c r="W146" s="0" t="n">
        <v>207.936</v>
      </c>
      <c r="X146" s="0" t="n">
        <v>133.6483</v>
      </c>
      <c r="Y146" s="0" t="n">
        <v>89.6021</v>
      </c>
      <c r="Z146" s="0" t="n">
        <v>108.3719</v>
      </c>
      <c r="AA146" s="0" t="n">
        <v>95.4151</v>
      </c>
      <c r="AB146" s="0" t="n">
        <v>85.4208</v>
      </c>
      <c r="AC146" s="0" t="n">
        <v>55.5623</v>
      </c>
      <c r="AD146" s="0" t="n">
        <v>69.5974</v>
      </c>
      <c r="AE146" s="0" t="n">
        <v>59.2932</v>
      </c>
      <c r="AF146" s="0" t="n">
        <v>74.8157</v>
      </c>
      <c r="AG146" s="0" t="n">
        <v>40.1895</v>
      </c>
      <c r="AH146" s="0" t="n">
        <v>51.4743</v>
      </c>
      <c r="AI146" s="0" t="n">
        <v>60.1351</v>
      </c>
      <c r="AJ146" s="0" t="n">
        <v>34.7823</v>
      </c>
      <c r="AK146" s="0" t="n">
        <v>43.0131</v>
      </c>
      <c r="AL146" s="0" t="n">
        <v>32.2629</v>
      </c>
      <c r="AM146" s="0" t="n">
        <v>38.7702</v>
      </c>
      <c r="AN146" s="0" t="n">
        <v>47.4527</v>
      </c>
      <c r="AO146" s="0" t="n">
        <v>58.4198</v>
      </c>
      <c r="AP146" s="0" t="n">
        <v>52.215</v>
      </c>
      <c r="AQ146" s="0" t="n">
        <v>58.3473</v>
      </c>
      <c r="AR146" s="0" t="n">
        <v>74.1043</v>
      </c>
      <c r="AS146" s="0" t="n">
        <v>69.9518</v>
      </c>
      <c r="AT146" s="0" t="n">
        <v>86.0054</v>
      </c>
      <c r="AU146" s="0" t="n">
        <v>106.0135</v>
      </c>
      <c r="AV146" s="0" t="n">
        <v>56.2254</v>
      </c>
      <c r="AW146" s="0" t="n">
        <v>88.192</v>
      </c>
      <c r="AX146" s="0" t="n">
        <v>99.1198</v>
      </c>
      <c r="AY146" s="0" t="n">
        <v>62.2301</v>
      </c>
      <c r="AZ146" s="0" t="n">
        <v>62.8134</v>
      </c>
      <c r="BA146" s="0" t="n">
        <v>39.7521</v>
      </c>
      <c r="BB146" s="0" t="n">
        <v>67.7777</v>
      </c>
      <c r="BC146" s="0" t="n">
        <v>49.5387</v>
      </c>
      <c r="BD146" s="0" t="n">
        <v>37.7568</v>
      </c>
      <c r="BE146" s="0" t="n">
        <v>28.5238</v>
      </c>
      <c r="BF146" s="0" t="n">
        <v>23.5213</v>
      </c>
      <c r="BG146" s="0" t="n">
        <v>23.5194</v>
      </c>
      <c r="BH146" s="0" t="n">
        <v>22.2496</v>
      </c>
      <c r="BI146" s="0" t="n">
        <v>11.0559</v>
      </c>
      <c r="BJ146" s="0" t="n">
        <v>8.6866</v>
      </c>
      <c r="BK146" s="0" t="n">
        <v>10.4046</v>
      </c>
      <c r="BL146" s="0" t="n">
        <v>6.7464</v>
      </c>
      <c r="BM146" s="0" t="n">
        <v>5.0462</v>
      </c>
      <c r="BN146" s="0" t="n">
        <v>4.255</v>
      </c>
      <c r="BO146" s="0" t="n">
        <v>3.0649</v>
      </c>
      <c r="BP146" s="0" t="n">
        <v>2.2621</v>
      </c>
      <c r="BQ146" s="0" t="n">
        <v>2.5334</v>
      </c>
      <c r="BR146" s="0" t="n">
        <v>2.7701</v>
      </c>
      <c r="BS146" s="0" t="n">
        <v>2.1518</v>
      </c>
      <c r="BT146" s="0" t="n">
        <v>1.799</v>
      </c>
      <c r="BU146" s="0" t="n">
        <v>1.0938</v>
      </c>
      <c r="BV146" s="0" t="n">
        <v>0.9078</v>
      </c>
      <c r="BW146" s="0" t="n">
        <v>1.4476</v>
      </c>
      <c r="BX146" s="0" t="n">
        <v>0.3649</v>
      </c>
      <c r="BY146" s="0" t="n">
        <v>0.2427</v>
      </c>
      <c r="BZ146" s="0" t="n">
        <v>0.0904</v>
      </c>
      <c r="CA146" s="0" t="n">
        <v>0.2051</v>
      </c>
      <c r="CB146" s="0" t="n">
        <v>0.5874</v>
      </c>
      <c r="CC146" s="0" t="n">
        <v>0.5267</v>
      </c>
      <c r="CD146" s="0" t="n">
        <v>0.2968</v>
      </c>
      <c r="CE146" s="0" t="n">
        <v>0.0946</v>
      </c>
      <c r="CF146" s="0" t="n">
        <v>0.0529</v>
      </c>
      <c r="CG146" s="0" t="n">
        <v>0.0952</v>
      </c>
      <c r="CH146" s="0" t="n">
        <v>0.175</v>
      </c>
      <c r="CI146" s="0" t="n">
        <v>0.1986</v>
      </c>
      <c r="CJ146" s="0" t="n">
        <v>0.0459</v>
      </c>
      <c r="CK146" s="0" t="n">
        <v>0.082</v>
      </c>
      <c r="CL146" s="0" t="n">
        <v>0.3893</v>
      </c>
      <c r="CM146" s="0" t="n">
        <v>0.9305</v>
      </c>
      <c r="CN146" s="0" t="n">
        <v>0.0002</v>
      </c>
      <c r="CO146" s="0" t="n">
        <v>0.4319</v>
      </c>
      <c r="CP146" s="0" t="n">
        <v>1.1646</v>
      </c>
      <c r="CQ146" s="0" t="n">
        <v>9.6964</v>
      </c>
      <c r="CR146" s="0" t="n">
        <v>20.449</v>
      </c>
      <c r="CS146" s="0" t="n">
        <v>22.0406</v>
      </c>
      <c r="CT146" s="0" t="n">
        <v>45.7919</v>
      </c>
      <c r="CU146" s="0" t="n">
        <v>29.544</v>
      </c>
      <c r="CV146" s="0" t="n">
        <v>30.484</v>
      </c>
      <c r="CW146" s="0" t="n">
        <v>30.7524</v>
      </c>
      <c r="CX146" s="0" t="n">
        <v>48.0549</v>
      </c>
      <c r="CY146" s="0" t="n">
        <v>27.8204</v>
      </c>
      <c r="CZ146" s="0" t="n">
        <v>40.7686</v>
      </c>
      <c r="DA146" s="0" t="n">
        <v>28.8399</v>
      </c>
      <c r="DB146" s="0" t="n">
        <v>20.243</v>
      </c>
      <c r="DC146" s="0" t="n">
        <v>26.2381</v>
      </c>
      <c r="DD146" s="0" t="n">
        <v>24.631</v>
      </c>
      <c r="DE146" s="0" t="n">
        <v>23.5855</v>
      </c>
      <c r="DF146" s="0" t="n">
        <v>16.1983</v>
      </c>
      <c r="DG146" s="0" t="n">
        <v>21.2962</v>
      </c>
      <c r="DH146" s="0" t="n">
        <v>19.0077</v>
      </c>
      <c r="DI146" s="0" t="n">
        <v>25.3913</v>
      </c>
      <c r="DJ146" s="0" t="n">
        <v>14.3592</v>
      </c>
      <c r="DK146" s="0" t="n">
        <v>18.9282</v>
      </c>
      <c r="DL146" s="0" t="n">
        <v>23.202</v>
      </c>
      <c r="DM146" s="0" t="n">
        <v>13.9224</v>
      </c>
      <c r="DN146" s="0" t="n">
        <v>17.9274</v>
      </c>
      <c r="DO146" s="0" t="n">
        <v>13.9845</v>
      </c>
      <c r="DP146" s="0" t="n">
        <v>17.3073</v>
      </c>
      <c r="DQ146" s="0" t="n">
        <v>21.9501</v>
      </c>
      <c r="DR146" s="0" t="n">
        <v>28.0998</v>
      </c>
      <c r="DS146" s="0" t="n">
        <v>25.8508</v>
      </c>
      <c r="DT146" s="0" t="n">
        <v>29.7519</v>
      </c>
      <c r="DU146" s="0" t="n">
        <v>38.9538</v>
      </c>
      <c r="DV146" s="0" t="n">
        <v>37.8123</v>
      </c>
      <c r="DW146" s="0" t="n">
        <v>47.8137</v>
      </c>
      <c r="DX146" s="0" t="n">
        <v>60.9021</v>
      </c>
      <c r="DY146" s="0" t="n">
        <v>33.205</v>
      </c>
      <c r="DZ146" s="0" t="n">
        <v>53.1191</v>
      </c>
      <c r="EA146" s="0" t="n">
        <v>61.5605</v>
      </c>
      <c r="EB146" s="0" t="n">
        <v>39.7229</v>
      </c>
      <c r="EC146" s="0" t="n">
        <v>41.0749</v>
      </c>
      <c r="ED146" s="0" t="n">
        <v>26.4008</v>
      </c>
      <c r="EE146" s="0" t="n">
        <v>46.1836</v>
      </c>
      <c r="EF146" s="0" t="n">
        <v>34.7</v>
      </c>
      <c r="EG146" s="0" t="n">
        <v>27.0953</v>
      </c>
      <c r="EH146" s="0" t="n">
        <v>20.8773</v>
      </c>
      <c r="EI146" s="0" t="n">
        <v>17.505</v>
      </c>
      <c r="EJ146" s="0" t="n">
        <v>17.8833</v>
      </c>
      <c r="EK146" s="0" t="n">
        <v>17.3029</v>
      </c>
      <c r="EL146" s="0" t="n">
        <v>8.7719</v>
      </c>
      <c r="EM146" s="0" t="n">
        <v>7.0133</v>
      </c>
      <c r="EN146" s="0" t="n">
        <v>8.5831</v>
      </c>
      <c r="EO146" s="0" t="n">
        <v>5.6757</v>
      </c>
      <c r="EP146" s="0" t="n">
        <v>4.3142</v>
      </c>
      <c r="EQ146" s="0" t="n">
        <v>3.7107</v>
      </c>
      <c r="ER146" s="0" t="n">
        <v>2.7127</v>
      </c>
      <c r="ES146" s="0" t="n">
        <v>2.0415</v>
      </c>
      <c r="ET146" s="0" t="n">
        <v>2.3236</v>
      </c>
      <c r="EU146" s="0" t="n">
        <v>2.5895</v>
      </c>
      <c r="EV146" s="0" t="n">
        <v>2.0499</v>
      </c>
      <c r="EW146" s="0" t="n">
        <v>1.7414</v>
      </c>
      <c r="EX146" s="0" t="n">
        <v>1.0735</v>
      </c>
      <c r="EY146" s="0" t="n">
        <v>0.9016</v>
      </c>
      <c r="EZ146" s="0" t="n">
        <v>1.468</v>
      </c>
      <c r="FA146" s="0" t="n">
        <v>0.3757</v>
      </c>
      <c r="FB146" s="0" t="n">
        <v>0.2531</v>
      </c>
      <c r="FC146" s="0" t="n">
        <v>0.0956</v>
      </c>
      <c r="FD146" s="0" t="n">
        <v>0.2204</v>
      </c>
      <c r="FE146" s="0" t="n">
        <v>0.6384</v>
      </c>
      <c r="FF146" s="0" t="n">
        <v>0.5833</v>
      </c>
      <c r="FG146" s="0" t="n">
        <v>0.3344</v>
      </c>
      <c r="FH146" s="0" t="n">
        <v>0.1082</v>
      </c>
      <c r="FI146" s="0" t="n">
        <v>0.0611</v>
      </c>
      <c r="FJ146" s="0" t="n">
        <v>0.1111</v>
      </c>
      <c r="FK146" s="0" t="n">
        <v>0.2084</v>
      </c>
      <c r="FL146" s="0" t="n">
        <v>0.2379</v>
      </c>
      <c r="FM146" s="0" t="n">
        <v>0.0562</v>
      </c>
      <c r="FN146" s="0" t="n">
        <v>0.1013</v>
      </c>
      <c r="FO146" s="0" t="n">
        <v>0.4835</v>
      </c>
      <c r="FP146" s="0" t="n">
        <v>1.2429</v>
      </c>
    </row>
    <row r="147" customFormat="false" ht="13.8" hidden="false" customHeight="false" outlineLevel="0" collapsed="false">
      <c r="A147" s="2" t="s">
        <v>456</v>
      </c>
      <c r="B147" s="0" t="s">
        <v>173</v>
      </c>
      <c r="C147" s="0" t="n">
        <v>7</v>
      </c>
      <c r="D147" s="0" t="s">
        <v>457</v>
      </c>
      <c r="E147" s="0" t="e">
        <f aca="false">VLOOKUP(A147,[1]RHIZOMES!$A$1:$B$1048576,2,0)</f>
        <v>#N/A</v>
      </c>
      <c r="G147" s="0" t="n">
        <v>1924.6523</v>
      </c>
      <c r="H147" s="0" t="n">
        <v>166.9329</v>
      </c>
      <c r="I147" s="0" t="n">
        <v>524.4352</v>
      </c>
      <c r="J147" s="0" t="n">
        <v>0.8966</v>
      </c>
      <c r="K147" s="0" t="n">
        <v>0</v>
      </c>
      <c r="L147" s="0" t="n">
        <v>12.4559</v>
      </c>
      <c r="M147" s="0" t="n">
        <v>26.569</v>
      </c>
      <c r="N147" s="0" t="n">
        <v>130.6651</v>
      </c>
      <c r="O147" s="0" t="n">
        <v>131.2929</v>
      </c>
      <c r="P147" s="0" t="n">
        <v>110.4309</v>
      </c>
      <c r="Q147" s="0" t="n">
        <v>161.6538</v>
      </c>
      <c r="R147" s="0" t="n">
        <v>92.0708</v>
      </c>
      <c r="S147" s="0" t="n">
        <v>84.393</v>
      </c>
      <c r="T147" s="0" t="n">
        <v>83.0882</v>
      </c>
      <c r="U147" s="0" t="n">
        <v>115.5873</v>
      </c>
      <c r="V147" s="0" t="n">
        <v>51.7976</v>
      </c>
      <c r="W147" s="0" t="n">
        <v>80.3985</v>
      </c>
      <c r="X147" s="0" t="n">
        <v>48.1807</v>
      </c>
      <c r="Y147" s="0" t="n">
        <v>35.7872</v>
      </c>
      <c r="Z147" s="0" t="n">
        <v>46.2195</v>
      </c>
      <c r="AA147" s="0" t="n">
        <v>57.5637</v>
      </c>
      <c r="AB147" s="0" t="n">
        <v>51.3747</v>
      </c>
      <c r="AC147" s="0" t="n">
        <v>33.4619</v>
      </c>
      <c r="AD147" s="0" t="n">
        <v>46.945</v>
      </c>
      <c r="AE147" s="0" t="n">
        <v>38.9203</v>
      </c>
      <c r="AF147" s="0" t="n">
        <v>45.413</v>
      </c>
      <c r="AG147" s="0" t="n">
        <v>15.5791</v>
      </c>
      <c r="AH147" s="0" t="n">
        <v>25.2598</v>
      </c>
      <c r="AI147" s="0" t="n">
        <v>38.8185</v>
      </c>
      <c r="AJ147" s="0" t="n">
        <v>23.8127</v>
      </c>
      <c r="AK147" s="0" t="n">
        <v>32.3337</v>
      </c>
      <c r="AL147" s="0" t="n">
        <v>20.1342</v>
      </c>
      <c r="AM147" s="0" t="n">
        <v>18.3125</v>
      </c>
      <c r="AN147" s="0" t="n">
        <v>20.1235</v>
      </c>
      <c r="AO147" s="0" t="n">
        <v>24.4167</v>
      </c>
      <c r="AP147" s="0" t="n">
        <v>22.5907</v>
      </c>
      <c r="AQ147" s="0" t="n">
        <v>27.6769</v>
      </c>
      <c r="AR147" s="0" t="n">
        <v>26.0472</v>
      </c>
      <c r="AS147" s="0" t="n">
        <v>20.8542</v>
      </c>
      <c r="AT147" s="0" t="n">
        <v>28.0923</v>
      </c>
      <c r="AU147" s="0" t="n">
        <v>20.2818</v>
      </c>
      <c r="AV147" s="0" t="n">
        <v>10.0146</v>
      </c>
      <c r="AW147" s="0" t="n">
        <v>9.7904</v>
      </c>
      <c r="AX147" s="0" t="n">
        <v>13.0685</v>
      </c>
      <c r="AY147" s="0" t="n">
        <v>8.498</v>
      </c>
      <c r="AZ147" s="0" t="n">
        <v>9.2117</v>
      </c>
      <c r="BA147" s="0" t="n">
        <v>5.7821</v>
      </c>
      <c r="BB147" s="0" t="n">
        <v>4.7099</v>
      </c>
      <c r="BC147" s="0" t="n">
        <v>2.47</v>
      </c>
      <c r="BD147" s="0" t="n">
        <v>1.1101</v>
      </c>
      <c r="BE147" s="0" t="n">
        <v>1.6578</v>
      </c>
      <c r="BF147" s="0" t="n">
        <v>1.8176</v>
      </c>
      <c r="BG147" s="0" t="n">
        <v>1.2869</v>
      </c>
      <c r="BH147" s="0" t="n">
        <v>1.3923</v>
      </c>
      <c r="BI147" s="0" t="n">
        <v>0.3954</v>
      </c>
      <c r="BJ147" s="0" t="n">
        <v>0.6802</v>
      </c>
      <c r="BK147" s="0" t="n">
        <v>0.3228</v>
      </c>
      <c r="BL147" s="0" t="n">
        <v>0.4246</v>
      </c>
      <c r="BM147" s="0" t="n">
        <v>0.3109</v>
      </c>
      <c r="BN147" s="0" t="n">
        <v>0.1645</v>
      </c>
      <c r="BO147" s="0" t="n">
        <v>1.0222</v>
      </c>
      <c r="BP147" s="0" t="n">
        <v>0.1269</v>
      </c>
      <c r="BQ147" s="0" t="n">
        <v>0.1116</v>
      </c>
      <c r="BR147" s="0" t="n">
        <v>0.1765</v>
      </c>
      <c r="BS147" s="0" t="n">
        <v>0</v>
      </c>
      <c r="BT147" s="0" t="n">
        <v>0.0809</v>
      </c>
      <c r="BU147" s="0" t="n">
        <v>0.0433</v>
      </c>
      <c r="BV147" s="0" t="n">
        <v>0</v>
      </c>
      <c r="BW147" s="0" t="n">
        <v>0</v>
      </c>
      <c r="BX147" s="0" t="n">
        <v>0.1269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0.3995</v>
      </c>
      <c r="CM147" s="0" t="n">
        <v>0.2966</v>
      </c>
      <c r="CN147" s="0" t="n">
        <v>0</v>
      </c>
      <c r="CO147" s="0" t="n">
        <v>0.3396</v>
      </c>
      <c r="CP147" s="0" t="n">
        <v>1.072</v>
      </c>
      <c r="CQ147" s="0" t="n">
        <v>7.3014</v>
      </c>
      <c r="CR147" s="0" t="n">
        <v>9.3348</v>
      </c>
      <c r="CS147" s="0" t="n">
        <v>9.3119</v>
      </c>
      <c r="CT147" s="0" t="n">
        <v>16.2683</v>
      </c>
      <c r="CU147" s="0" t="n">
        <v>10.9315</v>
      </c>
      <c r="CV147" s="0" t="n">
        <v>11.268</v>
      </c>
      <c r="CW147" s="0" t="n">
        <v>12.2098</v>
      </c>
      <c r="CX147" s="0" t="n">
        <v>19.2363</v>
      </c>
      <c r="CY147" s="0" t="n">
        <v>9.4128</v>
      </c>
      <c r="CZ147" s="0" t="n">
        <v>15.7418</v>
      </c>
      <c r="DA147" s="0" t="n">
        <v>10.3989</v>
      </c>
      <c r="DB147" s="0" t="n">
        <v>8.1025</v>
      </c>
      <c r="DC147" s="0" t="n">
        <v>11.2099</v>
      </c>
      <c r="DD147" s="0" t="n">
        <v>14.8579</v>
      </c>
      <c r="DE147" s="0" t="n">
        <v>14.1781</v>
      </c>
      <c r="DF147" s="0" t="n">
        <v>9.7512</v>
      </c>
      <c r="DG147" s="0" t="n">
        <v>14.3847</v>
      </c>
      <c r="DH147" s="0" t="n">
        <v>12.4729</v>
      </c>
      <c r="DI147" s="0" t="n">
        <v>15.3948</v>
      </c>
      <c r="DJ147" s="0" t="n">
        <v>5.5634</v>
      </c>
      <c r="DK147" s="0" t="n">
        <v>9.2773</v>
      </c>
      <c r="DL147" s="0" t="n">
        <v>15.012</v>
      </c>
      <c r="DM147" s="0" t="n">
        <v>9.5356</v>
      </c>
      <c r="DN147" s="0" t="n">
        <v>13.48</v>
      </c>
      <c r="DO147" s="0" t="n">
        <v>8.7218</v>
      </c>
      <c r="DP147" s="0" t="n">
        <v>8.1637</v>
      </c>
      <c r="DQ147" s="0" t="n">
        <v>9.3085</v>
      </c>
      <c r="DR147" s="0" t="n">
        <v>11.7483</v>
      </c>
      <c r="DS147" s="0" t="n">
        <v>11.1619</v>
      </c>
      <c r="DT147" s="0" t="n">
        <v>14.0929</v>
      </c>
      <c r="DU147" s="0" t="n">
        <v>13.7153</v>
      </c>
      <c r="DV147" s="0" t="n">
        <v>11.2648</v>
      </c>
      <c r="DW147" s="0" t="n">
        <v>15.5878</v>
      </c>
      <c r="DX147" s="0" t="n">
        <v>11.6319</v>
      </c>
      <c r="DY147" s="0" t="n">
        <v>5.9211</v>
      </c>
      <c r="DZ147" s="0" t="n">
        <v>5.8966</v>
      </c>
      <c r="EA147" s="0" t="n">
        <v>8.118</v>
      </c>
      <c r="EB147" s="0" t="n">
        <v>5.4188</v>
      </c>
      <c r="EC147" s="0" t="n">
        <v>6.0124</v>
      </c>
      <c r="ED147" s="0" t="n">
        <v>3.835</v>
      </c>
      <c r="EE147" s="0" t="n">
        <v>3.2049</v>
      </c>
      <c r="EF147" s="0" t="n">
        <v>1.7344</v>
      </c>
      <c r="EG147" s="0" t="n">
        <v>0.796</v>
      </c>
      <c r="EH147" s="0" t="n">
        <v>1.2096</v>
      </c>
      <c r="EI147" s="0" t="n">
        <v>1.3491</v>
      </c>
      <c r="EJ147" s="0" t="n">
        <v>0.978</v>
      </c>
      <c r="EK147" s="0" t="n">
        <v>1.081</v>
      </c>
      <c r="EL147" s="0" t="n">
        <v>0.3135</v>
      </c>
      <c r="EM147" s="0" t="n">
        <v>0.5498</v>
      </c>
      <c r="EN147" s="0" t="n">
        <v>0.266</v>
      </c>
      <c r="EO147" s="0" t="n">
        <v>0.3571</v>
      </c>
      <c r="EP147" s="0" t="n">
        <v>0.2658</v>
      </c>
      <c r="EQ147" s="0" t="n">
        <v>0.1434</v>
      </c>
      <c r="ER147" s="0" t="n">
        <v>0.9045</v>
      </c>
      <c r="ES147" s="0" t="n">
        <v>0.115</v>
      </c>
      <c r="ET147" s="0" t="n">
        <v>0.1022</v>
      </c>
      <c r="EU147" s="0" t="n">
        <v>0.1645</v>
      </c>
      <c r="EV147" s="0" t="n">
        <v>0</v>
      </c>
      <c r="EW147" s="0" t="n">
        <v>0.0787</v>
      </c>
      <c r="EX147" s="0" t="n">
        <v>0.0422</v>
      </c>
      <c r="EY147" s="0" t="n">
        <v>0</v>
      </c>
      <c r="EZ147" s="0" t="n">
        <v>0</v>
      </c>
      <c r="FA147" s="0" t="n">
        <v>0.1304</v>
      </c>
      <c r="FB147" s="0" t="n">
        <v>0</v>
      </c>
      <c r="FC147" s="0" t="n">
        <v>0</v>
      </c>
      <c r="FD147" s="0" t="n">
        <v>0</v>
      </c>
      <c r="FE147" s="0" t="n">
        <v>0</v>
      </c>
      <c r="FF147" s="0" t="n">
        <v>0</v>
      </c>
      <c r="FG147" s="0" t="n">
        <v>0</v>
      </c>
      <c r="FH147" s="0" t="n">
        <v>0</v>
      </c>
      <c r="FI147" s="0" t="n">
        <v>0</v>
      </c>
      <c r="FJ147" s="0" t="n">
        <v>0</v>
      </c>
      <c r="FK147" s="0" t="n">
        <v>0</v>
      </c>
      <c r="FL147" s="0" t="n">
        <v>0</v>
      </c>
      <c r="FM147" s="0" t="n">
        <v>0</v>
      </c>
      <c r="FN147" s="0" t="n">
        <v>0</v>
      </c>
      <c r="FO147" s="0" t="n">
        <v>0.496</v>
      </c>
      <c r="FP147" s="0" t="n">
        <v>0.3939</v>
      </c>
    </row>
    <row r="148" customFormat="false" ht="13.8" hidden="false" customHeight="false" outlineLevel="0" collapsed="false">
      <c r="A148" s="4" t="s">
        <v>458</v>
      </c>
      <c r="B148" s="0" t="e">
        <f aca="false">#N/A</f>
        <v>#N/A</v>
      </c>
      <c r="C148" s="0" t="e">
        <f aca="false">#N/A</f>
        <v>#N/A</v>
      </c>
      <c r="D148" s="0" t="e">
        <f aca="false">#N/A</f>
        <v>#N/A</v>
      </c>
      <c r="G148" s="0" t="n">
        <v>2262.1329</v>
      </c>
      <c r="H148" s="0" t="n">
        <v>144.0963</v>
      </c>
      <c r="I148" s="0" t="n">
        <v>452.692</v>
      </c>
      <c r="J148" s="0" t="n">
        <v>0.638033333333333</v>
      </c>
      <c r="K148" s="0" t="n">
        <v>0</v>
      </c>
      <c r="L148" s="0" t="n">
        <v>176.2779</v>
      </c>
      <c r="M148" s="0" t="n">
        <v>153.0247</v>
      </c>
      <c r="N148" s="0" t="n">
        <v>268.7785</v>
      </c>
      <c r="O148" s="0" t="n">
        <v>260.2928</v>
      </c>
      <c r="P148" s="0" t="n">
        <v>191.7194</v>
      </c>
      <c r="Q148" s="0" t="n">
        <v>140.6554</v>
      </c>
      <c r="R148" s="0" t="n">
        <v>148.8054</v>
      </c>
      <c r="S148" s="0" t="n">
        <v>77.8752</v>
      </c>
      <c r="T148" s="0" t="n">
        <v>67.5304</v>
      </c>
      <c r="U148" s="0" t="n">
        <v>55.8849</v>
      </c>
      <c r="V148" s="0" t="n">
        <v>45.0558</v>
      </c>
      <c r="W148" s="0" t="n">
        <v>38.8461</v>
      </c>
      <c r="X148" s="0" t="n">
        <v>31.6586</v>
      </c>
      <c r="Y148" s="0" t="n">
        <v>21.5463</v>
      </c>
      <c r="Z148" s="0" t="n">
        <v>22.7609</v>
      </c>
      <c r="AA148" s="0" t="n">
        <v>22.0934</v>
      </c>
      <c r="AB148" s="0" t="n">
        <v>18.0529</v>
      </c>
      <c r="AC148" s="0" t="n">
        <v>16.8632</v>
      </c>
      <c r="AD148" s="0" t="n">
        <v>20.242</v>
      </c>
      <c r="AE148" s="0" t="n">
        <v>21.9609</v>
      </c>
      <c r="AF148" s="0" t="n">
        <v>24.8471</v>
      </c>
      <c r="AG148" s="0" t="n">
        <v>18.5303</v>
      </c>
      <c r="AH148" s="0" t="n">
        <v>13.3963</v>
      </c>
      <c r="AI148" s="0" t="n">
        <v>14.1498</v>
      </c>
      <c r="AJ148" s="0" t="n">
        <v>18.9515</v>
      </c>
      <c r="AK148" s="0" t="n">
        <v>18.6858</v>
      </c>
      <c r="AL148" s="0" t="n">
        <v>20.6931</v>
      </c>
      <c r="AM148" s="0" t="n">
        <v>19.8596</v>
      </c>
      <c r="AN148" s="0" t="n">
        <v>20.4379</v>
      </c>
      <c r="AO148" s="0" t="n">
        <v>21.6815</v>
      </c>
      <c r="AP148" s="0" t="n">
        <v>22.5386</v>
      </c>
      <c r="AQ148" s="0" t="n">
        <v>23.4817</v>
      </c>
      <c r="AR148" s="0" t="n">
        <v>25.5104</v>
      </c>
      <c r="AS148" s="0" t="n">
        <v>22.1356</v>
      </c>
      <c r="AT148" s="0" t="n">
        <v>20.5692</v>
      </c>
      <c r="AU148" s="0" t="n">
        <v>20.7853</v>
      </c>
      <c r="AV148" s="0" t="n">
        <v>13.3348</v>
      </c>
      <c r="AW148" s="0" t="n">
        <v>13.5246</v>
      </c>
      <c r="AX148" s="0" t="n">
        <v>15.8651</v>
      </c>
      <c r="AY148" s="0" t="n">
        <v>15.3679</v>
      </c>
      <c r="AZ148" s="0" t="n">
        <v>11.7522</v>
      </c>
      <c r="BA148" s="0" t="n">
        <v>9.888</v>
      </c>
      <c r="BB148" s="0" t="n">
        <v>5.9249</v>
      </c>
      <c r="BC148" s="0" t="n">
        <v>5.7445</v>
      </c>
      <c r="BD148" s="0" t="n">
        <v>4.5207</v>
      </c>
      <c r="BE148" s="0" t="n">
        <v>3.5552</v>
      </c>
      <c r="BF148" s="0" t="n">
        <v>3.0345</v>
      </c>
      <c r="BG148" s="0" t="n">
        <v>4.0872</v>
      </c>
      <c r="BH148" s="0" t="n">
        <v>3.1042</v>
      </c>
      <c r="BI148" s="0" t="n">
        <v>1.7485</v>
      </c>
      <c r="BJ148" s="0" t="n">
        <v>2.2478</v>
      </c>
      <c r="BK148" s="0" t="n">
        <v>1.3389</v>
      </c>
      <c r="BL148" s="0" t="n">
        <v>0.6573</v>
      </c>
      <c r="BM148" s="0" t="n">
        <v>1.1707</v>
      </c>
      <c r="BN148" s="0" t="n">
        <v>1.2076</v>
      </c>
      <c r="BO148" s="0" t="n">
        <v>1.0203</v>
      </c>
      <c r="BP148" s="0" t="n">
        <v>2.1213</v>
      </c>
      <c r="BQ148" s="0" t="n">
        <v>1.9785</v>
      </c>
      <c r="BR148" s="0" t="n">
        <v>0.984</v>
      </c>
      <c r="BS148" s="0" t="n">
        <v>1.3372</v>
      </c>
      <c r="BT148" s="0" t="n">
        <v>0.6385</v>
      </c>
      <c r="BU148" s="0" t="n">
        <v>1.2366</v>
      </c>
      <c r="BV148" s="0" t="n">
        <v>0.4162</v>
      </c>
      <c r="BW148" s="0" t="n">
        <v>0.5563</v>
      </c>
      <c r="BX148" s="0" t="n">
        <v>0.9565</v>
      </c>
      <c r="BY148" s="0" t="n">
        <v>0.1826</v>
      </c>
      <c r="BZ148" s="0" t="n">
        <v>0.1922</v>
      </c>
      <c r="CA148" s="0" t="n">
        <v>1.0328</v>
      </c>
      <c r="CB148" s="0" t="n">
        <v>0.0903</v>
      </c>
      <c r="CC148" s="0" t="n">
        <v>0.0069</v>
      </c>
      <c r="CD148" s="0" t="n">
        <v>0.0779</v>
      </c>
      <c r="CE148" s="0" t="n">
        <v>0.0602</v>
      </c>
      <c r="CF148" s="0" t="n">
        <v>0.0881</v>
      </c>
      <c r="CG148" s="0" t="n">
        <v>0.3304</v>
      </c>
      <c r="CH148" s="0" t="n">
        <v>0.2248</v>
      </c>
      <c r="CI148" s="0" t="n">
        <v>1.8827</v>
      </c>
      <c r="CJ148" s="0" t="n">
        <v>0.6106</v>
      </c>
      <c r="CK148" s="0" t="n">
        <v>0.2079</v>
      </c>
      <c r="CL148" s="0" t="n">
        <v>0.009</v>
      </c>
      <c r="CM148" s="0" t="n">
        <v>0.7795</v>
      </c>
      <c r="CN148" s="0" t="n">
        <v>0</v>
      </c>
      <c r="CO148" s="0" t="n">
        <v>4.5951</v>
      </c>
      <c r="CP148" s="0" t="n">
        <v>5.9256</v>
      </c>
      <c r="CQ148" s="0" t="n">
        <v>14.8938</v>
      </c>
      <c r="CR148" s="0" t="n">
        <v>18.1122</v>
      </c>
      <c r="CS148" s="0" t="n">
        <v>16.4735</v>
      </c>
      <c r="CT148" s="0" t="n">
        <v>14.3432</v>
      </c>
      <c r="CU148" s="0" t="n">
        <v>17.5127</v>
      </c>
      <c r="CV148" s="0" t="n">
        <v>10.3785</v>
      </c>
      <c r="CW148" s="0" t="n">
        <v>10.0338</v>
      </c>
      <c r="CX148" s="0" t="n">
        <v>9.1889</v>
      </c>
      <c r="CY148" s="0" t="n">
        <v>8.144</v>
      </c>
      <c r="CZ148" s="0" t="n">
        <v>7.6103</v>
      </c>
      <c r="DA148" s="0" t="n">
        <v>6.7101</v>
      </c>
      <c r="DB148" s="0" t="n">
        <v>4.9044</v>
      </c>
      <c r="DC148" s="0" t="n">
        <v>5.5469</v>
      </c>
      <c r="DD148" s="0" t="n">
        <v>5.7188</v>
      </c>
      <c r="DE148" s="0" t="n">
        <v>4.9523</v>
      </c>
      <c r="DF148" s="0" t="n">
        <v>4.9028</v>
      </c>
      <c r="DG148" s="0" t="n">
        <v>6.198</v>
      </c>
      <c r="DH148" s="0" t="n">
        <v>7.0732</v>
      </c>
      <c r="DI148" s="0" t="n">
        <v>8.3875</v>
      </c>
      <c r="DJ148" s="0" t="n">
        <v>6.5319</v>
      </c>
      <c r="DK148" s="0" t="n">
        <v>4.9416</v>
      </c>
      <c r="DL148" s="0" t="n">
        <v>5.456</v>
      </c>
      <c r="DM148" s="0" t="n">
        <v>7.5683</v>
      </c>
      <c r="DN148" s="0" t="n">
        <v>7.776</v>
      </c>
      <c r="DO148" s="0" t="n">
        <v>8.9589</v>
      </c>
      <c r="DP148" s="0" t="n">
        <v>8.8891</v>
      </c>
      <c r="DQ148" s="0" t="n">
        <v>9.4583</v>
      </c>
      <c r="DR148" s="0" t="n">
        <v>10.3841</v>
      </c>
      <c r="DS148" s="0" t="n">
        <v>11.1665</v>
      </c>
      <c r="DT148" s="0" t="n">
        <v>11.9916</v>
      </c>
      <c r="DU148" s="0" t="n">
        <v>13.4336</v>
      </c>
      <c r="DV148" s="0" t="n">
        <v>11.9876</v>
      </c>
      <c r="DW148" s="0" t="n">
        <v>11.4605</v>
      </c>
      <c r="DX148" s="0" t="n">
        <v>11.9279</v>
      </c>
      <c r="DY148" s="0" t="n">
        <v>7.8467</v>
      </c>
      <c r="DZ148" s="0" t="n">
        <v>8.1827</v>
      </c>
      <c r="EA148" s="0" t="n">
        <v>9.8486</v>
      </c>
      <c r="EB148" s="0" t="n">
        <v>9.7785</v>
      </c>
      <c r="EC148" s="0" t="n">
        <v>7.6562</v>
      </c>
      <c r="ED148" s="0" t="n">
        <v>6.5876</v>
      </c>
      <c r="EE148" s="0" t="n">
        <v>4.0455</v>
      </c>
      <c r="EF148" s="0" t="n">
        <v>4.0067</v>
      </c>
      <c r="EG148" s="0" t="n">
        <v>3.2303</v>
      </c>
      <c r="EH148" s="0" t="n">
        <v>2.6007</v>
      </c>
      <c r="EI148" s="0" t="n">
        <v>2.2648</v>
      </c>
      <c r="EJ148" s="0" t="n">
        <v>3.1171</v>
      </c>
      <c r="EK148" s="0" t="n">
        <v>2.4132</v>
      </c>
      <c r="EL148" s="0" t="n">
        <v>1.3859</v>
      </c>
      <c r="EM148" s="0" t="n">
        <v>1.8237</v>
      </c>
      <c r="EN148" s="0" t="n">
        <v>1.1034</v>
      </c>
      <c r="EO148" s="0" t="n">
        <v>0.5515</v>
      </c>
      <c r="EP148" s="0" t="n">
        <v>0.9971</v>
      </c>
      <c r="EQ148" s="0" t="n">
        <v>1.0507</v>
      </c>
      <c r="ER148" s="0" t="n">
        <v>0.9069</v>
      </c>
      <c r="ES148" s="0" t="n">
        <v>1.9081</v>
      </c>
      <c r="ET148" s="0" t="n">
        <v>1.8193</v>
      </c>
      <c r="EU148" s="0" t="n">
        <v>0.9211</v>
      </c>
      <c r="EV148" s="0" t="n">
        <v>1.2705</v>
      </c>
      <c r="EW148" s="0" t="n">
        <v>0.6176</v>
      </c>
      <c r="EX148" s="0" t="n">
        <v>1.2159</v>
      </c>
      <c r="EY148" s="0" t="n">
        <v>0.4136</v>
      </c>
      <c r="EZ148" s="0" t="n">
        <v>0.5634</v>
      </c>
      <c r="FA148" s="0" t="n">
        <v>0.9854</v>
      </c>
      <c r="FB148" s="0" t="n">
        <v>0.1903</v>
      </c>
      <c r="FC148" s="0" t="n">
        <v>0.2033</v>
      </c>
      <c r="FD148" s="0" t="n">
        <v>1.11</v>
      </c>
      <c r="FE148" s="0" t="n">
        <v>0.0986</v>
      </c>
      <c r="FF148" s="0" t="n">
        <v>0.0076</v>
      </c>
      <c r="FG148" s="0" t="n">
        <v>0.1303</v>
      </c>
      <c r="FH148" s="0" t="n">
        <v>0.0687</v>
      </c>
      <c r="FI148" s="0" t="n">
        <v>0.1019</v>
      </c>
      <c r="FJ148" s="0" t="n">
        <v>0.3865</v>
      </c>
      <c r="FK148" s="0" t="n">
        <v>0.2669</v>
      </c>
      <c r="FL148" s="0" t="n">
        <v>2.2666</v>
      </c>
      <c r="FM148" s="0" t="n">
        <v>0.7447</v>
      </c>
      <c r="FN148" s="0" t="n">
        <v>0.2573</v>
      </c>
      <c r="FO148" s="0" t="n">
        <v>0.0112</v>
      </c>
      <c r="FP148" s="0" t="n">
        <v>1.0355</v>
      </c>
    </row>
    <row r="149" customFormat="false" ht="13.8" hidden="false" customHeight="false" outlineLevel="0" collapsed="false">
      <c r="A149" s="2" t="s">
        <v>459</v>
      </c>
      <c r="B149" s="0" t="s">
        <v>173</v>
      </c>
      <c r="C149" s="0" t="n">
        <v>168</v>
      </c>
      <c r="D149" s="0" t="s">
        <v>460</v>
      </c>
      <c r="F149" s="0" t="n">
        <v>3.9945</v>
      </c>
      <c r="G149" s="0" t="n">
        <v>2776.227</v>
      </c>
      <c r="H149" s="0" t="n">
        <v>276.1219</v>
      </c>
      <c r="I149" s="0" t="n">
        <v>867.4626</v>
      </c>
      <c r="J149" s="0" t="n">
        <v>0.96795</v>
      </c>
      <c r="K149" s="0" t="n">
        <v>0.019</v>
      </c>
      <c r="L149" s="0" t="n">
        <v>7.1129</v>
      </c>
      <c r="M149" s="0" t="n">
        <v>16.6434</v>
      </c>
      <c r="N149" s="0" t="n">
        <v>149.8515</v>
      </c>
      <c r="O149" s="0" t="n">
        <v>213.6669</v>
      </c>
      <c r="P149" s="0" t="n">
        <v>177.3972</v>
      </c>
      <c r="Q149" s="0" t="n">
        <v>285.2904</v>
      </c>
      <c r="R149" s="0" t="n">
        <v>147.6845</v>
      </c>
      <c r="S149" s="0" t="n">
        <v>132.2688</v>
      </c>
      <c r="T149" s="0" t="n">
        <v>109.7336</v>
      </c>
      <c r="U149" s="0" t="n">
        <v>154.7408</v>
      </c>
      <c r="V149" s="0" t="n">
        <v>75.7312</v>
      </c>
      <c r="W149" s="0" t="n">
        <v>109.0033</v>
      </c>
      <c r="X149" s="0" t="n">
        <v>65.6806</v>
      </c>
      <c r="Y149" s="0" t="n">
        <v>42.305</v>
      </c>
      <c r="Z149" s="0" t="n">
        <v>52.3319</v>
      </c>
      <c r="AA149" s="0" t="n">
        <v>53.1028</v>
      </c>
      <c r="AB149" s="0" t="n">
        <v>51.6044</v>
      </c>
      <c r="AC149" s="0" t="n">
        <v>39.2969</v>
      </c>
      <c r="AD149" s="0" t="n">
        <v>50.7103</v>
      </c>
      <c r="AE149" s="0" t="n">
        <v>35.4418</v>
      </c>
      <c r="AF149" s="0" t="n">
        <v>49.1213</v>
      </c>
      <c r="AG149" s="0" t="n">
        <v>19.8411</v>
      </c>
      <c r="AH149" s="0" t="n">
        <v>39.7669</v>
      </c>
      <c r="AI149" s="0" t="n">
        <v>45.3831</v>
      </c>
      <c r="AJ149" s="0" t="n">
        <v>24.9962</v>
      </c>
      <c r="AK149" s="0" t="n">
        <v>39.5353</v>
      </c>
      <c r="AL149" s="0" t="n">
        <v>23.5238</v>
      </c>
      <c r="AM149" s="0" t="n">
        <v>34.9284</v>
      </c>
      <c r="AN149" s="0" t="n">
        <v>39.8564</v>
      </c>
      <c r="AO149" s="0" t="n">
        <v>38.9324</v>
      </c>
      <c r="AP149" s="0" t="n">
        <v>30.558</v>
      </c>
      <c r="AQ149" s="0" t="n">
        <v>33.7402</v>
      </c>
      <c r="AR149" s="0" t="n">
        <v>29.2977</v>
      </c>
      <c r="AS149" s="0" t="n">
        <v>27.6818</v>
      </c>
      <c r="AT149" s="0" t="n">
        <v>32.9378</v>
      </c>
      <c r="AU149" s="0" t="n">
        <v>26.8714</v>
      </c>
      <c r="AV149" s="0" t="n">
        <v>15.2128</v>
      </c>
      <c r="AW149" s="0" t="n">
        <v>18.4997</v>
      </c>
      <c r="AX149" s="0" t="n">
        <v>25.2283</v>
      </c>
      <c r="AY149" s="0" t="n">
        <v>15.0872</v>
      </c>
      <c r="AZ149" s="0" t="n">
        <v>18.5653</v>
      </c>
      <c r="BA149" s="0" t="n">
        <v>12.4487</v>
      </c>
      <c r="BB149" s="0" t="n">
        <v>16.2588</v>
      </c>
      <c r="BC149" s="0" t="n">
        <v>13.2312</v>
      </c>
      <c r="BD149" s="0" t="n">
        <v>8.7594</v>
      </c>
      <c r="BE149" s="0" t="n">
        <v>8.982</v>
      </c>
      <c r="BF149" s="0" t="n">
        <v>6.6259</v>
      </c>
      <c r="BG149" s="0" t="n">
        <v>9.3108</v>
      </c>
      <c r="BH149" s="0" t="n">
        <v>7.5223</v>
      </c>
      <c r="BI149" s="0" t="n">
        <v>6.9281</v>
      </c>
      <c r="BJ149" s="0" t="n">
        <v>7.3169</v>
      </c>
      <c r="BK149" s="0" t="n">
        <v>3.9236</v>
      </c>
      <c r="BL149" s="0" t="n">
        <v>4.5941</v>
      </c>
      <c r="BM149" s="0" t="n">
        <v>5.4263</v>
      </c>
      <c r="BN149" s="0" t="n">
        <v>4.7981</v>
      </c>
      <c r="BO149" s="0" t="n">
        <v>3.5081</v>
      </c>
      <c r="BP149" s="0" t="n">
        <v>2.9651</v>
      </c>
      <c r="BQ149" s="0" t="n">
        <v>4.0372</v>
      </c>
      <c r="BR149" s="0" t="n">
        <v>2.2353</v>
      </c>
      <c r="BS149" s="0" t="n">
        <v>2.6406</v>
      </c>
      <c r="BT149" s="0" t="n">
        <v>2.6755</v>
      </c>
      <c r="BU149" s="0" t="n">
        <v>2.2114</v>
      </c>
      <c r="BV149" s="0" t="n">
        <v>2.5416</v>
      </c>
      <c r="BW149" s="0" t="n">
        <v>1.9817</v>
      </c>
      <c r="BX149" s="0" t="n">
        <v>2.0725</v>
      </c>
      <c r="BY149" s="0" t="n">
        <v>3.125</v>
      </c>
      <c r="BZ149" s="0" t="n">
        <v>2.5165</v>
      </c>
      <c r="CA149" s="0" t="n">
        <v>1.5006</v>
      </c>
      <c r="CB149" s="0" t="n">
        <v>1.4852</v>
      </c>
      <c r="CC149" s="0" t="n">
        <v>2.0465</v>
      </c>
      <c r="CD149" s="0" t="n">
        <v>1.9088</v>
      </c>
      <c r="CE149" s="0" t="n">
        <v>1.0508</v>
      </c>
      <c r="CF149" s="0" t="n">
        <v>1.3421</v>
      </c>
      <c r="CG149" s="0" t="n">
        <v>1.8209</v>
      </c>
      <c r="CH149" s="0" t="n">
        <v>0.8212</v>
      </c>
      <c r="CI149" s="0" t="n">
        <v>0.9318</v>
      </c>
      <c r="CJ149" s="0" t="n">
        <v>0.4379</v>
      </c>
      <c r="CK149" s="0" t="n">
        <v>0.54</v>
      </c>
      <c r="CL149" s="0" t="n">
        <v>0.9273</v>
      </c>
      <c r="CM149" s="0" t="n">
        <v>13.5948</v>
      </c>
      <c r="CN149" s="0" t="n">
        <v>0.0003</v>
      </c>
      <c r="CO149" s="0" t="n">
        <v>0.1961</v>
      </c>
      <c r="CP149" s="0" t="n">
        <v>0.6685</v>
      </c>
      <c r="CQ149" s="0" t="n">
        <v>8.5659</v>
      </c>
      <c r="CR149" s="0" t="n">
        <v>15.1038</v>
      </c>
      <c r="CS149" s="0" t="n">
        <v>14.7874</v>
      </c>
      <c r="CT149" s="0" t="n">
        <v>28.7992</v>
      </c>
      <c r="CU149" s="0" t="n">
        <v>17.6028</v>
      </c>
      <c r="CV149" s="0" t="n">
        <v>17.6123</v>
      </c>
      <c r="CW149" s="0" t="n">
        <v>16.1168</v>
      </c>
      <c r="CX149" s="0" t="n">
        <v>25.7234</v>
      </c>
      <c r="CY149" s="0" t="n">
        <v>13.7219</v>
      </c>
      <c r="CZ149" s="0" t="n">
        <v>21.3415</v>
      </c>
      <c r="DA149" s="0" t="n">
        <v>14.1823</v>
      </c>
      <c r="DB149" s="0" t="n">
        <v>9.5742</v>
      </c>
      <c r="DC149" s="0" t="n">
        <v>12.685</v>
      </c>
      <c r="DD149" s="0" t="n">
        <v>13.7341</v>
      </c>
      <c r="DE149" s="0" t="n">
        <v>14.2521</v>
      </c>
      <c r="DF149" s="0" t="n">
        <v>11.4095</v>
      </c>
      <c r="DG149" s="0" t="n">
        <v>15.572</v>
      </c>
      <c r="DH149" s="0" t="n">
        <v>11.3627</v>
      </c>
      <c r="DI149" s="0" t="n">
        <v>16.6678</v>
      </c>
      <c r="DJ149" s="0" t="n">
        <v>7.061</v>
      </c>
      <c r="DK149" s="0" t="n">
        <v>14.5842</v>
      </c>
      <c r="DL149" s="0" t="n">
        <v>17.5652</v>
      </c>
      <c r="DM149" s="0" t="n">
        <v>9.9961</v>
      </c>
      <c r="DN149" s="0" t="n">
        <v>16.4848</v>
      </c>
      <c r="DO149" s="0" t="n">
        <v>10.1805</v>
      </c>
      <c r="DP149" s="0" t="n">
        <v>15.5615</v>
      </c>
      <c r="DQ149" s="0" t="n">
        <v>18.472</v>
      </c>
      <c r="DR149" s="0" t="n">
        <v>18.7244</v>
      </c>
      <c r="DS149" s="0" t="n">
        <v>15.0764</v>
      </c>
      <c r="DT149" s="0" t="n">
        <v>17.2062</v>
      </c>
      <c r="DU149" s="0" t="n">
        <v>15.4098</v>
      </c>
      <c r="DV149" s="0" t="n">
        <v>14.9488</v>
      </c>
      <c r="DW149" s="0" t="n">
        <v>18.3158</v>
      </c>
      <c r="DX149" s="0" t="n">
        <v>15.4361</v>
      </c>
      <c r="DY149" s="0" t="n">
        <v>8.9751</v>
      </c>
      <c r="DZ149" s="0" t="n">
        <v>11.1509</v>
      </c>
      <c r="EA149" s="0" t="n">
        <v>15.6584</v>
      </c>
      <c r="EB149" s="0" t="n">
        <v>9.6176</v>
      </c>
      <c r="EC149" s="0" t="n">
        <v>12.1257</v>
      </c>
      <c r="ED149" s="0" t="n">
        <v>8.2716</v>
      </c>
      <c r="EE149" s="0" t="n">
        <v>11.0903</v>
      </c>
      <c r="EF149" s="0" t="n">
        <v>9.2816</v>
      </c>
      <c r="EG149" s="0" t="n">
        <v>6.2729</v>
      </c>
      <c r="EH149" s="0" t="n">
        <v>6.5494</v>
      </c>
      <c r="EI149" s="0" t="n">
        <v>4.943</v>
      </c>
      <c r="EJ149" s="0" t="n">
        <v>7.0843</v>
      </c>
      <c r="EK149" s="0" t="n">
        <v>5.8554</v>
      </c>
      <c r="EL149" s="0" t="n">
        <v>5.4934</v>
      </c>
      <c r="EM149" s="0" t="n">
        <v>5.9246</v>
      </c>
      <c r="EN149" s="0" t="n">
        <v>3.2416</v>
      </c>
      <c r="EO149" s="0" t="n">
        <v>3.861</v>
      </c>
      <c r="EP149" s="0" t="n">
        <v>4.6343</v>
      </c>
      <c r="EQ149" s="0" t="n">
        <v>4.1852</v>
      </c>
      <c r="ER149" s="0" t="n">
        <v>3.109</v>
      </c>
      <c r="ES149" s="0" t="n">
        <v>2.6791</v>
      </c>
      <c r="ET149" s="0" t="n">
        <v>3.7104</v>
      </c>
      <c r="EU149" s="0" t="n">
        <v>2.0866</v>
      </c>
      <c r="EV149" s="0" t="n">
        <v>2.5109</v>
      </c>
      <c r="EW149" s="0" t="n">
        <v>2.5832</v>
      </c>
      <c r="EX149" s="0" t="n">
        <v>2.1683</v>
      </c>
      <c r="EY149" s="0" t="n">
        <v>2.5372</v>
      </c>
      <c r="EZ149" s="0" t="n">
        <v>2.0096</v>
      </c>
      <c r="FA149" s="0" t="n">
        <v>2.126</v>
      </c>
      <c r="FB149" s="0" t="n">
        <v>3.2612</v>
      </c>
      <c r="FC149" s="0" t="n">
        <v>2.6728</v>
      </c>
      <c r="FD149" s="0" t="n">
        <v>1.6172</v>
      </c>
      <c r="FE149" s="0" t="n">
        <v>1.6229</v>
      </c>
      <c r="FF149" s="0" t="n">
        <v>2.2645</v>
      </c>
      <c r="FG149" s="0" t="n">
        <v>2.1495</v>
      </c>
      <c r="FH149" s="0" t="n">
        <v>1.1972</v>
      </c>
      <c r="FI149" s="0" t="n">
        <v>1.5494</v>
      </c>
      <c r="FJ149" s="0" t="n">
        <v>2.131</v>
      </c>
      <c r="FK149" s="0" t="n">
        <v>0.9748</v>
      </c>
      <c r="FL149" s="0" t="n">
        <v>1.1211</v>
      </c>
      <c r="FM149" s="0" t="n">
        <v>0.5334</v>
      </c>
      <c r="FN149" s="0" t="n">
        <v>0.6649</v>
      </c>
      <c r="FO149" s="0" t="n">
        <v>1.1556</v>
      </c>
      <c r="FP149" s="0" t="n">
        <v>19.8372</v>
      </c>
    </row>
    <row r="150" customFormat="false" ht="13.8" hidden="false" customHeight="false" outlineLevel="0" collapsed="false">
      <c r="A150" s="2" t="s">
        <v>461</v>
      </c>
      <c r="B150" s="0" t="s">
        <v>176</v>
      </c>
      <c r="C150" s="0" t="n">
        <v>384</v>
      </c>
      <c r="D150" s="0" t="s">
        <v>462</v>
      </c>
      <c r="F150" s="0" t="n">
        <v>2.4365</v>
      </c>
      <c r="G150" s="0" t="n">
        <v>1905.264</v>
      </c>
      <c r="H150" s="0" t="n">
        <v>130.593</v>
      </c>
      <c r="I150" s="0" t="n">
        <v>410.2699</v>
      </c>
      <c r="J150" s="0" t="n">
        <v>0.59945</v>
      </c>
      <c r="K150" s="0" t="n">
        <v>0</v>
      </c>
      <c r="L150" s="0" t="n">
        <v>171.7997</v>
      </c>
      <c r="M150" s="0" t="n">
        <v>194.0044</v>
      </c>
      <c r="N150" s="0" t="n">
        <v>148.9701</v>
      </c>
      <c r="O150" s="0" t="n">
        <v>0.3807</v>
      </c>
      <c r="P150" s="0" t="n">
        <v>165.1138</v>
      </c>
      <c r="Q150" s="0" t="n">
        <v>82.751</v>
      </c>
      <c r="R150" s="0" t="n">
        <v>138.328</v>
      </c>
      <c r="S150" s="0" t="n">
        <v>72.49</v>
      </c>
      <c r="T150" s="0" t="n">
        <v>12.9176</v>
      </c>
      <c r="U150" s="0" t="n">
        <v>82.0988</v>
      </c>
      <c r="V150" s="0" t="n">
        <v>72.399</v>
      </c>
      <c r="W150" s="0" t="n">
        <v>45.7776</v>
      </c>
      <c r="X150" s="0" t="n">
        <v>59.8968</v>
      </c>
      <c r="Y150" s="0" t="n">
        <v>43.5826</v>
      </c>
      <c r="Z150" s="0" t="n">
        <v>38.325</v>
      </c>
      <c r="AA150" s="0" t="n">
        <v>28.6922</v>
      </c>
      <c r="AB150" s="0" t="n">
        <v>43.6161</v>
      </c>
      <c r="AC150" s="0" t="n">
        <v>14.3661</v>
      </c>
      <c r="AD150" s="0" t="n">
        <v>40.0379</v>
      </c>
      <c r="AE150" s="0" t="n">
        <v>20.2127</v>
      </c>
      <c r="AF150" s="0" t="n">
        <v>36.5754</v>
      </c>
      <c r="AG150" s="0" t="n">
        <v>14.1355</v>
      </c>
      <c r="AH150" s="0" t="n">
        <v>27.8008</v>
      </c>
      <c r="AI150" s="0" t="n">
        <v>31.4531</v>
      </c>
      <c r="AJ150" s="0" t="n">
        <v>7.6434</v>
      </c>
      <c r="AK150" s="0" t="n">
        <v>40.639</v>
      </c>
      <c r="AL150" s="0" t="n">
        <v>37.1412</v>
      </c>
      <c r="AM150" s="0" t="n">
        <v>17.6159</v>
      </c>
      <c r="AN150" s="0" t="n">
        <v>13.622</v>
      </c>
      <c r="AO150" s="0" t="n">
        <v>32.6128</v>
      </c>
      <c r="AP150" s="0" t="n">
        <v>18.5142</v>
      </c>
      <c r="AQ150" s="0" t="n">
        <v>22.2942</v>
      </c>
      <c r="AR150" s="0" t="n">
        <v>15.9969</v>
      </c>
      <c r="AS150" s="0" t="n">
        <v>20.1494</v>
      </c>
      <c r="AT150" s="0" t="n">
        <v>20.7415</v>
      </c>
      <c r="AU150" s="0" t="n">
        <v>16.0498</v>
      </c>
      <c r="AV150" s="0" t="n">
        <v>0.8609</v>
      </c>
      <c r="AW150" s="0" t="n">
        <v>12.9198</v>
      </c>
      <c r="AX150" s="0" t="n">
        <v>10.546</v>
      </c>
      <c r="AY150" s="0" t="n">
        <v>6.631</v>
      </c>
      <c r="AZ150" s="0" t="n">
        <v>3.9625</v>
      </c>
      <c r="BA150" s="0" t="n">
        <v>4.8315</v>
      </c>
      <c r="BB150" s="0" t="n">
        <v>3.7574</v>
      </c>
      <c r="BC150" s="0" t="n">
        <v>2.8666</v>
      </c>
      <c r="BD150" s="0" t="n">
        <v>1.805</v>
      </c>
      <c r="BE150" s="0" t="n">
        <v>1.688</v>
      </c>
      <c r="BF150" s="0" t="n">
        <v>0.611</v>
      </c>
      <c r="BG150" s="0" t="n">
        <v>1.251</v>
      </c>
      <c r="BH150" s="0" t="n">
        <v>0.5341</v>
      </c>
      <c r="BI150" s="0" t="n">
        <v>0.2238</v>
      </c>
      <c r="BJ150" s="0" t="n">
        <v>0.1327</v>
      </c>
      <c r="BK150" s="0" t="n">
        <v>0.3897</v>
      </c>
      <c r="BL150" s="0" t="n">
        <v>0.24</v>
      </c>
      <c r="BM150" s="0" t="n">
        <v>0.629</v>
      </c>
      <c r="BN150" s="0" t="n">
        <v>0.4826</v>
      </c>
      <c r="BO150" s="0" t="n">
        <v>0.0523</v>
      </c>
      <c r="BP150" s="0" t="n">
        <v>0.0159</v>
      </c>
      <c r="BQ150" s="0" t="n">
        <v>0</v>
      </c>
      <c r="BR150" s="0" t="n">
        <v>0</v>
      </c>
      <c r="BS150" s="0" t="n">
        <v>0.261</v>
      </c>
      <c r="BT150" s="0" t="n">
        <v>0.0566</v>
      </c>
      <c r="BU150" s="0" t="n">
        <v>0.192</v>
      </c>
      <c r="BV150" s="0" t="n">
        <v>0.0856</v>
      </c>
      <c r="BW150" s="0" t="n">
        <v>0.2983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0.2032</v>
      </c>
      <c r="CC150" s="0" t="n">
        <v>0.0201</v>
      </c>
      <c r="CD150" s="0" t="n">
        <v>0.0069</v>
      </c>
      <c r="CE150" s="0" t="n">
        <v>0</v>
      </c>
      <c r="CF150" s="0" t="n">
        <v>0.1475</v>
      </c>
      <c r="CG150" s="0" t="n">
        <v>0</v>
      </c>
      <c r="CH150" s="0" t="n">
        <v>0</v>
      </c>
      <c r="CI150" s="0" t="n">
        <v>0</v>
      </c>
      <c r="CJ150" s="0" t="n">
        <v>0</v>
      </c>
      <c r="CK150" s="0" t="n">
        <v>0</v>
      </c>
      <c r="CL150" s="0" t="n">
        <v>0</v>
      </c>
      <c r="CM150" s="0" t="n">
        <v>0</v>
      </c>
      <c r="CN150" s="0" t="n">
        <v>0</v>
      </c>
      <c r="CO150" s="0" t="n">
        <v>3.6642</v>
      </c>
      <c r="CP150" s="0" t="n">
        <v>8.2368</v>
      </c>
      <c r="CQ150" s="0" t="n">
        <v>9.1024</v>
      </c>
      <c r="CR150" s="0" t="n">
        <v>0.0263</v>
      </c>
      <c r="CS150" s="0" t="n">
        <v>13.7605</v>
      </c>
      <c r="CT150" s="0" t="n">
        <v>8.409</v>
      </c>
      <c r="CU150" s="0" t="n">
        <v>16.2144</v>
      </c>
      <c r="CV150" s="0" t="n">
        <v>10.0688</v>
      </c>
      <c r="CW150" s="0" t="n">
        <v>1.8677</v>
      </c>
      <c r="CX150" s="0" t="n">
        <v>13.3491</v>
      </c>
      <c r="CY150" s="0" t="n">
        <v>13.24</v>
      </c>
      <c r="CZ150" s="0" t="n">
        <v>9.0876</v>
      </c>
      <c r="DA150" s="0" t="n">
        <v>12.6026</v>
      </c>
      <c r="DB150" s="0" t="n">
        <v>9.9144</v>
      </c>
      <c r="DC150" s="0" t="n">
        <v>9.4013</v>
      </c>
      <c r="DD150" s="0" t="n">
        <v>7.3403</v>
      </c>
      <c r="DE150" s="0" t="n">
        <v>11.9663</v>
      </c>
      <c r="DF150" s="0" t="n">
        <v>4.1543</v>
      </c>
      <c r="DG150" s="0" t="n">
        <v>12.1733</v>
      </c>
      <c r="DH150" s="0" t="n">
        <v>6.4995</v>
      </c>
      <c r="DI150" s="0" t="n">
        <v>12.4471</v>
      </c>
      <c r="DJ150" s="0" t="n">
        <v>5.0228</v>
      </c>
      <c r="DK150" s="0" t="n">
        <v>10.2617</v>
      </c>
      <c r="DL150" s="0" t="n">
        <v>12.2417</v>
      </c>
      <c r="DM150" s="0" t="n">
        <v>3.045</v>
      </c>
      <c r="DN150" s="0" t="n">
        <v>16.8688</v>
      </c>
      <c r="DO150" s="0" t="n">
        <v>16.1765</v>
      </c>
      <c r="DP150" s="0" t="n">
        <v>8.0006</v>
      </c>
      <c r="DQ150" s="0" t="n">
        <v>6.2631</v>
      </c>
      <c r="DR150" s="0" t="n">
        <v>15.5823</v>
      </c>
      <c r="DS150" s="0" t="n">
        <v>9.1894</v>
      </c>
      <c r="DT150" s="0" t="n">
        <v>11.4208</v>
      </c>
      <c r="DU150" s="0" t="n">
        <v>8.4058</v>
      </c>
      <c r="DV150" s="0" t="n">
        <v>10.8296</v>
      </c>
      <c r="DW150" s="0" t="n">
        <v>11.5437</v>
      </c>
      <c r="DX150" s="0" t="n">
        <v>9.2681</v>
      </c>
      <c r="DY150" s="0" t="n">
        <v>0.5101</v>
      </c>
      <c r="DZ150" s="0" t="n">
        <v>7.7358</v>
      </c>
      <c r="EA150" s="0" t="n">
        <v>6.5355</v>
      </c>
      <c r="EB150" s="0" t="n">
        <v>4.2406</v>
      </c>
      <c r="EC150" s="0" t="n">
        <v>2.5896</v>
      </c>
      <c r="ED150" s="0" t="n">
        <v>3.2138</v>
      </c>
      <c r="EE150" s="0" t="n">
        <v>2.5645</v>
      </c>
      <c r="EF150" s="0" t="n">
        <v>2.0126</v>
      </c>
      <c r="EG150" s="0" t="n">
        <v>1.2929</v>
      </c>
      <c r="EH150" s="0" t="n">
        <v>1.2346</v>
      </c>
      <c r="EI150" s="0" t="n">
        <v>0.4543</v>
      </c>
      <c r="EJ150" s="0" t="n">
        <v>0.9514</v>
      </c>
      <c r="EK150" s="0" t="n">
        <v>0.4173</v>
      </c>
      <c r="EL150" s="0" t="n">
        <v>0.1785</v>
      </c>
      <c r="EM150" s="0" t="n">
        <v>0.107</v>
      </c>
      <c r="EN150" s="0" t="n">
        <v>0.3228</v>
      </c>
      <c r="EO150" s="0" t="n">
        <v>0.2033</v>
      </c>
      <c r="EP150" s="0" t="n">
        <v>0.5362</v>
      </c>
      <c r="EQ150" s="0" t="n">
        <v>0.4216</v>
      </c>
      <c r="ER150" s="0" t="n">
        <v>0.0465</v>
      </c>
      <c r="ES150" s="0" t="n">
        <v>0.0142</v>
      </c>
      <c r="ET150" s="0" t="n">
        <v>0</v>
      </c>
      <c r="EU150" s="0" t="n">
        <v>0</v>
      </c>
      <c r="EV150" s="0" t="n">
        <v>0.248</v>
      </c>
      <c r="EW150" s="0" t="n">
        <v>0.0547</v>
      </c>
      <c r="EX150" s="0" t="n">
        <v>0.1896</v>
      </c>
      <c r="EY150" s="0" t="n">
        <v>0.0849</v>
      </c>
      <c r="EZ150" s="0" t="n">
        <v>0.3019</v>
      </c>
      <c r="FA150" s="0" t="n">
        <v>0</v>
      </c>
      <c r="FB150" s="0" t="n">
        <v>0</v>
      </c>
      <c r="FC150" s="0" t="n">
        <v>0</v>
      </c>
      <c r="FD150" s="0" t="n">
        <v>0</v>
      </c>
      <c r="FE150" s="0" t="n">
        <v>0.2224</v>
      </c>
      <c r="FF150" s="0" t="n">
        <v>0.0221</v>
      </c>
      <c r="FG150" s="0" t="n">
        <v>0.0078</v>
      </c>
      <c r="FH150" s="0" t="n">
        <v>0</v>
      </c>
      <c r="FI150" s="0" t="n">
        <v>0.1699</v>
      </c>
      <c r="FJ150" s="0" t="n">
        <v>0</v>
      </c>
      <c r="FK150" s="0" t="n">
        <v>0</v>
      </c>
      <c r="FL150" s="0" t="n">
        <v>0</v>
      </c>
      <c r="FM150" s="0" t="n">
        <v>0</v>
      </c>
      <c r="FN150" s="0" t="n">
        <v>0</v>
      </c>
      <c r="FO150" s="0" t="n">
        <v>0</v>
      </c>
      <c r="FP150" s="0" t="n">
        <v>0</v>
      </c>
    </row>
    <row r="151" customFormat="false" ht="13.8" hidden="false" customHeight="false" outlineLevel="0" collapsed="false">
      <c r="A151" s="2" t="s">
        <v>463</v>
      </c>
      <c r="B151" s="0" t="s">
        <v>173</v>
      </c>
      <c r="C151" s="0" t="n">
        <v>36</v>
      </c>
      <c r="D151" s="0" t="s">
        <v>464</v>
      </c>
      <c r="G151" s="0" t="n">
        <v>1167.1686</v>
      </c>
      <c r="H151" s="0" t="n">
        <v>111.4815</v>
      </c>
      <c r="I151" s="0" t="n">
        <v>350.2297</v>
      </c>
      <c r="J151" s="0" t="n">
        <v>0.9596</v>
      </c>
      <c r="K151" s="0" t="n">
        <v>0.0051</v>
      </c>
      <c r="L151" s="0" t="n">
        <v>67.825</v>
      </c>
      <c r="M151" s="0" t="n">
        <v>55.3578</v>
      </c>
      <c r="N151" s="0" t="n">
        <v>77.3973</v>
      </c>
      <c r="O151" s="0" t="n">
        <v>72.6026</v>
      </c>
      <c r="P151" s="0" t="n">
        <v>54.7905</v>
      </c>
      <c r="Q151" s="0" t="n">
        <v>37.4432</v>
      </c>
      <c r="R151" s="0" t="n">
        <v>48.0425</v>
      </c>
      <c r="S151" s="0" t="n">
        <v>32.0419</v>
      </c>
      <c r="T151" s="0" t="n">
        <v>30.0272</v>
      </c>
      <c r="U151" s="0" t="n">
        <v>30.7599</v>
      </c>
      <c r="V151" s="0" t="n">
        <v>30.3208</v>
      </c>
      <c r="W151" s="0" t="n">
        <v>27.1727</v>
      </c>
      <c r="X151" s="0" t="n">
        <v>25.0804</v>
      </c>
      <c r="Y151" s="0" t="n">
        <v>19.1009</v>
      </c>
      <c r="Z151" s="0" t="n">
        <v>16.6978</v>
      </c>
      <c r="AA151" s="0" t="n">
        <v>21.2072</v>
      </c>
      <c r="AB151" s="0" t="n">
        <v>15.7141</v>
      </c>
      <c r="AC151" s="0" t="n">
        <v>16.7042</v>
      </c>
      <c r="AD151" s="0" t="n">
        <v>16.8379</v>
      </c>
      <c r="AE151" s="0" t="n">
        <v>17.4091</v>
      </c>
      <c r="AF151" s="0" t="n">
        <v>15.6174</v>
      </c>
      <c r="AG151" s="0" t="n">
        <v>15.9476</v>
      </c>
      <c r="AH151" s="0" t="n">
        <v>15.4322</v>
      </c>
      <c r="AI151" s="0" t="n">
        <v>15.9795</v>
      </c>
      <c r="AJ151" s="0" t="n">
        <v>17.4608</v>
      </c>
      <c r="AK151" s="0" t="n">
        <v>19.4783</v>
      </c>
      <c r="AL151" s="0" t="n">
        <v>22.6543</v>
      </c>
      <c r="AM151" s="0" t="n">
        <v>18.699</v>
      </c>
      <c r="AN151" s="0" t="n">
        <v>20.5404</v>
      </c>
      <c r="AO151" s="0" t="n">
        <v>19.1837</v>
      </c>
      <c r="AP151" s="0" t="n">
        <v>17.4407</v>
      </c>
      <c r="AQ151" s="0" t="n">
        <v>17.247</v>
      </c>
      <c r="AR151" s="0" t="n">
        <v>21.1922</v>
      </c>
      <c r="AS151" s="0" t="n">
        <v>16.1615</v>
      </c>
      <c r="AT151" s="0" t="n">
        <v>17.5069</v>
      </c>
      <c r="AU151" s="0" t="n">
        <v>16.2488</v>
      </c>
      <c r="AV151" s="0" t="n">
        <v>14.1468</v>
      </c>
      <c r="AW151" s="0" t="n">
        <v>18.8749</v>
      </c>
      <c r="AX151" s="0" t="n">
        <v>13.7921</v>
      </c>
      <c r="AY151" s="0" t="n">
        <v>14.2998</v>
      </c>
      <c r="AZ151" s="0" t="n">
        <v>17.1037</v>
      </c>
      <c r="BA151" s="0" t="n">
        <v>17.2437</v>
      </c>
      <c r="BB151" s="0" t="n">
        <v>13.6808</v>
      </c>
      <c r="BC151" s="0" t="n">
        <v>11.1186</v>
      </c>
      <c r="BD151" s="0" t="n">
        <v>10.2385</v>
      </c>
      <c r="BE151" s="0" t="n">
        <v>8.5434</v>
      </c>
      <c r="BF151" s="0" t="n">
        <v>3.6254</v>
      </c>
      <c r="BG151" s="0" t="n">
        <v>5.0485</v>
      </c>
      <c r="BH151" s="0" t="n">
        <v>3.709</v>
      </c>
      <c r="BI151" s="0" t="n">
        <v>2.8588</v>
      </c>
      <c r="BJ151" s="0" t="n">
        <v>3.1727</v>
      </c>
      <c r="BK151" s="0" t="n">
        <v>1.0426</v>
      </c>
      <c r="BL151" s="0" t="n">
        <v>1.6545</v>
      </c>
      <c r="BM151" s="0" t="n">
        <v>1.1622</v>
      </c>
      <c r="BN151" s="0" t="n">
        <v>1.1399</v>
      </c>
      <c r="BO151" s="0" t="n">
        <v>1.125</v>
      </c>
      <c r="BP151" s="0" t="n">
        <v>0.6482</v>
      </c>
      <c r="BQ151" s="0" t="n">
        <v>0.5623</v>
      </c>
      <c r="BR151" s="0" t="n">
        <v>0.6705</v>
      </c>
      <c r="BS151" s="0" t="n">
        <v>0.31</v>
      </c>
      <c r="BT151" s="0" t="n">
        <v>0.5102</v>
      </c>
      <c r="BU151" s="0" t="n">
        <v>0.2482</v>
      </c>
      <c r="BV151" s="0" t="n">
        <v>0.3865</v>
      </c>
      <c r="BW151" s="0" t="n">
        <v>0.1204</v>
      </c>
      <c r="BX151" s="0" t="n">
        <v>0.0295</v>
      </c>
      <c r="BY151" s="0" t="n">
        <v>0.0702</v>
      </c>
      <c r="BZ151" s="0" t="n">
        <v>0.0475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0.0001</v>
      </c>
      <c r="CO151" s="0" t="n">
        <v>1.7862</v>
      </c>
      <c r="CP151" s="0" t="n">
        <v>2.1213</v>
      </c>
      <c r="CQ151" s="0" t="n">
        <v>4.2611</v>
      </c>
      <c r="CR151" s="0" t="n">
        <v>5.0723</v>
      </c>
      <c r="CS151" s="0" t="n">
        <v>4.7194</v>
      </c>
      <c r="CT151" s="0" t="n">
        <v>3.8124</v>
      </c>
      <c r="CU151" s="0" t="n">
        <v>5.6766</v>
      </c>
      <c r="CV151" s="0" t="n">
        <v>4.2726</v>
      </c>
      <c r="CW151" s="0" t="n">
        <v>4.465</v>
      </c>
      <c r="CX151" s="0" t="n">
        <v>5.0651</v>
      </c>
      <c r="CY151" s="0" t="n">
        <v>5.4963</v>
      </c>
      <c r="CZ151" s="0" t="n">
        <v>5.3323</v>
      </c>
      <c r="DA151" s="0" t="n">
        <v>5.3215</v>
      </c>
      <c r="DB151" s="0" t="n">
        <v>4.339</v>
      </c>
      <c r="DC151" s="0" t="n">
        <v>4.0795</v>
      </c>
      <c r="DD151" s="0" t="n">
        <v>5.4919</v>
      </c>
      <c r="DE151" s="0" t="n">
        <v>4.3195</v>
      </c>
      <c r="DF151" s="0" t="n">
        <v>4.8573</v>
      </c>
      <c r="DG151" s="0" t="n">
        <v>5.1539</v>
      </c>
      <c r="DH151" s="0" t="n">
        <v>5.6072</v>
      </c>
      <c r="DI151" s="0" t="n">
        <v>5.2758</v>
      </c>
      <c r="DJ151" s="0" t="n">
        <v>5.6312</v>
      </c>
      <c r="DK151" s="0" t="n">
        <v>5.7003</v>
      </c>
      <c r="DL151" s="0" t="n">
        <v>6.1658</v>
      </c>
      <c r="DM151" s="0" t="n">
        <v>6.9721</v>
      </c>
      <c r="DN151" s="0" t="n">
        <v>8.1069</v>
      </c>
      <c r="DO151" s="0" t="n">
        <v>9.8031</v>
      </c>
      <c r="DP151" s="0" t="n">
        <v>8.3687</v>
      </c>
      <c r="DQ151" s="0" t="n">
        <v>9.5154</v>
      </c>
      <c r="DR151" s="0" t="n">
        <v>9.1858</v>
      </c>
      <c r="DS151" s="0" t="n">
        <v>8.6292</v>
      </c>
      <c r="DT151" s="0" t="n">
        <v>8.8088</v>
      </c>
      <c r="DU151" s="0" t="n">
        <v>11.172</v>
      </c>
      <c r="DV151" s="0" t="n">
        <v>8.7512</v>
      </c>
      <c r="DW151" s="0" t="n">
        <v>9.767</v>
      </c>
      <c r="DX151" s="0" t="n">
        <v>9.3376</v>
      </c>
      <c r="DY151" s="0" t="n">
        <v>8.3233</v>
      </c>
      <c r="DZ151" s="0" t="n">
        <v>11.394</v>
      </c>
      <c r="EA151" s="0" t="n">
        <v>8.5633</v>
      </c>
      <c r="EB151" s="0" t="n">
        <v>9.1187</v>
      </c>
      <c r="EC151" s="0" t="n">
        <v>11.1424</v>
      </c>
      <c r="ED151" s="0" t="n">
        <v>11.5075</v>
      </c>
      <c r="EE151" s="0" t="n">
        <v>9.3402</v>
      </c>
      <c r="EF151" s="0" t="n">
        <v>7.7724</v>
      </c>
      <c r="EG151" s="0" t="n">
        <v>7.3132</v>
      </c>
      <c r="EH151" s="0" t="n">
        <v>6.2367</v>
      </c>
      <c r="EI151" s="0" t="n">
        <v>2.7044</v>
      </c>
      <c r="EJ151" s="0" t="n">
        <v>3.8443</v>
      </c>
      <c r="EK151" s="0" t="n">
        <v>2.8798</v>
      </c>
      <c r="EL151" s="0" t="n">
        <v>2.2649</v>
      </c>
      <c r="EM151" s="0" t="n">
        <v>2.5648</v>
      </c>
      <c r="EN151" s="0" t="n">
        <v>0.8595</v>
      </c>
      <c r="EO151" s="0" t="n">
        <v>1.3892</v>
      </c>
      <c r="EP151" s="0" t="n">
        <v>0.9926</v>
      </c>
      <c r="EQ151" s="0" t="n">
        <v>0.9945</v>
      </c>
      <c r="ER151" s="0" t="n">
        <v>1.002</v>
      </c>
      <c r="ES151" s="0" t="n">
        <v>0.5856</v>
      </c>
      <c r="ET151" s="0" t="n">
        <v>0.5176</v>
      </c>
      <c r="EU151" s="0" t="n">
        <v>0.6256</v>
      </c>
      <c r="EV151" s="0" t="n">
        <v>0.2941</v>
      </c>
      <c r="EW151" s="0" t="n">
        <v>0.4924</v>
      </c>
      <c r="EX151" s="0" t="n">
        <v>0.2438</v>
      </c>
      <c r="EY151" s="0" t="n">
        <v>0.3857</v>
      </c>
      <c r="EZ151" s="0" t="n">
        <v>0.1217</v>
      </c>
      <c r="FA151" s="0" t="n">
        <v>0.0304</v>
      </c>
      <c r="FB151" s="0" t="n">
        <v>0.0733</v>
      </c>
      <c r="FC151" s="0" t="n">
        <v>0.0503</v>
      </c>
      <c r="FD151" s="0" t="n">
        <v>0</v>
      </c>
      <c r="FE151" s="0" t="n">
        <v>0</v>
      </c>
      <c r="FF151" s="0" t="n">
        <v>0</v>
      </c>
      <c r="FG151" s="0" t="n">
        <v>0</v>
      </c>
      <c r="FH151" s="0" t="n">
        <v>0</v>
      </c>
      <c r="FI151" s="0" t="n">
        <v>0</v>
      </c>
      <c r="FJ151" s="0" t="n">
        <v>0</v>
      </c>
      <c r="FK151" s="0" t="n">
        <v>0</v>
      </c>
      <c r="FL151" s="0" t="n">
        <v>0</v>
      </c>
      <c r="FM151" s="0" t="n">
        <v>0</v>
      </c>
      <c r="FN151" s="0" t="n">
        <v>0</v>
      </c>
      <c r="FO151" s="0" t="n">
        <v>0</v>
      </c>
      <c r="FP151" s="0" t="n">
        <v>0</v>
      </c>
    </row>
    <row r="152" customFormat="false" ht="13.8" hidden="false" customHeight="false" outlineLevel="0" collapsed="false">
      <c r="A152" s="2" t="s">
        <v>465</v>
      </c>
      <c r="B152" s="0" t="s">
        <v>176</v>
      </c>
      <c r="C152" s="0" t="n">
        <v>332</v>
      </c>
      <c r="D152" s="0" t="s">
        <v>466</v>
      </c>
      <c r="G152" s="0" t="n">
        <v>3487.8426</v>
      </c>
      <c r="H152" s="0" t="n">
        <v>316.3016</v>
      </c>
      <c r="I152" s="0" t="n">
        <v>993.6906</v>
      </c>
      <c r="J152" s="0" t="n">
        <v>1.10735</v>
      </c>
      <c r="K152" s="0" t="n">
        <v>0</v>
      </c>
      <c r="L152" s="0" t="n">
        <v>236.8685</v>
      </c>
      <c r="M152" s="0" t="n">
        <v>265.8039</v>
      </c>
      <c r="N152" s="0" t="n">
        <v>239.6626</v>
      </c>
      <c r="O152" s="0" t="n">
        <v>91.9849</v>
      </c>
      <c r="P152" s="0" t="n">
        <v>262.2786</v>
      </c>
      <c r="Q152" s="0" t="n">
        <v>194.8913</v>
      </c>
      <c r="R152" s="0" t="n">
        <v>186.9484</v>
      </c>
      <c r="S152" s="0" t="n">
        <v>136.164</v>
      </c>
      <c r="T152" s="0" t="n">
        <v>68.7456</v>
      </c>
      <c r="U152" s="0" t="n">
        <v>149.7088</v>
      </c>
      <c r="V152" s="0" t="n">
        <v>91.5341</v>
      </c>
      <c r="W152" s="0" t="n">
        <v>88.2644</v>
      </c>
      <c r="X152" s="0" t="n">
        <v>74.3301</v>
      </c>
      <c r="Y152" s="0" t="n">
        <v>55.4968</v>
      </c>
      <c r="Z152" s="0" t="n">
        <v>58.4092</v>
      </c>
      <c r="AA152" s="0" t="n">
        <v>50.1725</v>
      </c>
      <c r="AB152" s="0" t="n">
        <v>55.5812</v>
      </c>
      <c r="AC152" s="0" t="n">
        <v>30.2749</v>
      </c>
      <c r="AD152" s="0" t="n">
        <v>47.0374</v>
      </c>
      <c r="AE152" s="0" t="n">
        <v>28.4755</v>
      </c>
      <c r="AF152" s="0" t="n">
        <v>31.5337</v>
      </c>
      <c r="AG152" s="0" t="n">
        <v>24.1455</v>
      </c>
      <c r="AH152" s="0" t="n">
        <v>30.1647</v>
      </c>
      <c r="AI152" s="0" t="n">
        <v>30.7655</v>
      </c>
      <c r="AJ152" s="0" t="n">
        <v>23.9481</v>
      </c>
      <c r="AK152" s="0" t="n">
        <v>45.0426</v>
      </c>
      <c r="AL152" s="0" t="n">
        <v>41.2204</v>
      </c>
      <c r="AM152" s="0" t="n">
        <v>36.1093</v>
      </c>
      <c r="AN152" s="0" t="n">
        <v>32.5804</v>
      </c>
      <c r="AO152" s="0" t="n">
        <v>55.7961</v>
      </c>
      <c r="AP152" s="0" t="n">
        <v>42.4518</v>
      </c>
      <c r="AQ152" s="0" t="n">
        <v>57.9949</v>
      </c>
      <c r="AR152" s="0" t="n">
        <v>41.6732</v>
      </c>
      <c r="AS152" s="0" t="n">
        <v>40.4883</v>
      </c>
      <c r="AT152" s="0" t="n">
        <v>59.6419</v>
      </c>
      <c r="AU152" s="0" t="n">
        <v>63.2051</v>
      </c>
      <c r="AV152" s="0" t="n">
        <v>16.4061</v>
      </c>
      <c r="AW152" s="0" t="n">
        <v>50.5939</v>
      </c>
      <c r="AX152" s="0" t="n">
        <v>55.8905</v>
      </c>
      <c r="AY152" s="0" t="n">
        <v>39.5108</v>
      </c>
      <c r="AZ152" s="0" t="n">
        <v>37.1838</v>
      </c>
      <c r="BA152" s="0" t="n">
        <v>24.6847</v>
      </c>
      <c r="BB152" s="0" t="n">
        <v>34.4993</v>
      </c>
      <c r="BC152" s="0" t="n">
        <v>31.0741</v>
      </c>
      <c r="BD152" s="0" t="n">
        <v>14.363</v>
      </c>
      <c r="BE152" s="0" t="n">
        <v>19.9931</v>
      </c>
      <c r="BF152" s="0" t="n">
        <v>13.5051</v>
      </c>
      <c r="BG152" s="0" t="n">
        <v>18.3908</v>
      </c>
      <c r="BH152" s="0" t="n">
        <v>7.1909</v>
      </c>
      <c r="BI152" s="0" t="n">
        <v>5.4139</v>
      </c>
      <c r="BJ152" s="0" t="n">
        <v>5.2577</v>
      </c>
      <c r="BK152" s="0" t="n">
        <v>10.2329</v>
      </c>
      <c r="BL152" s="0" t="n">
        <v>4.1261</v>
      </c>
      <c r="BM152" s="0" t="n">
        <v>1.7312</v>
      </c>
      <c r="BN152" s="0" t="n">
        <v>3.8293</v>
      </c>
      <c r="BO152" s="0" t="n">
        <v>2.0603</v>
      </c>
      <c r="BP152" s="0" t="n">
        <v>2.967</v>
      </c>
      <c r="BQ152" s="0" t="n">
        <v>0.821</v>
      </c>
      <c r="BR152" s="0" t="n">
        <v>2.1658</v>
      </c>
      <c r="BS152" s="0" t="n">
        <v>1.621</v>
      </c>
      <c r="BT152" s="0" t="n">
        <v>1.3231</v>
      </c>
      <c r="BU152" s="0" t="n">
        <v>0.6837</v>
      </c>
      <c r="BV152" s="0" t="n">
        <v>1.5011</v>
      </c>
      <c r="BW152" s="0" t="n">
        <v>0.5926</v>
      </c>
      <c r="BX152" s="0" t="n">
        <v>0.4853</v>
      </c>
      <c r="BY152" s="0" t="n">
        <v>0.5089</v>
      </c>
      <c r="BZ152" s="0" t="n">
        <v>0.5274</v>
      </c>
      <c r="CA152" s="0" t="n">
        <v>0.9388</v>
      </c>
      <c r="CB152" s="0" t="n">
        <v>0.3218</v>
      </c>
      <c r="CC152" s="0" t="n">
        <v>0.6454</v>
      </c>
      <c r="CD152" s="0" t="n">
        <v>0.2834</v>
      </c>
      <c r="CE152" s="0" t="n">
        <v>0.7642</v>
      </c>
      <c r="CF152" s="0" t="n">
        <v>0.2544</v>
      </c>
      <c r="CG152" s="0" t="n">
        <v>0.253</v>
      </c>
      <c r="CH152" s="0" t="n">
        <v>0.5985</v>
      </c>
      <c r="CI152" s="0" t="n">
        <v>0.2879</v>
      </c>
      <c r="CJ152" s="0" t="n">
        <v>0.284</v>
      </c>
      <c r="CK152" s="0" t="n">
        <v>0.2882</v>
      </c>
      <c r="CL152" s="0" t="n">
        <v>0.091</v>
      </c>
      <c r="CM152" s="0" t="n">
        <v>2.8014</v>
      </c>
      <c r="CN152" s="0" t="n">
        <v>0</v>
      </c>
      <c r="CO152" s="0" t="n">
        <v>5.0888</v>
      </c>
      <c r="CP152" s="0" t="n">
        <v>11.2948</v>
      </c>
      <c r="CQ152" s="0" t="n">
        <v>14.4094</v>
      </c>
      <c r="CR152" s="0" t="n">
        <v>6.5054</v>
      </c>
      <c r="CS152" s="0" t="n">
        <v>21.9452</v>
      </c>
      <c r="CT152" s="0" t="n">
        <v>19.7346</v>
      </c>
      <c r="CU152" s="0" t="n">
        <v>22.0303</v>
      </c>
      <c r="CV152" s="0" t="n">
        <v>18.6101</v>
      </c>
      <c r="CW152" s="0" t="n">
        <v>10.0652</v>
      </c>
      <c r="CX152" s="0" t="n">
        <v>24.6101</v>
      </c>
      <c r="CY152" s="0" t="n">
        <v>16.7119</v>
      </c>
      <c r="CZ152" s="0" t="n">
        <v>17.362</v>
      </c>
      <c r="DA152" s="0" t="n">
        <v>15.8014</v>
      </c>
      <c r="DB152" s="0" t="n">
        <v>12.6114</v>
      </c>
      <c r="DC152" s="0" t="n">
        <v>14.2437</v>
      </c>
      <c r="DD152" s="0" t="n">
        <v>12.919</v>
      </c>
      <c r="DE152" s="0" t="n">
        <v>15.2758</v>
      </c>
      <c r="DF152" s="0" t="n">
        <v>8.7697</v>
      </c>
      <c r="DG152" s="0" t="n">
        <v>14.3608</v>
      </c>
      <c r="DH152" s="0" t="n">
        <v>9.1362</v>
      </c>
      <c r="DI152" s="0" t="n">
        <v>10.6489</v>
      </c>
      <c r="DJ152" s="0" t="n">
        <v>8.5055</v>
      </c>
      <c r="DK152" s="0" t="n">
        <v>11.117</v>
      </c>
      <c r="DL152" s="0" t="n">
        <v>11.9269</v>
      </c>
      <c r="DM152" s="0" t="n">
        <v>9.5146</v>
      </c>
      <c r="DN152" s="0" t="n">
        <v>18.7537</v>
      </c>
      <c r="DO152" s="0" t="n">
        <v>17.9393</v>
      </c>
      <c r="DP152" s="0" t="n">
        <v>16.2696</v>
      </c>
      <c r="DQ152" s="0" t="n">
        <v>15.0599</v>
      </c>
      <c r="DR152" s="0" t="n">
        <v>26.7898</v>
      </c>
      <c r="DS152" s="0" t="n">
        <v>21.0331</v>
      </c>
      <c r="DT152" s="0" t="n">
        <v>29.6561</v>
      </c>
      <c r="DU152" s="0" t="n">
        <v>21.9665</v>
      </c>
      <c r="DV152" s="0" t="n">
        <v>21.8068</v>
      </c>
      <c r="DW152" s="0" t="n">
        <v>33.1675</v>
      </c>
      <c r="DX152" s="0" t="n">
        <v>36.4312</v>
      </c>
      <c r="DY152" s="0" t="n">
        <v>9.7019</v>
      </c>
      <c r="DZ152" s="0" t="n">
        <v>30.3715</v>
      </c>
      <c r="EA152" s="0" t="n">
        <v>34.6937</v>
      </c>
      <c r="EB152" s="0" t="n">
        <v>25.2424</v>
      </c>
      <c r="EC152" s="0" t="n">
        <v>24.2556</v>
      </c>
      <c r="ED152" s="0" t="n">
        <v>16.4201</v>
      </c>
      <c r="EE152" s="0" t="n">
        <v>23.4948</v>
      </c>
      <c r="EF152" s="0" t="n">
        <v>21.7449</v>
      </c>
      <c r="EG152" s="0" t="n">
        <v>10.2911</v>
      </c>
      <c r="EH152" s="0" t="n">
        <v>14.5997</v>
      </c>
      <c r="EI152" s="0" t="n">
        <v>10.0345</v>
      </c>
      <c r="EJ152" s="0" t="n">
        <v>13.9963</v>
      </c>
      <c r="EK152" s="0" t="n">
        <v>5.6085</v>
      </c>
      <c r="EL152" s="0" t="n">
        <v>4.2937</v>
      </c>
      <c r="EM152" s="0" t="n">
        <v>4.2445</v>
      </c>
      <c r="EN152" s="0" t="n">
        <v>8.4357</v>
      </c>
      <c r="EO152" s="0" t="n">
        <v>3.472</v>
      </c>
      <c r="EP152" s="0" t="n">
        <v>1.4822</v>
      </c>
      <c r="EQ152" s="0" t="n">
        <v>3.3416</v>
      </c>
      <c r="ER152" s="0" t="n">
        <v>1.8259</v>
      </c>
      <c r="ES152" s="0" t="n">
        <v>2.6832</v>
      </c>
      <c r="ET152" s="0" t="n">
        <v>0.7543</v>
      </c>
      <c r="EU152" s="0" t="n">
        <v>2.0202</v>
      </c>
      <c r="EV152" s="0" t="n">
        <v>1.5377</v>
      </c>
      <c r="EW152" s="0" t="n">
        <v>1.2798</v>
      </c>
      <c r="EX152" s="0" t="n">
        <v>0.6715</v>
      </c>
      <c r="EY152" s="0" t="n">
        <v>1.4902</v>
      </c>
      <c r="EZ152" s="0" t="n">
        <v>0.601</v>
      </c>
      <c r="FA152" s="0" t="n">
        <v>0.4978</v>
      </c>
      <c r="FB152" s="0" t="n">
        <v>0.5318</v>
      </c>
      <c r="FC152" s="0" t="n">
        <v>0.5587</v>
      </c>
      <c r="FD152" s="0" t="n">
        <v>1.0083</v>
      </c>
      <c r="FE152" s="0" t="n">
        <v>0.3522</v>
      </c>
      <c r="FF152" s="0" t="n">
        <v>0.7136</v>
      </c>
      <c r="FG152" s="0" t="n">
        <v>0.3187</v>
      </c>
      <c r="FH152" s="0" t="n">
        <v>0.8693</v>
      </c>
      <c r="FI152" s="0" t="n">
        <v>0.2938</v>
      </c>
      <c r="FJ152" s="0" t="n">
        <v>0.2976</v>
      </c>
      <c r="FK152" s="0" t="n">
        <v>0.7069</v>
      </c>
      <c r="FL152" s="0" t="n">
        <v>0.3451</v>
      </c>
      <c r="FM152" s="0" t="n">
        <v>0.3471</v>
      </c>
      <c r="FN152" s="0" t="n">
        <v>0.3538</v>
      </c>
      <c r="FO152" s="0" t="n">
        <v>0.1132</v>
      </c>
      <c r="FP152" s="0" t="n">
        <v>3.7593</v>
      </c>
    </row>
    <row r="153" customFormat="false" ht="13.8" hidden="false" customHeight="false" outlineLevel="0" collapsed="false">
      <c r="A153" s="2" t="s">
        <v>467</v>
      </c>
      <c r="B153" s="0" t="s">
        <v>176</v>
      </c>
      <c r="C153" s="0" t="n">
        <v>274</v>
      </c>
      <c r="D153" s="0" t="s">
        <v>468</v>
      </c>
      <c r="G153" s="0" t="n">
        <v>2796.031</v>
      </c>
      <c r="H153" s="0" t="n">
        <v>125.595</v>
      </c>
      <c r="I153" s="0" t="n">
        <v>394.5683</v>
      </c>
      <c r="J153" s="0" t="n">
        <v>0.401529166666667</v>
      </c>
      <c r="K153" s="0" t="n">
        <v>0</v>
      </c>
      <c r="L153" s="0" t="n">
        <v>335.4693</v>
      </c>
      <c r="M153" s="0" t="n">
        <v>572.6277</v>
      </c>
      <c r="N153" s="0" t="n">
        <v>451.1621</v>
      </c>
      <c r="O153" s="0" t="n">
        <v>0.5683</v>
      </c>
      <c r="P153" s="0" t="n">
        <v>425.1838</v>
      </c>
      <c r="Q153" s="0" t="n">
        <v>128.8482</v>
      </c>
      <c r="R153" s="0" t="n">
        <v>158.1418</v>
      </c>
      <c r="S153" s="0" t="n">
        <v>69.991</v>
      </c>
      <c r="T153" s="0" t="n">
        <v>11.7683</v>
      </c>
      <c r="U153" s="0" t="n">
        <v>62.7814</v>
      </c>
      <c r="V153" s="0" t="n">
        <v>48.3547</v>
      </c>
      <c r="W153" s="0" t="n">
        <v>31.9654</v>
      </c>
      <c r="X153" s="0" t="n">
        <v>36.4036</v>
      </c>
      <c r="Y153" s="0" t="n">
        <v>24.3813</v>
      </c>
      <c r="Z153" s="0" t="n">
        <v>21.1808</v>
      </c>
      <c r="AA153" s="0" t="n">
        <v>13.1155</v>
      </c>
      <c r="AB153" s="0" t="n">
        <v>24.8466</v>
      </c>
      <c r="AC153" s="0" t="n">
        <v>14.3223</v>
      </c>
      <c r="AD153" s="0" t="n">
        <v>30.3452</v>
      </c>
      <c r="AE153" s="0" t="n">
        <v>15.4832</v>
      </c>
      <c r="AF153" s="0" t="n">
        <v>26.1436</v>
      </c>
      <c r="AG153" s="0" t="n">
        <v>10.7394</v>
      </c>
      <c r="AH153" s="0" t="n">
        <v>17.6204</v>
      </c>
      <c r="AI153" s="0" t="n">
        <v>25.9331</v>
      </c>
      <c r="AJ153" s="0" t="n">
        <v>6.2338</v>
      </c>
      <c r="AK153" s="0" t="n">
        <v>23.3206</v>
      </c>
      <c r="AL153" s="0" t="n">
        <v>20.3088</v>
      </c>
      <c r="AM153" s="0" t="n">
        <v>12.9219</v>
      </c>
      <c r="AN153" s="0" t="n">
        <v>10.3429</v>
      </c>
      <c r="AO153" s="0" t="n">
        <v>24.2034</v>
      </c>
      <c r="AP153" s="0" t="n">
        <v>18.7915</v>
      </c>
      <c r="AQ153" s="0" t="n">
        <v>16.9312</v>
      </c>
      <c r="AR153" s="0" t="n">
        <v>14.3324</v>
      </c>
      <c r="AS153" s="0" t="n">
        <v>11.4902</v>
      </c>
      <c r="AT153" s="0" t="n">
        <v>14.5885</v>
      </c>
      <c r="AU153" s="0" t="n">
        <v>16.7468</v>
      </c>
      <c r="AV153" s="0" t="n">
        <v>0.5233</v>
      </c>
      <c r="AW153" s="0" t="n">
        <v>9.9654</v>
      </c>
      <c r="AX153" s="0" t="n">
        <v>8.1063</v>
      </c>
      <c r="AY153" s="0" t="n">
        <v>4.7506</v>
      </c>
      <c r="AZ153" s="0" t="n">
        <v>5.2057</v>
      </c>
      <c r="BA153" s="0" t="n">
        <v>4.4617</v>
      </c>
      <c r="BB153" s="0" t="n">
        <v>3.4943</v>
      </c>
      <c r="BC153" s="0" t="n">
        <v>3.2964</v>
      </c>
      <c r="BD153" s="0" t="n">
        <v>1.8045</v>
      </c>
      <c r="BE153" s="0" t="n">
        <v>1.7217</v>
      </c>
      <c r="BF153" s="0" t="n">
        <v>0.1158</v>
      </c>
      <c r="BG153" s="0" t="n">
        <v>1.4353</v>
      </c>
      <c r="BH153" s="0" t="n">
        <v>0.5473</v>
      </c>
      <c r="BI153" s="0" t="n">
        <v>0.2506</v>
      </c>
      <c r="BJ153" s="0" t="n">
        <v>0.4421</v>
      </c>
      <c r="BK153" s="0" t="n">
        <v>0.092</v>
      </c>
      <c r="BL153" s="0" t="n">
        <v>0.3686</v>
      </c>
      <c r="BM153" s="0" t="n">
        <v>0.1634</v>
      </c>
      <c r="BN153" s="0" t="n">
        <v>0.0487</v>
      </c>
      <c r="BO153" s="0" t="n">
        <v>0.0132</v>
      </c>
      <c r="BP153" s="0" t="n">
        <v>0.0676</v>
      </c>
      <c r="BQ153" s="0" t="n">
        <v>0.009</v>
      </c>
      <c r="BR153" s="0" t="n">
        <v>0.0064</v>
      </c>
      <c r="BS153" s="0" t="n">
        <v>0.065</v>
      </c>
      <c r="BT153" s="0" t="n">
        <v>0.0064</v>
      </c>
      <c r="BU153" s="0" t="n">
        <v>0</v>
      </c>
      <c r="BV153" s="0" t="n">
        <v>0.0222</v>
      </c>
      <c r="BW153" s="0" t="n">
        <v>0.0222</v>
      </c>
      <c r="BX153" s="0" t="n">
        <v>0.0191</v>
      </c>
      <c r="BY153" s="0" t="n">
        <v>0</v>
      </c>
      <c r="BZ153" s="0" t="n">
        <v>0.0312</v>
      </c>
      <c r="CA153" s="0" t="n">
        <v>0.0159</v>
      </c>
      <c r="CB153" s="0" t="n">
        <v>0.0069</v>
      </c>
      <c r="CC153" s="0" t="n">
        <v>0.0069</v>
      </c>
      <c r="CD153" s="0" t="n">
        <v>0.0317</v>
      </c>
      <c r="CE153" s="0" t="n">
        <v>0.0132</v>
      </c>
      <c r="CF153" s="0" t="n">
        <v>0.0264</v>
      </c>
      <c r="CG153" s="0" t="n">
        <v>0.0333</v>
      </c>
      <c r="CH153" s="0" t="n">
        <v>0.0064</v>
      </c>
      <c r="CI153" s="0" t="n">
        <v>0.036</v>
      </c>
      <c r="CJ153" s="0" t="n">
        <v>0.0497</v>
      </c>
      <c r="CK153" s="0" t="n">
        <v>0.0677</v>
      </c>
      <c r="CL153" s="0" t="n">
        <v>0</v>
      </c>
      <c r="CM153" s="0" t="n">
        <v>0</v>
      </c>
      <c r="CN153" s="0" t="n">
        <v>0</v>
      </c>
      <c r="CO153" s="0" t="n">
        <v>7.2509</v>
      </c>
      <c r="CP153" s="0" t="n">
        <v>24.4854</v>
      </c>
      <c r="CQ153" s="0" t="n">
        <v>27.5552</v>
      </c>
      <c r="CR153" s="0" t="n">
        <v>0.0393</v>
      </c>
      <c r="CS153" s="0" t="n">
        <v>35.3732</v>
      </c>
      <c r="CT153" s="0" t="n">
        <v>13.0797</v>
      </c>
      <c r="CU153" s="0" t="n">
        <v>18.4437</v>
      </c>
      <c r="CV153" s="0" t="n">
        <v>9.7153</v>
      </c>
      <c r="CW153" s="0" t="n">
        <v>1.7015</v>
      </c>
      <c r="CX153" s="0" t="n">
        <v>10.1963</v>
      </c>
      <c r="CY153" s="0" t="n">
        <v>8.8428</v>
      </c>
      <c r="CZ153" s="0" t="n">
        <v>6.3441</v>
      </c>
      <c r="DA153" s="0" t="n">
        <v>7.6536</v>
      </c>
      <c r="DB153" s="0" t="n">
        <v>5.5423</v>
      </c>
      <c r="DC153" s="0" t="n">
        <v>5.2003</v>
      </c>
      <c r="DD153" s="0" t="n">
        <v>3.3543</v>
      </c>
      <c r="DE153" s="0" t="n">
        <v>6.8208</v>
      </c>
      <c r="DF153" s="0" t="n">
        <v>4.1417</v>
      </c>
      <c r="DG153" s="0" t="n">
        <v>9.2227</v>
      </c>
      <c r="DH153" s="0" t="n">
        <v>4.9745</v>
      </c>
      <c r="DI153" s="0" t="n">
        <v>8.9018</v>
      </c>
      <c r="DJ153" s="0" t="n">
        <v>3.8108</v>
      </c>
      <c r="DK153" s="0" t="n">
        <v>6.5038</v>
      </c>
      <c r="DL153" s="0" t="n">
        <v>10.1103</v>
      </c>
      <c r="DM153" s="0" t="n">
        <v>2.4811</v>
      </c>
      <c r="DN153" s="0" t="n">
        <v>9.6889</v>
      </c>
      <c r="DO153" s="0" t="n">
        <v>8.8523</v>
      </c>
      <c r="DP153" s="0" t="n">
        <v>5.8655</v>
      </c>
      <c r="DQ153" s="0" t="n">
        <v>4.7556</v>
      </c>
      <c r="DR153" s="0" t="n">
        <v>11.5762</v>
      </c>
      <c r="DS153" s="0" t="n">
        <v>9.3302</v>
      </c>
      <c r="DT153" s="0" t="n">
        <v>8.6776</v>
      </c>
      <c r="DU153" s="0" t="n">
        <v>7.5421</v>
      </c>
      <c r="DV153" s="0" t="n">
        <v>6.1738</v>
      </c>
      <c r="DW153" s="0" t="n">
        <v>8.1034</v>
      </c>
      <c r="DX153" s="0" t="n">
        <v>9.664</v>
      </c>
      <c r="DY153" s="0" t="n">
        <v>0.3101</v>
      </c>
      <c r="DZ153" s="0" t="n">
        <v>5.9676</v>
      </c>
      <c r="EA153" s="0" t="n">
        <v>5.0263</v>
      </c>
      <c r="EB153" s="0" t="n">
        <v>3.0368</v>
      </c>
      <c r="EC153" s="0" t="n">
        <v>3.3916</v>
      </c>
      <c r="ED153" s="0" t="n">
        <v>2.9613</v>
      </c>
      <c r="EE153" s="0" t="n">
        <v>2.3802</v>
      </c>
      <c r="EF153" s="0" t="n">
        <v>2.3074</v>
      </c>
      <c r="EG153" s="0" t="n">
        <v>1.2952</v>
      </c>
      <c r="EH153" s="0" t="n">
        <v>1.255</v>
      </c>
      <c r="EI153" s="0" t="n">
        <v>0.0861</v>
      </c>
      <c r="EJ153" s="0" t="n">
        <v>1.1036</v>
      </c>
      <c r="EK153" s="0" t="n">
        <v>0.4284</v>
      </c>
      <c r="EL153" s="0" t="n">
        <v>0.1981</v>
      </c>
      <c r="EM153" s="0" t="n">
        <v>0.3563</v>
      </c>
      <c r="EN153" s="0" t="n">
        <v>0.0756</v>
      </c>
      <c r="EO153" s="0" t="n">
        <v>0.3119</v>
      </c>
      <c r="EP153" s="0" t="n">
        <v>0.1393</v>
      </c>
      <c r="EQ153" s="0" t="n">
        <v>0.0426</v>
      </c>
      <c r="ER153" s="0" t="n">
        <v>0.0117</v>
      </c>
      <c r="ES153" s="0" t="n">
        <v>0.061</v>
      </c>
      <c r="ET153" s="0" t="n">
        <v>0.0083</v>
      </c>
      <c r="EU153" s="0" t="n">
        <v>0.0059</v>
      </c>
      <c r="EV153" s="0" t="n">
        <v>0.0618</v>
      </c>
      <c r="EW153" s="0" t="n">
        <v>0.0062</v>
      </c>
      <c r="EX153" s="0" t="n">
        <v>0</v>
      </c>
      <c r="EY153" s="0" t="n">
        <v>0.022</v>
      </c>
      <c r="EZ153" s="0" t="n">
        <v>0.0225</v>
      </c>
      <c r="FA153" s="0" t="n">
        <v>0.0197</v>
      </c>
      <c r="FB153" s="0" t="n">
        <v>0</v>
      </c>
      <c r="FC153" s="0" t="n">
        <v>0.033</v>
      </c>
      <c r="FD153" s="0" t="n">
        <v>0.017</v>
      </c>
      <c r="FE153" s="0" t="n">
        <v>0.0075</v>
      </c>
      <c r="FF153" s="0" t="n">
        <v>0.0076</v>
      </c>
      <c r="FG153" s="0" t="n">
        <v>0.0356</v>
      </c>
      <c r="FH153" s="0" t="n">
        <v>0.015</v>
      </c>
      <c r="FI153" s="0" t="n">
        <v>0.0305</v>
      </c>
      <c r="FJ153" s="0" t="n">
        <v>0.0392</v>
      </c>
      <c r="FK153" s="0" t="n">
        <v>0.0075</v>
      </c>
      <c r="FL153" s="0" t="n">
        <v>0.0431</v>
      </c>
      <c r="FM153" s="0" t="n">
        <v>0.0606</v>
      </c>
      <c r="FN153" s="0" t="n">
        <v>0.0839</v>
      </c>
      <c r="FO153" s="0" t="n">
        <v>0</v>
      </c>
      <c r="FP153" s="0" t="n">
        <v>0</v>
      </c>
    </row>
    <row r="154" customFormat="false" ht="13.8" hidden="false" customHeight="false" outlineLevel="0" collapsed="false">
      <c r="A154" s="2" t="s">
        <v>469</v>
      </c>
      <c r="B154" s="0" t="s">
        <v>199</v>
      </c>
      <c r="C154" s="0" t="s">
        <v>242</v>
      </c>
      <c r="D154" s="0" t="s">
        <v>243</v>
      </c>
      <c r="G154" s="0" t="n">
        <v>1118.8892</v>
      </c>
      <c r="H154" s="0" t="n">
        <v>84.0293</v>
      </c>
      <c r="I154" s="0" t="n">
        <v>263.9861</v>
      </c>
      <c r="J154" s="0" t="n">
        <v>0.7307</v>
      </c>
      <c r="K154" s="0" t="n">
        <v>0.0796</v>
      </c>
      <c r="L154" s="0" t="n">
        <v>11.1613</v>
      </c>
      <c r="M154" s="0" t="n">
        <v>19.6895</v>
      </c>
      <c r="N154" s="0" t="n">
        <v>87.0136</v>
      </c>
      <c r="O154" s="0" t="n">
        <v>106.9451</v>
      </c>
      <c r="P154" s="0" t="n">
        <v>95.9922</v>
      </c>
      <c r="Q154" s="0" t="n">
        <v>118.0004</v>
      </c>
      <c r="R154" s="0" t="n">
        <v>67.0144</v>
      </c>
      <c r="S154" s="0" t="n">
        <v>49.3361</v>
      </c>
      <c r="T154" s="0" t="n">
        <v>45.6972</v>
      </c>
      <c r="U154" s="0" t="n">
        <v>55.7732</v>
      </c>
      <c r="V154" s="0" t="n">
        <v>23.9211</v>
      </c>
      <c r="W154" s="0" t="n">
        <v>37.891</v>
      </c>
      <c r="X154" s="0" t="n">
        <v>27.1788</v>
      </c>
      <c r="Y154" s="0" t="n">
        <v>21.2782</v>
      </c>
      <c r="Z154" s="0" t="n">
        <v>28.3784</v>
      </c>
      <c r="AA154" s="0" t="n">
        <v>30.7329</v>
      </c>
      <c r="AB154" s="0" t="n">
        <v>22.7187</v>
      </c>
      <c r="AC154" s="0" t="n">
        <v>15.4034</v>
      </c>
      <c r="AD154" s="0" t="n">
        <v>18.6016</v>
      </c>
      <c r="AE154" s="0" t="n">
        <v>19.4951</v>
      </c>
      <c r="AF154" s="0" t="n">
        <v>28.472</v>
      </c>
      <c r="AG154" s="0" t="n">
        <v>13.4682</v>
      </c>
      <c r="AH154" s="0" t="n">
        <v>20.4407</v>
      </c>
      <c r="AI154" s="0" t="n">
        <v>24.6355</v>
      </c>
      <c r="AJ154" s="0" t="n">
        <v>8.7073</v>
      </c>
      <c r="AK154" s="0" t="n">
        <v>17.2543</v>
      </c>
      <c r="AL154" s="0" t="n">
        <v>16.1399</v>
      </c>
      <c r="AM154" s="0" t="n">
        <v>13.5309</v>
      </c>
      <c r="AN154" s="0" t="n">
        <v>14.1014</v>
      </c>
      <c r="AO154" s="0" t="n">
        <v>14.2863</v>
      </c>
      <c r="AP154" s="0" t="n">
        <v>7.633</v>
      </c>
      <c r="AQ154" s="0" t="n">
        <v>7.886</v>
      </c>
      <c r="AR154" s="0" t="n">
        <v>5.6065</v>
      </c>
      <c r="AS154" s="0" t="n">
        <v>4.6482</v>
      </c>
      <c r="AT154" s="0" t="n">
        <v>4.3817</v>
      </c>
      <c r="AU154" s="0" t="n">
        <v>2.2542</v>
      </c>
      <c r="AV154" s="0" t="n">
        <v>1.8403</v>
      </c>
      <c r="AW154" s="0" t="n">
        <v>2.4003</v>
      </c>
      <c r="AX154" s="0" t="n">
        <v>2.1921</v>
      </c>
      <c r="AY154" s="0" t="n">
        <v>0.5134</v>
      </c>
      <c r="AZ154" s="0" t="n">
        <v>1.5043</v>
      </c>
      <c r="BA154" s="0" t="n">
        <v>0.1713</v>
      </c>
      <c r="BB154" s="0" t="n">
        <v>0.7745</v>
      </c>
      <c r="BC154" s="0" t="n">
        <v>0.6148</v>
      </c>
      <c r="BD154" s="0" t="n">
        <v>0.3151</v>
      </c>
      <c r="BE154" s="0" t="n">
        <v>0.2888</v>
      </c>
      <c r="BF154" s="0" t="n">
        <v>0.018</v>
      </c>
      <c r="BG154" s="0" t="n">
        <v>0.3648</v>
      </c>
      <c r="BH154" s="0" t="n">
        <v>0.2968</v>
      </c>
      <c r="BI154" s="0" t="n">
        <v>0.0788</v>
      </c>
      <c r="BJ154" s="0" t="n">
        <v>0</v>
      </c>
      <c r="BK154" s="0" t="n">
        <v>0.1322</v>
      </c>
      <c r="BL154" s="0" t="n">
        <v>0.0629</v>
      </c>
      <c r="BM154" s="0" t="n">
        <v>0.4197</v>
      </c>
      <c r="BN154" s="0" t="n">
        <v>0.1158</v>
      </c>
      <c r="BO154" s="0" t="n">
        <v>0</v>
      </c>
      <c r="BP154" s="0" t="n">
        <v>0.0751</v>
      </c>
      <c r="BQ154" s="0" t="n">
        <v>0.0333</v>
      </c>
      <c r="BR154" s="0" t="n">
        <v>0</v>
      </c>
      <c r="BS154" s="0" t="n">
        <v>0</v>
      </c>
      <c r="BT154" s="0" t="n">
        <v>0</v>
      </c>
      <c r="BU154" s="0" t="n">
        <v>0.0476</v>
      </c>
      <c r="BV154" s="0" t="n">
        <v>0.312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0.2825</v>
      </c>
      <c r="CB154" s="0" t="n">
        <v>0.0994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0.0011</v>
      </c>
      <c r="CO154" s="0" t="n">
        <v>0.3018</v>
      </c>
      <c r="CP154" s="0" t="n">
        <v>0.7712</v>
      </c>
      <c r="CQ154" s="0" t="n">
        <v>4.9152</v>
      </c>
      <c r="CR154" s="0" t="n">
        <v>7.7068</v>
      </c>
      <c r="CS154" s="0" t="n">
        <v>8.2045</v>
      </c>
      <c r="CT154" s="0" t="n">
        <v>11.8835</v>
      </c>
      <c r="CU154" s="0" t="n">
        <v>7.9425</v>
      </c>
      <c r="CV154" s="0" t="n">
        <v>6.5732</v>
      </c>
      <c r="CW154" s="0" t="n">
        <v>6.7085</v>
      </c>
      <c r="CX154" s="0" t="n">
        <v>9.2663</v>
      </c>
      <c r="CY154" s="0" t="n">
        <v>4.3548</v>
      </c>
      <c r="CZ154" s="0" t="n">
        <v>7.422</v>
      </c>
      <c r="DA154" s="0" t="n">
        <v>5.8586</v>
      </c>
      <c r="DB154" s="0" t="n">
        <v>4.8373</v>
      </c>
      <c r="DC154" s="0" t="n">
        <v>6.8754</v>
      </c>
      <c r="DD154" s="0" t="n">
        <v>7.9204</v>
      </c>
      <c r="DE154" s="0" t="n">
        <v>6.2573</v>
      </c>
      <c r="DF154" s="0" t="n">
        <v>4.4909</v>
      </c>
      <c r="DG154" s="0" t="n">
        <v>5.716</v>
      </c>
      <c r="DH154" s="0" t="n">
        <v>6.2503</v>
      </c>
      <c r="DI154" s="0" t="n">
        <v>9.6646</v>
      </c>
      <c r="DJ154" s="0" t="n">
        <v>4.8034</v>
      </c>
      <c r="DK154" s="0" t="n">
        <v>7.505</v>
      </c>
      <c r="DL154" s="0" t="n">
        <v>9.5195</v>
      </c>
      <c r="DM154" s="0" t="n">
        <v>3.4847</v>
      </c>
      <c r="DN154" s="0" t="n">
        <v>7.1926</v>
      </c>
      <c r="DO154" s="0" t="n">
        <v>6.9987</v>
      </c>
      <c r="DP154" s="0" t="n">
        <v>6.0344</v>
      </c>
      <c r="DQ154" s="0" t="n">
        <v>6.5189</v>
      </c>
      <c r="DR154" s="0" t="n">
        <v>6.8705</v>
      </c>
      <c r="DS154" s="0" t="n">
        <v>3.7686</v>
      </c>
      <c r="DT154" s="0" t="n">
        <v>4.012</v>
      </c>
      <c r="DU154" s="0" t="n">
        <v>2.9481</v>
      </c>
      <c r="DV154" s="0" t="n">
        <v>2.5064</v>
      </c>
      <c r="DW154" s="0" t="n">
        <v>2.4296</v>
      </c>
      <c r="DX154" s="0" t="n">
        <v>1.2926</v>
      </c>
      <c r="DY154" s="0" t="n">
        <v>1.0908</v>
      </c>
      <c r="DZ154" s="0" t="n">
        <v>1.449</v>
      </c>
      <c r="EA154" s="0" t="n">
        <v>1.3563</v>
      </c>
      <c r="EB154" s="0" t="n">
        <v>0.3274</v>
      </c>
      <c r="EC154" s="0" t="n">
        <v>0.9814</v>
      </c>
      <c r="ED154" s="0" t="n">
        <v>0.1141</v>
      </c>
      <c r="EE154" s="0" t="n">
        <v>0.5292</v>
      </c>
      <c r="EF154" s="0" t="n">
        <v>0.4316</v>
      </c>
      <c r="EG154" s="0" t="n">
        <v>0.2253</v>
      </c>
      <c r="EH154" s="0" t="n">
        <v>0.2095</v>
      </c>
      <c r="EI154" s="0" t="n">
        <v>0.0134</v>
      </c>
      <c r="EJ154" s="0" t="n">
        <v>0.278</v>
      </c>
      <c r="EK154" s="0" t="n">
        <v>0.2312</v>
      </c>
      <c r="EL154" s="0" t="n">
        <v>0.0631</v>
      </c>
      <c r="EM154" s="0" t="n">
        <v>0</v>
      </c>
      <c r="EN154" s="0" t="n">
        <v>0.1089</v>
      </c>
      <c r="EO154" s="0" t="n">
        <v>0.0532</v>
      </c>
      <c r="EP154" s="0" t="n">
        <v>0.3585</v>
      </c>
      <c r="EQ154" s="0" t="n">
        <v>0.1013</v>
      </c>
      <c r="ER154" s="0" t="n">
        <v>0</v>
      </c>
      <c r="ES154" s="0" t="n">
        <v>0.0675</v>
      </c>
      <c r="ET154" s="0" t="n">
        <v>0.0306</v>
      </c>
      <c r="EU154" s="0" t="n">
        <v>0</v>
      </c>
      <c r="EV154" s="0" t="n">
        <v>0</v>
      </c>
      <c r="EW154" s="0" t="n">
        <v>0</v>
      </c>
      <c r="EX154" s="0" t="n">
        <v>0.0467</v>
      </c>
      <c r="EY154" s="0" t="n">
        <v>0.3127</v>
      </c>
      <c r="EZ154" s="0" t="n">
        <v>0</v>
      </c>
      <c r="FA154" s="0" t="n">
        <v>0</v>
      </c>
      <c r="FB154" s="0" t="n">
        <v>0</v>
      </c>
      <c r="FC154" s="0" t="n">
        <v>0</v>
      </c>
      <c r="FD154" s="0" t="n">
        <v>0.3047</v>
      </c>
      <c r="FE154" s="0" t="n">
        <v>0.1093</v>
      </c>
      <c r="FF154" s="0" t="n">
        <v>0</v>
      </c>
      <c r="FG154" s="0" t="n">
        <v>0</v>
      </c>
      <c r="FH154" s="0" t="n">
        <v>0</v>
      </c>
      <c r="FI154" s="0" t="n">
        <v>0</v>
      </c>
      <c r="FJ154" s="0" t="n">
        <v>0</v>
      </c>
      <c r="FK154" s="0" t="n">
        <v>0</v>
      </c>
      <c r="FL154" s="0" t="n">
        <v>0</v>
      </c>
      <c r="FM154" s="0" t="n">
        <v>0</v>
      </c>
      <c r="FN154" s="0" t="n">
        <v>0</v>
      </c>
      <c r="FO154" s="0" t="n">
        <v>0</v>
      </c>
      <c r="FP154" s="0" t="n">
        <v>0</v>
      </c>
    </row>
    <row r="155" customFormat="false" ht="13.8" hidden="false" customHeight="false" outlineLevel="0" collapsed="false">
      <c r="A155" s="2" t="s">
        <v>470</v>
      </c>
      <c r="B155" s="0" t="s">
        <v>173</v>
      </c>
      <c r="C155" s="0" t="n">
        <v>46</v>
      </c>
      <c r="D155" s="0" t="s">
        <v>471</v>
      </c>
      <c r="G155" s="0" t="n">
        <v>3256.8443</v>
      </c>
      <c r="H155" s="0" t="n">
        <v>276.711</v>
      </c>
      <c r="I155" s="0" t="n">
        <v>869.3133</v>
      </c>
      <c r="J155" s="0" t="n">
        <v>0.827033333333333</v>
      </c>
      <c r="K155" s="0" t="n">
        <v>0</v>
      </c>
      <c r="L155" s="0" t="n">
        <v>163.6073</v>
      </c>
      <c r="M155" s="0" t="n">
        <v>172.0973</v>
      </c>
      <c r="N155" s="0" t="n">
        <v>296.4807</v>
      </c>
      <c r="O155" s="0" t="n">
        <v>259.7486</v>
      </c>
      <c r="P155" s="0" t="n">
        <v>188.4929</v>
      </c>
      <c r="Q155" s="0" t="n">
        <v>147.3565</v>
      </c>
      <c r="R155" s="0" t="n">
        <v>155.8033</v>
      </c>
      <c r="S155" s="0" t="n">
        <v>94.9024</v>
      </c>
      <c r="T155" s="0" t="n">
        <v>94.4049</v>
      </c>
      <c r="U155" s="0" t="n">
        <v>96.3999</v>
      </c>
      <c r="V155" s="0" t="n">
        <v>89.1122</v>
      </c>
      <c r="W155" s="0" t="n">
        <v>86.1506</v>
      </c>
      <c r="X155" s="0" t="n">
        <v>70.2153</v>
      </c>
      <c r="Y155" s="0" t="n">
        <v>55.2547</v>
      </c>
      <c r="Z155" s="0" t="n">
        <v>50.0451</v>
      </c>
      <c r="AA155" s="0" t="n">
        <v>45.5</v>
      </c>
      <c r="AB155" s="0" t="n">
        <v>43.6938</v>
      </c>
      <c r="AC155" s="0" t="n">
        <v>35.3314</v>
      </c>
      <c r="AD155" s="0" t="n">
        <v>44.6565</v>
      </c>
      <c r="AE155" s="0" t="n">
        <v>38.9632</v>
      </c>
      <c r="AF155" s="0" t="n">
        <v>32.2692</v>
      </c>
      <c r="AG155" s="0" t="n">
        <v>32.9923</v>
      </c>
      <c r="AH155" s="0" t="n">
        <v>33.1657</v>
      </c>
      <c r="AI155" s="0" t="n">
        <v>38.036</v>
      </c>
      <c r="AJ155" s="0" t="n">
        <v>32.5072</v>
      </c>
      <c r="AK155" s="0" t="n">
        <v>42.9123</v>
      </c>
      <c r="AL155" s="0" t="n">
        <v>33.5319</v>
      </c>
      <c r="AM155" s="0" t="n">
        <v>41.3083</v>
      </c>
      <c r="AN155" s="0" t="n">
        <v>40.504</v>
      </c>
      <c r="AO155" s="0" t="n">
        <v>43.4981</v>
      </c>
      <c r="AP155" s="0" t="n">
        <v>48.552</v>
      </c>
      <c r="AQ155" s="0" t="n">
        <v>53.7772</v>
      </c>
      <c r="AR155" s="0" t="n">
        <v>49.9664</v>
      </c>
      <c r="AS155" s="0" t="n">
        <v>39.9226</v>
      </c>
      <c r="AT155" s="0" t="n">
        <v>54.8646</v>
      </c>
      <c r="AU155" s="0" t="n">
        <v>41.0514</v>
      </c>
      <c r="AV155" s="0" t="n">
        <v>36.0392</v>
      </c>
      <c r="AW155" s="0" t="n">
        <v>33.179</v>
      </c>
      <c r="AX155" s="0" t="n">
        <v>33.0478</v>
      </c>
      <c r="AY155" s="0" t="n">
        <v>35.7365</v>
      </c>
      <c r="AZ155" s="0" t="n">
        <v>31.129</v>
      </c>
      <c r="BA155" s="0" t="n">
        <v>38.4834</v>
      </c>
      <c r="BB155" s="0" t="n">
        <v>28.2064</v>
      </c>
      <c r="BC155" s="0" t="n">
        <v>21.7577</v>
      </c>
      <c r="BD155" s="0" t="n">
        <v>19.2603</v>
      </c>
      <c r="BE155" s="0" t="n">
        <v>14.695</v>
      </c>
      <c r="BF155" s="0" t="n">
        <v>11.0392</v>
      </c>
      <c r="BG155" s="0" t="n">
        <v>12.127</v>
      </c>
      <c r="BH155" s="0" t="n">
        <v>9.6016</v>
      </c>
      <c r="BI155" s="0" t="n">
        <v>8.37</v>
      </c>
      <c r="BJ155" s="0" t="n">
        <v>5.8549</v>
      </c>
      <c r="BK155" s="0" t="n">
        <v>5.0028</v>
      </c>
      <c r="BL155" s="0" t="n">
        <v>5.0944</v>
      </c>
      <c r="BM155" s="0" t="n">
        <v>2.3571</v>
      </c>
      <c r="BN155" s="0" t="n">
        <v>2.0072</v>
      </c>
      <c r="BO155" s="0" t="n">
        <v>2.3236</v>
      </c>
      <c r="BP155" s="0" t="n">
        <v>1.3519</v>
      </c>
      <c r="BQ155" s="0" t="n">
        <v>1.0632</v>
      </c>
      <c r="BR155" s="0" t="n">
        <v>2.4545</v>
      </c>
      <c r="BS155" s="0" t="n">
        <v>0.6332</v>
      </c>
      <c r="BT155" s="0" t="n">
        <v>0.3976</v>
      </c>
      <c r="BU155" s="0" t="n">
        <v>0.4471</v>
      </c>
      <c r="BV155" s="0" t="n">
        <v>0.5197</v>
      </c>
      <c r="BW155" s="0" t="n">
        <v>0.7811</v>
      </c>
      <c r="BX155" s="0" t="n">
        <v>0.2599</v>
      </c>
      <c r="BY155" s="0" t="n">
        <v>0.1706</v>
      </c>
      <c r="BZ155" s="0" t="n">
        <v>0.539</v>
      </c>
      <c r="CA155" s="0" t="n">
        <v>0.292</v>
      </c>
      <c r="CB155" s="0" t="n">
        <v>0.9578</v>
      </c>
      <c r="CC155" s="0" t="n">
        <v>0.1863</v>
      </c>
      <c r="CD155" s="0" t="n">
        <v>0.1568</v>
      </c>
      <c r="CE155" s="0" t="n">
        <v>0.5456</v>
      </c>
      <c r="CF155" s="0" t="n">
        <v>0.1167</v>
      </c>
      <c r="CG155" s="0" t="n">
        <v>0.2717</v>
      </c>
      <c r="CH155" s="0" t="n">
        <v>0.0597</v>
      </c>
      <c r="CI155" s="0" t="n">
        <v>0.2818</v>
      </c>
      <c r="CJ155" s="0" t="n">
        <v>0.2675</v>
      </c>
      <c r="CK155" s="0" t="n">
        <v>0.1093</v>
      </c>
      <c r="CL155" s="0" t="n">
        <v>0.2468</v>
      </c>
      <c r="CM155" s="0" t="n">
        <v>0.568</v>
      </c>
      <c r="CN155" s="0" t="n">
        <v>0</v>
      </c>
      <c r="CO155" s="0" t="n">
        <v>4.3135</v>
      </c>
      <c r="CP155" s="0" t="n">
        <v>6.6276</v>
      </c>
      <c r="CQ155" s="0" t="n">
        <v>16.3795</v>
      </c>
      <c r="CR155" s="0" t="n">
        <v>18.0615</v>
      </c>
      <c r="CS155" s="0" t="n">
        <v>16.2514</v>
      </c>
      <c r="CT155" s="0" t="n">
        <v>15.0422</v>
      </c>
      <c r="CU155" s="0" t="n">
        <v>18.3932</v>
      </c>
      <c r="CV155" s="0" t="n">
        <v>12.6651</v>
      </c>
      <c r="CW155" s="0" t="n">
        <v>14.0395</v>
      </c>
      <c r="CX155" s="0" t="n">
        <v>15.8669</v>
      </c>
      <c r="CY155" s="0" t="n">
        <v>16.1375</v>
      </c>
      <c r="CZ155" s="0" t="n">
        <v>16.8861</v>
      </c>
      <c r="DA155" s="0" t="n">
        <v>14.8794</v>
      </c>
      <c r="DB155" s="0" t="n">
        <v>12.5666</v>
      </c>
      <c r="DC155" s="0" t="n">
        <v>12.201</v>
      </c>
      <c r="DD155" s="0" t="n">
        <v>11.7617</v>
      </c>
      <c r="DE155" s="0" t="n">
        <v>12.0158</v>
      </c>
      <c r="DF155" s="0" t="n">
        <v>10.2858</v>
      </c>
      <c r="DG155" s="0" t="n">
        <v>13.6819</v>
      </c>
      <c r="DH155" s="0" t="n">
        <v>12.5486</v>
      </c>
      <c r="DI155" s="0" t="n">
        <v>10.9195</v>
      </c>
      <c r="DJ155" s="0" t="n">
        <v>11.6587</v>
      </c>
      <c r="DK155" s="0" t="n">
        <v>12.2403</v>
      </c>
      <c r="DL155" s="0" t="n">
        <v>14.6509</v>
      </c>
      <c r="DM155" s="0" t="n">
        <v>12.9952</v>
      </c>
      <c r="DN155" s="0" t="n">
        <v>17.8636</v>
      </c>
      <c r="DO155" s="0" t="n">
        <v>14.5047</v>
      </c>
      <c r="DP155" s="0" t="n">
        <v>18.4695</v>
      </c>
      <c r="DQ155" s="0" t="n">
        <v>18.7811</v>
      </c>
      <c r="DR155" s="0" t="n">
        <v>20.848</v>
      </c>
      <c r="DS155" s="0" t="n">
        <v>24.0477</v>
      </c>
      <c r="DT155" s="0" t="n">
        <v>27.4504</v>
      </c>
      <c r="DU155" s="0" t="n">
        <v>26.2891</v>
      </c>
      <c r="DV155" s="0" t="n">
        <v>21.6141</v>
      </c>
      <c r="DW155" s="0" t="n">
        <v>30.585</v>
      </c>
      <c r="DX155" s="0" t="n">
        <v>23.5721</v>
      </c>
      <c r="DY155" s="0" t="n">
        <v>21.2028</v>
      </c>
      <c r="DZ155" s="0" t="n">
        <v>20.0371</v>
      </c>
      <c r="EA155" s="0" t="n">
        <v>20.5046</v>
      </c>
      <c r="EB155" s="0" t="n">
        <v>22.7618</v>
      </c>
      <c r="EC155" s="0" t="n">
        <v>20.2974</v>
      </c>
      <c r="ED155" s="0" t="n">
        <v>25.6898</v>
      </c>
      <c r="EE155" s="0" t="n">
        <v>19.2596</v>
      </c>
      <c r="EF155" s="0" t="n">
        <v>15.2022</v>
      </c>
      <c r="EG155" s="0" t="n">
        <v>13.7665</v>
      </c>
      <c r="EH155" s="0" t="n">
        <v>10.7343</v>
      </c>
      <c r="EI155" s="0" t="n">
        <v>8.2317</v>
      </c>
      <c r="EJ155" s="0" t="n">
        <v>9.2427</v>
      </c>
      <c r="EK155" s="0" t="n">
        <v>7.4721</v>
      </c>
      <c r="EL155" s="0" t="n">
        <v>6.6418</v>
      </c>
      <c r="EM155" s="0" t="n">
        <v>4.7378</v>
      </c>
      <c r="EN155" s="0" t="n">
        <v>4.1188</v>
      </c>
      <c r="EO155" s="0" t="n">
        <v>4.2783</v>
      </c>
      <c r="EP155" s="0" t="n">
        <v>2.0145</v>
      </c>
      <c r="EQ155" s="0" t="n">
        <v>1.7509</v>
      </c>
      <c r="ER155" s="0" t="n">
        <v>2.0657</v>
      </c>
      <c r="ES155" s="0" t="n">
        <v>1.2193</v>
      </c>
      <c r="ET155" s="0" t="n">
        <v>0.9768</v>
      </c>
      <c r="EU155" s="0" t="n">
        <v>2.2964</v>
      </c>
      <c r="EV155" s="0" t="n">
        <v>0.6027</v>
      </c>
      <c r="EW155" s="0" t="n">
        <v>0.3848</v>
      </c>
      <c r="EX155" s="0" t="n">
        <v>0.4366</v>
      </c>
      <c r="EY155" s="0" t="n">
        <v>0.5171</v>
      </c>
      <c r="EZ155" s="0" t="n">
        <v>0.7922</v>
      </c>
      <c r="FA155" s="0" t="n">
        <v>0.2679</v>
      </c>
      <c r="FB155" s="0" t="n">
        <v>0.1782</v>
      </c>
      <c r="FC155" s="0" t="n">
        <v>0.5718</v>
      </c>
      <c r="FD155" s="0" t="n">
        <v>0.3139</v>
      </c>
      <c r="FE155" s="0" t="n">
        <v>1.0436</v>
      </c>
      <c r="FF155" s="0" t="n">
        <v>0.2068</v>
      </c>
      <c r="FG155" s="0" t="n">
        <v>0.1762</v>
      </c>
      <c r="FH155" s="0" t="n">
        <v>0.6203</v>
      </c>
      <c r="FI155" s="0" t="n">
        <v>0.1347</v>
      </c>
      <c r="FJ155" s="0" t="n">
        <v>0.3185</v>
      </c>
      <c r="FK155" s="0" t="n">
        <v>0.0709</v>
      </c>
      <c r="FL155" s="0" t="n">
        <v>0.3371</v>
      </c>
      <c r="FM155" s="0" t="n">
        <v>0.3248</v>
      </c>
      <c r="FN155" s="0" t="n">
        <v>0.1352</v>
      </c>
      <c r="FO155" s="0" t="n">
        <v>0.3066</v>
      </c>
      <c r="FP155" s="0" t="n">
        <v>0.7739</v>
      </c>
    </row>
    <row r="156" customFormat="false" ht="13.8" hidden="false" customHeight="false" outlineLevel="0" collapsed="false">
      <c r="A156" s="4" t="s">
        <v>472</v>
      </c>
      <c r="B156" s="0" t="e">
        <f aca="false">#N/A</f>
        <v>#N/A</v>
      </c>
      <c r="C156" s="0" t="e">
        <f aca="false">#N/A</f>
        <v>#N/A</v>
      </c>
      <c r="D156" s="0" t="e">
        <f aca="false">#N/A</f>
        <v>#N/A</v>
      </c>
      <c r="G156" s="0" t="n">
        <v>1936.5616</v>
      </c>
      <c r="H156" s="0" t="n">
        <v>150.9936</v>
      </c>
      <c r="I156" s="0" t="n">
        <v>474.3605</v>
      </c>
      <c r="J156" s="0" t="n">
        <v>0.7769</v>
      </c>
      <c r="K156" s="0" t="n">
        <v>0.2942</v>
      </c>
      <c r="L156" s="0" t="n">
        <v>192.6717</v>
      </c>
      <c r="M156" s="0" t="n">
        <v>154.9332</v>
      </c>
      <c r="N156" s="0" t="n">
        <v>217.6283</v>
      </c>
      <c r="O156" s="0" t="n">
        <v>176.7365</v>
      </c>
      <c r="P156" s="0" t="n">
        <v>97.9655</v>
      </c>
      <c r="Q156" s="0" t="n">
        <v>57.2098</v>
      </c>
      <c r="R156" s="0" t="n">
        <v>56.2381</v>
      </c>
      <c r="S156" s="0" t="n">
        <v>34.8026</v>
      </c>
      <c r="T156" s="0" t="n">
        <v>36.7166</v>
      </c>
      <c r="U156" s="0" t="n">
        <v>48.2298</v>
      </c>
      <c r="V156" s="0" t="n">
        <v>38.6522</v>
      </c>
      <c r="W156" s="0" t="n">
        <v>33.6253</v>
      </c>
      <c r="X156" s="0" t="n">
        <v>28.1193</v>
      </c>
      <c r="Y156" s="0" t="n">
        <v>18.6375</v>
      </c>
      <c r="Z156" s="0" t="n">
        <v>18.7405</v>
      </c>
      <c r="AA156" s="0" t="n">
        <v>22.7822</v>
      </c>
      <c r="AB156" s="0" t="n">
        <v>21.7682</v>
      </c>
      <c r="AC156" s="0" t="n">
        <v>21.7295</v>
      </c>
      <c r="AD156" s="0" t="n">
        <v>23.8246</v>
      </c>
      <c r="AE156" s="0" t="n">
        <v>23.384</v>
      </c>
      <c r="AF156" s="0" t="n">
        <v>27.5655</v>
      </c>
      <c r="AG156" s="0" t="n">
        <v>28.7658</v>
      </c>
      <c r="AH156" s="0" t="n">
        <v>35.2696</v>
      </c>
      <c r="AI156" s="0" t="n">
        <v>31.7559</v>
      </c>
      <c r="AJ156" s="0" t="n">
        <v>32.1762</v>
      </c>
      <c r="AK156" s="0" t="n">
        <v>28.5679</v>
      </c>
      <c r="AL156" s="0" t="n">
        <v>26.418</v>
      </c>
      <c r="AM156" s="0" t="n">
        <v>30.7452</v>
      </c>
      <c r="AN156" s="0" t="n">
        <v>28.8675</v>
      </c>
      <c r="AO156" s="0" t="n">
        <v>31.4274</v>
      </c>
      <c r="AP156" s="0" t="n">
        <v>29.6613</v>
      </c>
      <c r="AQ156" s="0" t="n">
        <v>32.7508</v>
      </c>
      <c r="AR156" s="0" t="n">
        <v>29.8056</v>
      </c>
      <c r="AS156" s="0" t="n">
        <v>26.7023</v>
      </c>
      <c r="AT156" s="0" t="n">
        <v>28.6644</v>
      </c>
      <c r="AU156" s="0" t="n">
        <v>21.7767</v>
      </c>
      <c r="AV156" s="0" t="n">
        <v>19.048</v>
      </c>
      <c r="AW156" s="0" t="n">
        <v>16.2479</v>
      </c>
      <c r="AX156" s="0" t="n">
        <v>16.1308</v>
      </c>
      <c r="AY156" s="0" t="n">
        <v>13.1915</v>
      </c>
      <c r="AZ156" s="0" t="n">
        <v>12.3366</v>
      </c>
      <c r="BA156" s="0" t="n">
        <v>9.3572</v>
      </c>
      <c r="BB156" s="0" t="n">
        <v>5.7119</v>
      </c>
      <c r="BC156" s="0" t="n">
        <v>5.0235</v>
      </c>
      <c r="BD156" s="0" t="n">
        <v>4.4314</v>
      </c>
      <c r="BE156" s="0" t="n">
        <v>3.5619</v>
      </c>
      <c r="BF156" s="0" t="n">
        <v>2.8804</v>
      </c>
      <c r="BG156" s="0" t="n">
        <v>3.7645</v>
      </c>
      <c r="BH156" s="0" t="n">
        <v>3.6842</v>
      </c>
      <c r="BI156" s="0" t="n">
        <v>2.3664</v>
      </c>
      <c r="BJ156" s="0" t="n">
        <v>1.9962</v>
      </c>
      <c r="BK156" s="0" t="n">
        <v>1.61</v>
      </c>
      <c r="BL156" s="0" t="n">
        <v>1.2331</v>
      </c>
      <c r="BM156" s="0" t="n">
        <v>1.6844</v>
      </c>
      <c r="BN156" s="0" t="n">
        <v>2.4266</v>
      </c>
      <c r="BO156" s="0" t="n">
        <v>1.1344</v>
      </c>
      <c r="BP156" s="0" t="n">
        <v>1.8871</v>
      </c>
      <c r="BQ156" s="0" t="n">
        <v>1.0855</v>
      </c>
      <c r="BR156" s="0" t="n">
        <v>1.2867</v>
      </c>
      <c r="BS156" s="0" t="n">
        <v>0.9645</v>
      </c>
      <c r="BT156" s="0" t="n">
        <v>1.4888</v>
      </c>
      <c r="BU156" s="0" t="n">
        <v>0.2581</v>
      </c>
      <c r="BV156" s="0" t="n">
        <v>0.7868</v>
      </c>
      <c r="BW156" s="0" t="n">
        <v>0.1679</v>
      </c>
      <c r="BX156" s="0" t="n">
        <v>0.1125</v>
      </c>
      <c r="BY156" s="0" t="n">
        <v>0.3489</v>
      </c>
      <c r="BZ156" s="0" t="n">
        <v>0.5527</v>
      </c>
      <c r="CA156" s="0" t="n">
        <v>0.4558</v>
      </c>
      <c r="CB156" s="0" t="n">
        <v>0.141</v>
      </c>
      <c r="CC156" s="0" t="n">
        <v>0.2318</v>
      </c>
      <c r="CD156" s="0" t="n">
        <v>0.4748</v>
      </c>
      <c r="CE156" s="0" t="n">
        <v>0.233</v>
      </c>
      <c r="CF156" s="0" t="n">
        <v>0.4102</v>
      </c>
      <c r="CG156" s="0" t="n">
        <v>0.0523</v>
      </c>
      <c r="CH156" s="0" t="n">
        <v>0.0269</v>
      </c>
      <c r="CI156" s="0" t="n">
        <v>0.3745</v>
      </c>
      <c r="CJ156" s="0" t="n">
        <v>0.075</v>
      </c>
      <c r="CK156" s="0" t="n">
        <v>0.2164</v>
      </c>
      <c r="CL156" s="0" t="n">
        <v>0.0137</v>
      </c>
      <c r="CM156" s="0" t="n">
        <v>0.7091</v>
      </c>
      <c r="CN156" s="0" t="n">
        <v>0.0036</v>
      </c>
      <c r="CO156" s="0" t="n">
        <v>4.9877</v>
      </c>
      <c r="CP156" s="0" t="n">
        <v>6.0382</v>
      </c>
      <c r="CQ156" s="0" t="n">
        <v>12.0169</v>
      </c>
      <c r="CR156" s="0" t="n">
        <v>12.2644</v>
      </c>
      <c r="CS156" s="0" t="n">
        <v>8.3686</v>
      </c>
      <c r="CT156" s="0" t="n">
        <v>5.8199</v>
      </c>
      <c r="CU156" s="0" t="n">
        <v>6.6168</v>
      </c>
      <c r="CV156" s="0" t="n">
        <v>4.6488</v>
      </c>
      <c r="CW156" s="0" t="n">
        <v>5.4703</v>
      </c>
      <c r="CX156" s="0" t="n">
        <v>7.9588</v>
      </c>
      <c r="CY156" s="0" t="n">
        <v>6.9799</v>
      </c>
      <c r="CZ156" s="0" t="n">
        <v>6.5934</v>
      </c>
      <c r="DA156" s="0" t="n">
        <v>5.9468</v>
      </c>
      <c r="DB156" s="0" t="n">
        <v>4.2408</v>
      </c>
      <c r="DC156" s="0" t="n">
        <v>4.5696</v>
      </c>
      <c r="DD156" s="0" t="n">
        <v>5.9123</v>
      </c>
      <c r="DE156" s="0" t="n">
        <v>5.9785</v>
      </c>
      <c r="DF156" s="0" t="n">
        <v>6.3329</v>
      </c>
      <c r="DG156" s="0" t="n">
        <v>7.2996</v>
      </c>
      <c r="DH156" s="0" t="n">
        <v>7.5377</v>
      </c>
      <c r="DI156" s="0" t="n">
        <v>9.3085</v>
      </c>
      <c r="DJ156" s="0" t="n">
        <v>10.1504</v>
      </c>
      <c r="DK156" s="0" t="n">
        <v>13.0329</v>
      </c>
      <c r="DL156" s="0" t="n">
        <v>12.217</v>
      </c>
      <c r="DM156" s="0" t="n">
        <v>12.8822</v>
      </c>
      <c r="DN156" s="0" t="n">
        <v>11.8762</v>
      </c>
      <c r="DO156" s="0" t="n">
        <v>11.423</v>
      </c>
      <c r="DP156" s="0" t="n">
        <v>13.7528</v>
      </c>
      <c r="DQ156" s="0" t="n">
        <v>13.3683</v>
      </c>
      <c r="DR156" s="0" t="n">
        <v>15.0481</v>
      </c>
      <c r="DS156" s="0" t="n">
        <v>14.686</v>
      </c>
      <c r="DT156" s="0" t="n">
        <v>16.7151</v>
      </c>
      <c r="DU156" s="0" t="n">
        <v>15.6804</v>
      </c>
      <c r="DV156" s="0" t="n">
        <v>14.4677</v>
      </c>
      <c r="DW156" s="0" t="n">
        <v>15.993</v>
      </c>
      <c r="DX156" s="0" t="n">
        <v>12.4919</v>
      </c>
      <c r="DY156" s="0" t="n">
        <v>11.2247</v>
      </c>
      <c r="DZ156" s="0" t="n">
        <v>9.8225</v>
      </c>
      <c r="EA156" s="0" t="n">
        <v>10.0027</v>
      </c>
      <c r="EB156" s="0" t="n">
        <v>8.4014</v>
      </c>
      <c r="EC156" s="0" t="n">
        <v>8.0422</v>
      </c>
      <c r="ED156" s="0" t="n">
        <v>6.2318</v>
      </c>
      <c r="EE156" s="0" t="n">
        <v>3.9041</v>
      </c>
      <c r="EF156" s="0" t="n">
        <v>3.5127</v>
      </c>
      <c r="EG156" s="0" t="n">
        <v>3.1627</v>
      </c>
      <c r="EH156" s="0" t="n">
        <v>2.6046</v>
      </c>
      <c r="EI156" s="0" t="n">
        <v>2.1518</v>
      </c>
      <c r="EJ156" s="0" t="n">
        <v>2.8687</v>
      </c>
      <c r="EK156" s="0" t="n">
        <v>2.8654</v>
      </c>
      <c r="EL156" s="0" t="n">
        <v>1.8746</v>
      </c>
      <c r="EM156" s="0" t="n">
        <v>1.6163</v>
      </c>
      <c r="EN156" s="0" t="n">
        <v>1.3301</v>
      </c>
      <c r="EO156" s="0" t="n">
        <v>1.0378</v>
      </c>
      <c r="EP156" s="0" t="n">
        <v>1.4461</v>
      </c>
      <c r="EQ156" s="0" t="n">
        <v>2.1159</v>
      </c>
      <c r="ER156" s="0" t="n">
        <v>1.0064</v>
      </c>
      <c r="ES156" s="0" t="n">
        <v>1.7072</v>
      </c>
      <c r="ET156" s="0" t="n">
        <v>0.998</v>
      </c>
      <c r="EU156" s="0" t="n">
        <v>1.2029</v>
      </c>
      <c r="EV156" s="0" t="n">
        <v>0.9177</v>
      </c>
      <c r="EW156" s="0" t="n">
        <v>1.438</v>
      </c>
      <c r="EX156" s="0" t="n">
        <v>0.2537</v>
      </c>
      <c r="EY156" s="0" t="n">
        <v>0.7872</v>
      </c>
      <c r="EZ156" s="0" t="n">
        <v>0.1698</v>
      </c>
      <c r="FA156" s="0" t="n">
        <v>0.1158</v>
      </c>
      <c r="FB156" s="0" t="n">
        <v>0.3646</v>
      </c>
      <c r="FC156" s="0" t="n">
        <v>0.5859</v>
      </c>
      <c r="FD156" s="0" t="n">
        <v>0.4896</v>
      </c>
      <c r="FE156" s="0" t="n">
        <v>0.1538</v>
      </c>
      <c r="FF156" s="0" t="n">
        <v>0.2572</v>
      </c>
      <c r="FG156" s="0" t="n">
        <v>0.5335</v>
      </c>
      <c r="FH156" s="0" t="n">
        <v>0.2644</v>
      </c>
      <c r="FI156" s="0" t="n">
        <v>0.4748</v>
      </c>
      <c r="FJ156" s="0" t="n">
        <v>0.0611</v>
      </c>
      <c r="FK156" s="0" t="n">
        <v>0.032</v>
      </c>
      <c r="FL156" s="0" t="n">
        <v>0.448</v>
      </c>
      <c r="FM156" s="0" t="n">
        <v>0.0911</v>
      </c>
      <c r="FN156" s="0" t="n">
        <v>0.2661</v>
      </c>
      <c r="FO156" s="0" t="n">
        <v>0.0171</v>
      </c>
      <c r="FP156" s="0" t="n">
        <v>0.9898</v>
      </c>
    </row>
    <row r="157" customFormat="false" ht="13.8" hidden="false" customHeight="false" outlineLevel="0" collapsed="false">
      <c r="A157" s="2" t="s">
        <v>473</v>
      </c>
      <c r="B157" s="0" t="s">
        <v>176</v>
      </c>
      <c r="C157" s="0" t="n">
        <v>239</v>
      </c>
      <c r="D157" s="0" t="s">
        <v>474</v>
      </c>
      <c r="G157" s="0" t="n">
        <v>3048.1312</v>
      </c>
      <c r="H157" s="0" t="n">
        <v>230.8425</v>
      </c>
      <c r="I157" s="0" t="n">
        <v>725.2131</v>
      </c>
      <c r="J157" s="0" t="n">
        <v>0.740875</v>
      </c>
      <c r="K157" s="0" t="n">
        <v>0.009</v>
      </c>
      <c r="L157" s="0" t="n">
        <v>222.2368</v>
      </c>
      <c r="M157" s="0" t="n">
        <v>238.0833</v>
      </c>
      <c r="N157" s="0" t="n">
        <v>352.4702</v>
      </c>
      <c r="O157" s="0" t="n">
        <v>262.4609</v>
      </c>
      <c r="P157" s="0" t="n">
        <v>177.1007</v>
      </c>
      <c r="Q157" s="0" t="n">
        <v>116.6715</v>
      </c>
      <c r="R157" s="0" t="n">
        <v>118.3874</v>
      </c>
      <c r="S157" s="0" t="n">
        <v>76.052</v>
      </c>
      <c r="T157" s="0" t="n">
        <v>72.7324</v>
      </c>
      <c r="U157" s="0" t="n">
        <v>67.984</v>
      </c>
      <c r="V157" s="0" t="n">
        <v>65.9513</v>
      </c>
      <c r="W157" s="0" t="n">
        <v>63.4745</v>
      </c>
      <c r="X157" s="0" t="n">
        <v>62.9543</v>
      </c>
      <c r="Y157" s="0" t="n">
        <v>49.033</v>
      </c>
      <c r="Z157" s="0" t="n">
        <v>48.683</v>
      </c>
      <c r="AA157" s="0" t="n">
        <v>41.7964</v>
      </c>
      <c r="AB157" s="0" t="n">
        <v>41.707</v>
      </c>
      <c r="AC157" s="0" t="n">
        <v>40.9225</v>
      </c>
      <c r="AD157" s="0" t="n">
        <v>42.1559</v>
      </c>
      <c r="AE157" s="0" t="n">
        <v>39.1118</v>
      </c>
      <c r="AF157" s="0" t="n">
        <v>40.5145</v>
      </c>
      <c r="AG157" s="0" t="n">
        <v>31.114</v>
      </c>
      <c r="AH157" s="0" t="n">
        <v>32.8523</v>
      </c>
      <c r="AI157" s="0" t="n">
        <v>28.2072</v>
      </c>
      <c r="AJ157" s="0" t="n">
        <v>35.4527</v>
      </c>
      <c r="AK157" s="0" t="n">
        <v>38.4982</v>
      </c>
      <c r="AL157" s="0" t="n">
        <v>37.6515</v>
      </c>
      <c r="AM157" s="0" t="n">
        <v>35.3489</v>
      </c>
      <c r="AN157" s="0" t="n">
        <v>36.558</v>
      </c>
      <c r="AO157" s="0" t="n">
        <v>33.7705</v>
      </c>
      <c r="AP157" s="0" t="n">
        <v>35.4958</v>
      </c>
      <c r="AQ157" s="0" t="n">
        <v>43.3275</v>
      </c>
      <c r="AR157" s="0" t="n">
        <v>47.6974</v>
      </c>
      <c r="AS157" s="0" t="n">
        <v>50.4793</v>
      </c>
      <c r="AT157" s="0" t="n">
        <v>43.7875</v>
      </c>
      <c r="AU157" s="0" t="n">
        <v>34.8828</v>
      </c>
      <c r="AV157" s="0" t="n">
        <v>28.9635</v>
      </c>
      <c r="AW157" s="0" t="n">
        <v>22.6044</v>
      </c>
      <c r="AX157" s="0" t="n">
        <v>26.2684</v>
      </c>
      <c r="AY157" s="0" t="n">
        <v>21.5867</v>
      </c>
      <c r="AZ157" s="0" t="n">
        <v>19.2377</v>
      </c>
      <c r="BA157" s="0" t="n">
        <v>19.066</v>
      </c>
      <c r="BB157" s="0" t="n">
        <v>15.4575</v>
      </c>
      <c r="BC157" s="0" t="n">
        <v>14.8591</v>
      </c>
      <c r="BD157" s="0" t="n">
        <v>10.9708</v>
      </c>
      <c r="BE157" s="0" t="n">
        <v>8.1697</v>
      </c>
      <c r="BF157" s="0" t="n">
        <v>9.3341</v>
      </c>
      <c r="BG157" s="0" t="n">
        <v>7.555</v>
      </c>
      <c r="BH157" s="0" t="n">
        <v>5.4243</v>
      </c>
      <c r="BI157" s="0" t="n">
        <v>2.7029</v>
      </c>
      <c r="BJ157" s="0" t="n">
        <v>5.9327</v>
      </c>
      <c r="BK157" s="0" t="n">
        <v>4.406</v>
      </c>
      <c r="BL157" s="0" t="n">
        <v>2.8882</v>
      </c>
      <c r="BM157" s="0" t="n">
        <v>2.4302</v>
      </c>
      <c r="BN157" s="0" t="n">
        <v>2.7926</v>
      </c>
      <c r="BO157" s="0" t="n">
        <v>1.3844</v>
      </c>
      <c r="BP157" s="0" t="n">
        <v>1.717</v>
      </c>
      <c r="BQ157" s="0" t="n">
        <v>1.5059</v>
      </c>
      <c r="BR157" s="0" t="n">
        <v>1.0385</v>
      </c>
      <c r="BS157" s="0" t="n">
        <v>0.3897</v>
      </c>
      <c r="BT157" s="0" t="n">
        <v>0.3353</v>
      </c>
      <c r="BU157" s="0" t="n">
        <v>0.2415</v>
      </c>
      <c r="BV157" s="0" t="n">
        <v>0.5244</v>
      </c>
      <c r="BW157" s="0" t="n">
        <v>0.6533</v>
      </c>
      <c r="BX157" s="0" t="n">
        <v>0.1761</v>
      </c>
      <c r="BY157" s="0" t="n">
        <v>0.2336</v>
      </c>
      <c r="BZ157" s="0" t="n">
        <v>0.7062</v>
      </c>
      <c r="CA157" s="0" t="n">
        <v>0.0946</v>
      </c>
      <c r="CB157" s="0" t="n">
        <v>0.1395</v>
      </c>
      <c r="CC157" s="0" t="n">
        <v>0.1285</v>
      </c>
      <c r="CD157" s="0" t="n">
        <v>0.0201</v>
      </c>
      <c r="CE157" s="0" t="n">
        <v>0.0365</v>
      </c>
      <c r="CF157" s="0" t="n">
        <v>0.0064</v>
      </c>
      <c r="CG157" s="0" t="n">
        <v>0.3691</v>
      </c>
      <c r="CH157" s="0" t="n">
        <v>0.0137</v>
      </c>
      <c r="CI157" s="0" t="n">
        <v>0.0222</v>
      </c>
      <c r="CJ157" s="0" t="n">
        <v>0.2009</v>
      </c>
      <c r="CK157" s="0" t="n">
        <v>0</v>
      </c>
      <c r="CL157" s="0" t="n">
        <v>0.0064</v>
      </c>
      <c r="CM157" s="0" t="n">
        <v>0.1608</v>
      </c>
      <c r="CN157" s="0" t="n">
        <v>0.0001</v>
      </c>
      <c r="CO157" s="0" t="n">
        <v>5.8344</v>
      </c>
      <c r="CP157" s="0" t="n">
        <v>9.2643</v>
      </c>
      <c r="CQ157" s="0" t="n">
        <v>19.363</v>
      </c>
      <c r="CR157" s="0" t="n">
        <v>18.2711</v>
      </c>
      <c r="CS157" s="0" t="n">
        <v>15.2152</v>
      </c>
      <c r="CT157" s="0" t="n">
        <v>11.8684</v>
      </c>
      <c r="CU157" s="0" t="n">
        <v>13.9637</v>
      </c>
      <c r="CV157" s="0" t="n">
        <v>10.1555</v>
      </c>
      <c r="CW157" s="0" t="n">
        <v>10.8227</v>
      </c>
      <c r="CX157" s="0" t="n">
        <v>11.1855</v>
      </c>
      <c r="CY157" s="0" t="n">
        <v>11.9541</v>
      </c>
      <c r="CZ157" s="0" t="n">
        <v>12.4536</v>
      </c>
      <c r="DA157" s="0" t="n">
        <v>13.3294</v>
      </c>
      <c r="DB157" s="0" t="n">
        <v>11.158</v>
      </c>
      <c r="DC157" s="0" t="n">
        <v>11.8657</v>
      </c>
      <c r="DD157" s="0" t="n">
        <v>10.8238</v>
      </c>
      <c r="DE157" s="0" t="n">
        <v>11.4644</v>
      </c>
      <c r="DF157" s="0" t="n">
        <v>11.8791</v>
      </c>
      <c r="DG157" s="0" t="n">
        <v>12.8908</v>
      </c>
      <c r="DH157" s="0" t="n">
        <v>12.5877</v>
      </c>
      <c r="DI157" s="0" t="n">
        <v>13.7002</v>
      </c>
      <c r="DJ157" s="0" t="n">
        <v>10.9801</v>
      </c>
      <c r="DK157" s="0" t="n">
        <v>12.1294</v>
      </c>
      <c r="DL157" s="0" t="n">
        <v>10.8539</v>
      </c>
      <c r="DM157" s="0" t="n">
        <v>14.1669</v>
      </c>
      <c r="DN157" s="0" t="n">
        <v>16.0148</v>
      </c>
      <c r="DO157" s="0" t="n">
        <v>16.3032</v>
      </c>
      <c r="DP157" s="0" t="n">
        <v>15.8144</v>
      </c>
      <c r="DQ157" s="0" t="n">
        <v>16.9205</v>
      </c>
      <c r="DR157" s="0" t="n">
        <v>16.181</v>
      </c>
      <c r="DS157" s="0" t="n">
        <v>17.5974</v>
      </c>
      <c r="DT157" s="0" t="n">
        <v>22.1285</v>
      </c>
      <c r="DU157" s="0" t="n">
        <v>25.1234</v>
      </c>
      <c r="DV157" s="0" t="n">
        <v>27.3389</v>
      </c>
      <c r="DW157" s="0" t="n">
        <v>24.4035</v>
      </c>
      <c r="DX157" s="0" t="n">
        <v>19.9955</v>
      </c>
      <c r="DY157" s="0" t="n">
        <v>17.0353</v>
      </c>
      <c r="DZ157" s="0" t="n">
        <v>13.6619</v>
      </c>
      <c r="EA157" s="0" t="n">
        <v>16.2952</v>
      </c>
      <c r="EB157" s="0" t="n">
        <v>13.7425</v>
      </c>
      <c r="EC157" s="0" t="n">
        <v>12.5334</v>
      </c>
      <c r="ED157" s="0" t="n">
        <v>12.7285</v>
      </c>
      <c r="EE157" s="0" t="n">
        <v>10.5685</v>
      </c>
      <c r="EF157" s="0" t="n">
        <v>10.3835</v>
      </c>
      <c r="EG157" s="0" t="n">
        <v>7.8398</v>
      </c>
      <c r="EH157" s="0" t="n">
        <v>5.9672</v>
      </c>
      <c r="EI157" s="0" t="n">
        <v>6.9611</v>
      </c>
      <c r="EJ157" s="0" t="n">
        <v>5.757</v>
      </c>
      <c r="EK157" s="0" t="n">
        <v>4.2191</v>
      </c>
      <c r="EL157" s="0" t="n">
        <v>2.1413</v>
      </c>
      <c r="EM157" s="0" t="n">
        <v>4.8015</v>
      </c>
      <c r="EN157" s="0" t="n">
        <v>3.6308</v>
      </c>
      <c r="EO157" s="0" t="n">
        <v>2.4324</v>
      </c>
      <c r="EP157" s="0" t="n">
        <v>2.0965</v>
      </c>
      <c r="EQ157" s="0" t="n">
        <v>2.4326</v>
      </c>
      <c r="ER157" s="0" t="n">
        <v>1.2279</v>
      </c>
      <c r="ES157" s="0" t="n">
        <v>1.5497</v>
      </c>
      <c r="ET157" s="0" t="n">
        <v>1.3837</v>
      </c>
      <c r="EU157" s="0" t="n">
        <v>0.9691</v>
      </c>
      <c r="EV157" s="0" t="n">
        <v>0.3702</v>
      </c>
      <c r="EW157" s="0" t="n">
        <v>0.3237</v>
      </c>
      <c r="EX157" s="0" t="n">
        <v>0.2376</v>
      </c>
      <c r="EY157" s="0" t="n">
        <v>0.5233</v>
      </c>
      <c r="EZ157" s="0" t="n">
        <v>0.6628</v>
      </c>
      <c r="FA157" s="0" t="n">
        <v>0.1812</v>
      </c>
      <c r="FB157" s="0" t="n">
        <v>0.2439</v>
      </c>
      <c r="FC157" s="0" t="n">
        <v>0.749</v>
      </c>
      <c r="FD157" s="0" t="n">
        <v>0.1017</v>
      </c>
      <c r="FE157" s="0" t="n">
        <v>0.1523</v>
      </c>
      <c r="FF157" s="0" t="n">
        <v>0.1419</v>
      </c>
      <c r="FG157" s="0" t="n">
        <v>0.0226</v>
      </c>
      <c r="FH157" s="0" t="n">
        <v>0.0416</v>
      </c>
      <c r="FI157" s="0" t="n">
        <v>0.0073</v>
      </c>
      <c r="FJ157" s="0" t="n">
        <v>0.4299</v>
      </c>
      <c r="FK157" s="0" t="n">
        <v>0.0163</v>
      </c>
      <c r="FL157" s="0" t="n">
        <v>0.0266</v>
      </c>
      <c r="FM157" s="0" t="n">
        <v>0.2445</v>
      </c>
      <c r="FN157" s="0" t="n">
        <v>0</v>
      </c>
      <c r="FO157" s="0" t="n">
        <v>0.0079</v>
      </c>
      <c r="FP157" s="0" t="n">
        <v>0.2121</v>
      </c>
    </row>
    <row r="158" customFormat="false" ht="13.8" hidden="false" customHeight="false" outlineLevel="0" collapsed="false">
      <c r="A158" s="2" t="s">
        <v>475</v>
      </c>
      <c r="B158" s="0" t="s">
        <v>173</v>
      </c>
      <c r="C158" s="0" t="n">
        <v>125</v>
      </c>
      <c r="D158" s="0" t="s">
        <v>476</v>
      </c>
      <c r="G158" s="0" t="n">
        <v>957.9125</v>
      </c>
      <c r="H158" s="0" t="n">
        <v>49.4168</v>
      </c>
      <c r="I158" s="0" t="n">
        <v>155.2476</v>
      </c>
      <c r="J158" s="0" t="n">
        <v>0.5159</v>
      </c>
      <c r="K158" s="0" t="n">
        <v>0</v>
      </c>
      <c r="L158" s="0" t="n">
        <v>156.4286</v>
      </c>
      <c r="M158" s="0" t="n">
        <v>121.1356</v>
      </c>
      <c r="N158" s="0" t="n">
        <v>116.4627</v>
      </c>
      <c r="O158" s="0" t="n">
        <v>74.6139</v>
      </c>
      <c r="P158" s="0" t="n">
        <v>50.6769</v>
      </c>
      <c r="Q158" s="0" t="n">
        <v>40.2764</v>
      </c>
      <c r="R158" s="0" t="n">
        <v>47.0537</v>
      </c>
      <c r="S158" s="0" t="n">
        <v>27.0076</v>
      </c>
      <c r="T158" s="0" t="n">
        <v>24.093</v>
      </c>
      <c r="U158" s="0" t="n">
        <v>20.9294</v>
      </c>
      <c r="V158" s="0" t="n">
        <v>17.4821</v>
      </c>
      <c r="W158" s="0" t="n">
        <v>12.3032</v>
      </c>
      <c r="X158" s="0" t="n">
        <v>13.8349</v>
      </c>
      <c r="Y158" s="0" t="n">
        <v>14.3828</v>
      </c>
      <c r="Z158" s="0" t="n">
        <v>9.8908</v>
      </c>
      <c r="AA158" s="0" t="n">
        <v>7.6446</v>
      </c>
      <c r="AB158" s="0" t="n">
        <v>5.7013</v>
      </c>
      <c r="AC158" s="0" t="n">
        <v>8.9237</v>
      </c>
      <c r="AD158" s="0" t="n">
        <v>11.2044</v>
      </c>
      <c r="AE158" s="0" t="n">
        <v>11.7651</v>
      </c>
      <c r="AF158" s="0" t="n">
        <v>11.4717</v>
      </c>
      <c r="AG158" s="0" t="n">
        <v>9.5961</v>
      </c>
      <c r="AH158" s="0" t="n">
        <v>11.3522</v>
      </c>
      <c r="AI158" s="0" t="n">
        <v>12.7298</v>
      </c>
      <c r="AJ158" s="0" t="n">
        <v>12.0403</v>
      </c>
      <c r="AK158" s="0" t="n">
        <v>13.524</v>
      </c>
      <c r="AL158" s="0" t="n">
        <v>11.1809</v>
      </c>
      <c r="AM158" s="0" t="n">
        <v>7.9022</v>
      </c>
      <c r="AN158" s="0" t="n">
        <v>7.1258</v>
      </c>
      <c r="AO158" s="0" t="n">
        <v>5.1838</v>
      </c>
      <c r="AP158" s="0" t="n">
        <v>8.4594</v>
      </c>
      <c r="AQ158" s="0" t="n">
        <v>9.2892</v>
      </c>
      <c r="AR158" s="0" t="n">
        <v>8.8091</v>
      </c>
      <c r="AS158" s="0" t="n">
        <v>10.0706</v>
      </c>
      <c r="AT158" s="0" t="n">
        <v>8.1536</v>
      </c>
      <c r="AU158" s="0" t="n">
        <v>4.924</v>
      </c>
      <c r="AV158" s="0" t="n">
        <v>4.542</v>
      </c>
      <c r="AW158" s="0" t="n">
        <v>2.8932</v>
      </c>
      <c r="AX158" s="0" t="n">
        <v>1.4225</v>
      </c>
      <c r="AY158" s="0" t="n">
        <v>1.8268</v>
      </c>
      <c r="AZ158" s="0" t="n">
        <v>0.7716</v>
      </c>
      <c r="BA158" s="0" t="n">
        <v>0.6398</v>
      </c>
      <c r="BB158" s="0" t="n">
        <v>0.4203</v>
      </c>
      <c r="BC158" s="0" t="n">
        <v>0.0945</v>
      </c>
      <c r="BD158" s="0" t="n">
        <v>0</v>
      </c>
      <c r="BE158" s="0" t="n">
        <v>0.0385</v>
      </c>
      <c r="BF158" s="0" t="n">
        <v>0.4116</v>
      </c>
      <c r="BG158" s="0" t="n">
        <v>0.3753</v>
      </c>
      <c r="BH158" s="0" t="n">
        <v>0.1185</v>
      </c>
      <c r="BI158" s="0" t="n">
        <v>0.1161</v>
      </c>
      <c r="BJ158" s="0" t="n">
        <v>0</v>
      </c>
      <c r="BK158" s="0" t="n">
        <v>0.1246</v>
      </c>
      <c r="BL158" s="0" t="n">
        <v>0</v>
      </c>
      <c r="BM158" s="0" t="n">
        <v>0.0675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0</v>
      </c>
      <c r="CO158" s="0" t="n">
        <v>3.9912</v>
      </c>
      <c r="CP158" s="0" t="n">
        <v>4.7564</v>
      </c>
      <c r="CQ158" s="0" t="n">
        <v>6.3564</v>
      </c>
      <c r="CR158" s="0" t="n">
        <v>5.2067</v>
      </c>
      <c r="CS158" s="0" t="n">
        <v>4.3514</v>
      </c>
      <c r="CT158" s="0" t="n">
        <v>4.1135</v>
      </c>
      <c r="CU158" s="0" t="n">
        <v>5.5216</v>
      </c>
      <c r="CV158" s="0" t="n">
        <v>3.5999</v>
      </c>
      <c r="CW158" s="0" t="n">
        <v>3.5943</v>
      </c>
      <c r="CX158" s="0" t="n">
        <v>3.4346</v>
      </c>
      <c r="CY158" s="0" t="n">
        <v>3.1624</v>
      </c>
      <c r="CZ158" s="0" t="n">
        <v>2.4009</v>
      </c>
      <c r="DA158" s="0" t="n">
        <v>2.9328</v>
      </c>
      <c r="DB158" s="0" t="n">
        <v>3.2684</v>
      </c>
      <c r="DC158" s="0" t="n">
        <v>2.3974</v>
      </c>
      <c r="DD158" s="0" t="n">
        <v>1.9752</v>
      </c>
      <c r="DE158" s="0" t="n">
        <v>1.5684</v>
      </c>
      <c r="DF158" s="0" t="n">
        <v>2.5961</v>
      </c>
      <c r="DG158" s="0" t="n">
        <v>3.4328</v>
      </c>
      <c r="DH158" s="0" t="n">
        <v>3.7797</v>
      </c>
      <c r="DI158" s="0" t="n">
        <v>3.8717</v>
      </c>
      <c r="DJ158" s="0" t="n">
        <v>3.3869</v>
      </c>
      <c r="DK158" s="0" t="n">
        <v>4.1962</v>
      </c>
      <c r="DL158" s="0" t="n">
        <v>4.9012</v>
      </c>
      <c r="DM158" s="0" t="n">
        <v>4.8123</v>
      </c>
      <c r="DN158" s="0" t="n">
        <v>5.6325</v>
      </c>
      <c r="DO158" s="0" t="n">
        <v>4.8369</v>
      </c>
      <c r="DP158" s="0" t="n">
        <v>3.5337</v>
      </c>
      <c r="DQ158" s="0" t="n">
        <v>3.3035</v>
      </c>
      <c r="DR158" s="0" t="n">
        <v>2.4867</v>
      </c>
      <c r="DS158" s="0" t="n">
        <v>4.184</v>
      </c>
      <c r="DT158" s="0" t="n">
        <v>4.7458</v>
      </c>
      <c r="DU158" s="0" t="n">
        <v>4.6354</v>
      </c>
      <c r="DV158" s="0" t="n">
        <v>5.4446</v>
      </c>
      <c r="DW158" s="0" t="n">
        <v>4.5425</v>
      </c>
      <c r="DX158" s="0" t="n">
        <v>2.827</v>
      </c>
      <c r="DY158" s="0" t="n">
        <v>2.6738</v>
      </c>
      <c r="DZ158" s="0" t="n">
        <v>1.7493</v>
      </c>
      <c r="EA158" s="0" t="n">
        <v>0.8814</v>
      </c>
      <c r="EB158" s="0" t="n">
        <v>1.1614</v>
      </c>
      <c r="EC158" s="0" t="n">
        <v>0.5045</v>
      </c>
      <c r="ED158" s="0" t="n">
        <v>0.4252</v>
      </c>
      <c r="EE158" s="0" t="n">
        <v>0.2859</v>
      </c>
      <c r="EF158" s="0" t="n">
        <v>0.0661</v>
      </c>
      <c r="EG158" s="0" t="n">
        <v>0</v>
      </c>
      <c r="EH158" s="0" t="n">
        <v>0.028</v>
      </c>
      <c r="EI158" s="0" t="n">
        <v>0.3084</v>
      </c>
      <c r="EJ158" s="0" t="n">
        <v>0.2857</v>
      </c>
      <c r="EK158" s="0" t="n">
        <v>0.0922</v>
      </c>
      <c r="EL158" s="0" t="n">
        <v>0.0926</v>
      </c>
      <c r="EM158" s="0" t="n">
        <v>0</v>
      </c>
      <c r="EN158" s="0" t="n">
        <v>0.1024</v>
      </c>
      <c r="EO158" s="0" t="n">
        <v>0</v>
      </c>
      <c r="EP158" s="0" t="n">
        <v>0.0578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0</v>
      </c>
      <c r="EW158" s="0" t="n">
        <v>0</v>
      </c>
      <c r="EX158" s="0" t="n">
        <v>0</v>
      </c>
      <c r="EY158" s="0" t="n">
        <v>0</v>
      </c>
      <c r="EZ158" s="0" t="n">
        <v>0</v>
      </c>
      <c r="FA158" s="0" t="n">
        <v>0</v>
      </c>
      <c r="FB158" s="0" t="n">
        <v>0</v>
      </c>
      <c r="FC158" s="0" t="n">
        <v>0</v>
      </c>
      <c r="FD158" s="0" t="n">
        <v>0</v>
      </c>
      <c r="FE158" s="0" t="n">
        <v>0</v>
      </c>
      <c r="FF158" s="0" t="n">
        <v>0</v>
      </c>
      <c r="FG158" s="0" t="n">
        <v>0</v>
      </c>
      <c r="FH158" s="0" t="n">
        <v>0</v>
      </c>
      <c r="FI158" s="0" t="n">
        <v>0</v>
      </c>
      <c r="FJ158" s="0" t="n">
        <v>0</v>
      </c>
      <c r="FK158" s="0" t="n">
        <v>0</v>
      </c>
      <c r="FL158" s="0" t="n">
        <v>0</v>
      </c>
      <c r="FM158" s="0" t="n">
        <v>0</v>
      </c>
      <c r="FN158" s="0" t="n">
        <v>0</v>
      </c>
      <c r="FO158" s="0" t="n">
        <v>0</v>
      </c>
      <c r="FP158" s="0" t="n">
        <v>0</v>
      </c>
    </row>
    <row r="159" customFormat="false" ht="13.8" hidden="false" customHeight="false" outlineLevel="0" collapsed="false">
      <c r="A159" s="2" t="s">
        <v>477</v>
      </c>
      <c r="B159" s="0" t="s">
        <v>176</v>
      </c>
      <c r="C159" s="0" t="n">
        <v>367</v>
      </c>
      <c r="D159" s="0" t="s">
        <v>478</v>
      </c>
      <c r="G159" s="0" t="n">
        <v>3017.1146</v>
      </c>
      <c r="H159" s="0" t="n">
        <v>152.344</v>
      </c>
      <c r="I159" s="0" t="n">
        <v>478.6028</v>
      </c>
      <c r="J159" s="0" t="n">
        <v>0.502266666666667</v>
      </c>
      <c r="K159" s="0" t="n">
        <v>0.0127</v>
      </c>
      <c r="L159" s="0" t="n">
        <v>376.5164</v>
      </c>
      <c r="M159" s="0" t="n">
        <v>344.2753</v>
      </c>
      <c r="N159" s="0" t="n">
        <v>449.6733</v>
      </c>
      <c r="O159" s="0" t="n">
        <v>314.0966</v>
      </c>
      <c r="P159" s="0" t="n">
        <v>219.0063</v>
      </c>
      <c r="Q159" s="0" t="n">
        <v>142.036</v>
      </c>
      <c r="R159" s="0" t="n">
        <v>144.8404</v>
      </c>
      <c r="S159" s="0" t="n">
        <v>83.9678</v>
      </c>
      <c r="T159" s="0" t="n">
        <v>78.787</v>
      </c>
      <c r="U159" s="0" t="n">
        <v>76.2246</v>
      </c>
      <c r="V159" s="0" t="n">
        <v>65.987</v>
      </c>
      <c r="W159" s="0" t="n">
        <v>63.3949</v>
      </c>
      <c r="X159" s="0" t="n">
        <v>57.2555</v>
      </c>
      <c r="Y159" s="0" t="n">
        <v>42.807</v>
      </c>
      <c r="Z159" s="0" t="n">
        <v>36.8934</v>
      </c>
      <c r="AA159" s="0" t="n">
        <v>25.6678</v>
      </c>
      <c r="AB159" s="0" t="n">
        <v>20.7482</v>
      </c>
      <c r="AC159" s="0" t="n">
        <v>25.7832</v>
      </c>
      <c r="AD159" s="0" t="n">
        <v>28.4411</v>
      </c>
      <c r="AE159" s="0" t="n">
        <v>22.564</v>
      </c>
      <c r="AF159" s="0" t="n">
        <v>22.5114</v>
      </c>
      <c r="AG159" s="0" t="n">
        <v>21.6333</v>
      </c>
      <c r="AH159" s="0" t="n">
        <v>25.9823</v>
      </c>
      <c r="AI159" s="0" t="n">
        <v>22.8663</v>
      </c>
      <c r="AJ159" s="0" t="n">
        <v>21.2587</v>
      </c>
      <c r="AK159" s="0" t="n">
        <v>26.2572</v>
      </c>
      <c r="AL159" s="0" t="n">
        <v>22.8223</v>
      </c>
      <c r="AM159" s="0" t="n">
        <v>22.3458</v>
      </c>
      <c r="AN159" s="0" t="n">
        <v>20.9755</v>
      </c>
      <c r="AO159" s="0" t="n">
        <v>15.4101</v>
      </c>
      <c r="AP159" s="0" t="n">
        <v>12.7925</v>
      </c>
      <c r="AQ159" s="0" t="n">
        <v>13.0331</v>
      </c>
      <c r="AR159" s="0" t="n">
        <v>16.1106</v>
      </c>
      <c r="AS159" s="0" t="n">
        <v>16.0584</v>
      </c>
      <c r="AT159" s="0" t="n">
        <v>12.2491</v>
      </c>
      <c r="AU159" s="0" t="n">
        <v>12.9123</v>
      </c>
      <c r="AV159" s="0" t="n">
        <v>10.963</v>
      </c>
      <c r="AW159" s="0" t="n">
        <v>10.4984</v>
      </c>
      <c r="AX159" s="0" t="n">
        <v>10.5686</v>
      </c>
      <c r="AY159" s="0" t="n">
        <v>8.5268</v>
      </c>
      <c r="AZ159" s="0" t="n">
        <v>5.047</v>
      </c>
      <c r="BA159" s="0" t="n">
        <v>3.8004</v>
      </c>
      <c r="BB159" s="0" t="n">
        <v>3.8127</v>
      </c>
      <c r="BC159" s="0" t="n">
        <v>3.6779</v>
      </c>
      <c r="BD159" s="0" t="n">
        <v>3.7869</v>
      </c>
      <c r="BE159" s="0" t="n">
        <v>3.423</v>
      </c>
      <c r="BF159" s="0" t="n">
        <v>2.2662</v>
      </c>
      <c r="BG159" s="0" t="n">
        <v>2.4922</v>
      </c>
      <c r="BH159" s="0" t="n">
        <v>1.7314</v>
      </c>
      <c r="BI159" s="0" t="n">
        <v>0.6944</v>
      </c>
      <c r="BJ159" s="0" t="n">
        <v>1.9447</v>
      </c>
      <c r="BK159" s="0" t="n">
        <v>0.5958</v>
      </c>
      <c r="BL159" s="0" t="n">
        <v>0.9311</v>
      </c>
      <c r="BM159" s="0" t="n">
        <v>0.4802</v>
      </c>
      <c r="BN159" s="0" t="n">
        <v>1.1862</v>
      </c>
      <c r="BO159" s="0" t="n">
        <v>0.9457</v>
      </c>
      <c r="BP159" s="0" t="n">
        <v>1.8105</v>
      </c>
      <c r="BQ159" s="0" t="n">
        <v>1.1789</v>
      </c>
      <c r="BR159" s="0" t="n">
        <v>0.925</v>
      </c>
      <c r="BS159" s="0" t="n">
        <v>0.4312</v>
      </c>
      <c r="BT159" s="0" t="n">
        <v>1.2672</v>
      </c>
      <c r="BU159" s="0" t="n">
        <v>0.265</v>
      </c>
      <c r="BV159" s="0" t="n">
        <v>1.0567</v>
      </c>
      <c r="BW159" s="0" t="n">
        <v>0.192</v>
      </c>
      <c r="BX159" s="0" t="n">
        <v>0.7758</v>
      </c>
      <c r="BY159" s="0" t="n">
        <v>0.1814</v>
      </c>
      <c r="BZ159" s="0" t="n">
        <v>0.7379</v>
      </c>
      <c r="CA159" s="0" t="n">
        <v>0.6291</v>
      </c>
      <c r="CB159" s="0" t="n">
        <v>0.8368</v>
      </c>
      <c r="CC159" s="0" t="n">
        <v>1.0197</v>
      </c>
      <c r="CD159" s="0" t="n">
        <v>0.1682</v>
      </c>
      <c r="CE159" s="0" t="n">
        <v>0</v>
      </c>
      <c r="CF159" s="0" t="n">
        <v>0.2899</v>
      </c>
      <c r="CG159" s="0" t="n">
        <v>0.1598</v>
      </c>
      <c r="CH159" s="0" t="n">
        <v>0.0069</v>
      </c>
      <c r="CI159" s="0" t="n">
        <v>0.5894</v>
      </c>
      <c r="CJ159" s="0" t="n">
        <v>0.0127</v>
      </c>
      <c r="CK159" s="0" t="n">
        <v>0.1976</v>
      </c>
      <c r="CL159" s="0" t="n">
        <v>0.1353</v>
      </c>
      <c r="CM159" s="0" t="n">
        <v>1.2012</v>
      </c>
      <c r="CN159" s="0" t="n">
        <v>0.0001</v>
      </c>
      <c r="CO159" s="0" t="n">
        <v>9.8413</v>
      </c>
      <c r="CP159" s="0" t="n">
        <v>13.3891</v>
      </c>
      <c r="CQ159" s="0" t="n">
        <v>24.641</v>
      </c>
      <c r="CR159" s="0" t="n">
        <v>21.8657</v>
      </c>
      <c r="CS159" s="0" t="n">
        <v>18.7933</v>
      </c>
      <c r="CT159" s="0" t="n">
        <v>14.4522</v>
      </c>
      <c r="CU159" s="0" t="n">
        <v>17.0489</v>
      </c>
      <c r="CV159" s="0" t="n">
        <v>11.2186</v>
      </c>
      <c r="CW159" s="0" t="n">
        <v>11.7328</v>
      </c>
      <c r="CX159" s="0" t="n">
        <v>12.5464</v>
      </c>
      <c r="CY159" s="0" t="n">
        <v>11.9327</v>
      </c>
      <c r="CZ159" s="0" t="n">
        <v>12.4255</v>
      </c>
      <c r="DA159" s="0" t="n">
        <v>12.1113</v>
      </c>
      <c r="DB159" s="0" t="n">
        <v>9.7449</v>
      </c>
      <c r="DC159" s="0" t="n">
        <v>8.9846</v>
      </c>
      <c r="DD159" s="0" t="n">
        <v>6.629</v>
      </c>
      <c r="DE159" s="0" t="n">
        <v>5.7041</v>
      </c>
      <c r="DF159" s="0" t="n">
        <v>7.5057</v>
      </c>
      <c r="DG159" s="0" t="n">
        <v>8.7052</v>
      </c>
      <c r="DH159" s="0" t="n">
        <v>7.2661</v>
      </c>
      <c r="DI159" s="0" t="n">
        <v>7.621</v>
      </c>
      <c r="DJ159" s="0" t="n">
        <v>7.6372</v>
      </c>
      <c r="DK159" s="0" t="n">
        <v>9.6084</v>
      </c>
      <c r="DL159" s="0" t="n">
        <v>8.7921</v>
      </c>
      <c r="DM159" s="0" t="n">
        <v>8.5126</v>
      </c>
      <c r="DN159" s="0" t="n">
        <v>10.9182</v>
      </c>
      <c r="DO159" s="0" t="n">
        <v>9.8655</v>
      </c>
      <c r="DP159" s="0" t="n">
        <v>9.998</v>
      </c>
      <c r="DQ159" s="0" t="n">
        <v>9.7283</v>
      </c>
      <c r="DR159" s="0" t="n">
        <v>7.3814</v>
      </c>
      <c r="DS159" s="0" t="n">
        <v>6.3245</v>
      </c>
      <c r="DT159" s="0" t="n">
        <v>6.6477</v>
      </c>
      <c r="DU159" s="0" t="n">
        <v>8.4904</v>
      </c>
      <c r="DV159" s="0" t="n">
        <v>8.7011</v>
      </c>
      <c r="DW159" s="0" t="n">
        <v>6.8295</v>
      </c>
      <c r="DX159" s="0" t="n">
        <v>7.4103</v>
      </c>
      <c r="DY159" s="0" t="n">
        <v>6.455</v>
      </c>
      <c r="DZ159" s="0" t="n">
        <v>6.3394</v>
      </c>
      <c r="EA159" s="0" t="n">
        <v>6.5481</v>
      </c>
      <c r="EB159" s="0" t="n">
        <v>5.4268</v>
      </c>
      <c r="EC159" s="0" t="n">
        <v>3.3004</v>
      </c>
      <c r="ED159" s="0" t="n">
        <v>2.5371</v>
      </c>
      <c r="EE159" s="0" t="n">
        <v>2.6096</v>
      </c>
      <c r="EF159" s="0" t="n">
        <v>2.5643</v>
      </c>
      <c r="EG159" s="0" t="n">
        <v>2.703</v>
      </c>
      <c r="EH159" s="0" t="n">
        <v>2.502</v>
      </c>
      <c r="EI159" s="0" t="n">
        <v>1.6896</v>
      </c>
      <c r="EJ159" s="0" t="n">
        <v>1.8956</v>
      </c>
      <c r="EK159" s="0" t="n">
        <v>1.3479</v>
      </c>
      <c r="EL159" s="0" t="n">
        <v>0.5501</v>
      </c>
      <c r="EM159" s="0" t="n">
        <v>1.5703</v>
      </c>
      <c r="EN159" s="0" t="n">
        <v>0.4899</v>
      </c>
      <c r="EO159" s="0" t="n">
        <v>0.7814</v>
      </c>
      <c r="EP159" s="0" t="n">
        <v>0.409</v>
      </c>
      <c r="EQ159" s="0" t="n">
        <v>1.0315</v>
      </c>
      <c r="ER159" s="0" t="n">
        <v>0.8417</v>
      </c>
      <c r="ES159" s="0" t="n">
        <v>1.6339</v>
      </c>
      <c r="ET159" s="0" t="n">
        <v>1.0835</v>
      </c>
      <c r="EU159" s="0" t="n">
        <v>0.8659</v>
      </c>
      <c r="EV159" s="0" t="n">
        <v>0.4107</v>
      </c>
      <c r="EW159" s="0" t="n">
        <v>1.2237</v>
      </c>
      <c r="EX159" s="0" t="n">
        <v>0.26</v>
      </c>
      <c r="EY159" s="0" t="n">
        <v>1.0515</v>
      </c>
      <c r="EZ159" s="0" t="n">
        <v>0.1947</v>
      </c>
      <c r="FA159" s="0" t="n">
        <v>0.7992</v>
      </c>
      <c r="FB159" s="0" t="n">
        <v>0.1894</v>
      </c>
      <c r="FC159" s="0" t="n">
        <v>0.7815</v>
      </c>
      <c r="FD159" s="0" t="n">
        <v>0.6785</v>
      </c>
      <c r="FE159" s="0" t="n">
        <v>1.0363</v>
      </c>
      <c r="FF159" s="0" t="n">
        <v>1.1338</v>
      </c>
      <c r="FG159" s="0" t="n">
        <v>0.1895</v>
      </c>
      <c r="FH159" s="0" t="n">
        <v>0</v>
      </c>
      <c r="FI159" s="0" t="n">
        <v>0.3357</v>
      </c>
      <c r="FJ159" s="0" t="n">
        <v>0.1875</v>
      </c>
      <c r="FK159" s="0" t="n">
        <v>0.0082</v>
      </c>
      <c r="FL159" s="0" t="n">
        <v>0.709</v>
      </c>
      <c r="FM159" s="0" t="n">
        <v>0.0155</v>
      </c>
      <c r="FN159" s="0" t="n">
        <v>0.2451</v>
      </c>
      <c r="FO159" s="0" t="n">
        <v>0.1697</v>
      </c>
      <c r="FP159" s="0" t="n">
        <v>1.6722</v>
      </c>
    </row>
    <row r="160" customFormat="false" ht="13.8" hidden="false" customHeight="false" outlineLevel="0" collapsed="false">
      <c r="A160" s="2" t="s">
        <v>479</v>
      </c>
      <c r="B160" s="0" t="s">
        <v>173</v>
      </c>
      <c r="C160" s="0" t="n">
        <v>191</v>
      </c>
      <c r="D160" s="0" t="s">
        <v>480</v>
      </c>
      <c r="F160" s="0" t="n">
        <v>1.2313</v>
      </c>
      <c r="G160" s="0" t="n">
        <v>1106.8679</v>
      </c>
      <c r="H160" s="0" t="n">
        <v>74.3619</v>
      </c>
      <c r="I160" s="0" t="n">
        <v>233.6147</v>
      </c>
      <c r="J160" s="0" t="n">
        <v>0.6718</v>
      </c>
      <c r="K160" s="0" t="n">
        <v>0</v>
      </c>
      <c r="L160" s="0" t="n">
        <v>126.1579</v>
      </c>
      <c r="M160" s="0" t="n">
        <v>132.5239</v>
      </c>
      <c r="N160" s="0" t="n">
        <v>92.8813</v>
      </c>
      <c r="O160" s="0" t="n">
        <v>0.0931</v>
      </c>
      <c r="P160" s="0" t="n">
        <v>94.1854</v>
      </c>
      <c r="Q160" s="0" t="n">
        <v>36.3815</v>
      </c>
      <c r="R160" s="0" t="n">
        <v>61.0513</v>
      </c>
      <c r="S160" s="0" t="n">
        <v>46.3278</v>
      </c>
      <c r="T160" s="0" t="n">
        <v>8.6499</v>
      </c>
      <c r="U160" s="0" t="n">
        <v>40.6441</v>
      </c>
      <c r="V160" s="0" t="n">
        <v>34.133</v>
      </c>
      <c r="W160" s="0" t="n">
        <v>19.825</v>
      </c>
      <c r="X160" s="0" t="n">
        <v>30.3001</v>
      </c>
      <c r="Y160" s="0" t="n">
        <v>17.0548</v>
      </c>
      <c r="Z160" s="0" t="n">
        <v>23.3643</v>
      </c>
      <c r="AA160" s="0" t="n">
        <v>14.7949</v>
      </c>
      <c r="AB160" s="0" t="n">
        <v>27.6249</v>
      </c>
      <c r="AC160" s="0" t="n">
        <v>13.3908</v>
      </c>
      <c r="AD160" s="0" t="n">
        <v>27.0138</v>
      </c>
      <c r="AE160" s="0" t="n">
        <v>14.2072</v>
      </c>
      <c r="AF160" s="0" t="n">
        <v>22.6416</v>
      </c>
      <c r="AG160" s="0" t="n">
        <v>11.6219</v>
      </c>
      <c r="AH160" s="0" t="n">
        <v>13.2359</v>
      </c>
      <c r="AI160" s="0" t="n">
        <v>17.7608</v>
      </c>
      <c r="AJ160" s="0" t="n">
        <v>4.5122</v>
      </c>
      <c r="AK160" s="0" t="n">
        <v>20.0371</v>
      </c>
      <c r="AL160" s="0" t="n">
        <v>18.1806</v>
      </c>
      <c r="AM160" s="0" t="n">
        <v>9.6059</v>
      </c>
      <c r="AN160" s="0" t="n">
        <v>5.7642</v>
      </c>
      <c r="AO160" s="0" t="n">
        <v>15.6752</v>
      </c>
      <c r="AP160" s="0" t="n">
        <v>11.4271</v>
      </c>
      <c r="AQ160" s="0" t="n">
        <v>13.1153</v>
      </c>
      <c r="AR160" s="0" t="n">
        <v>5.8968</v>
      </c>
      <c r="AS160" s="0" t="n">
        <v>6.8332</v>
      </c>
      <c r="AT160" s="0" t="n">
        <v>8.4264</v>
      </c>
      <c r="AU160" s="0" t="n">
        <v>10.3078</v>
      </c>
      <c r="AV160" s="0" t="n">
        <v>0.1649</v>
      </c>
      <c r="AW160" s="0" t="n">
        <v>9.7213</v>
      </c>
      <c r="AX160" s="0" t="n">
        <v>11.3842</v>
      </c>
      <c r="AY160" s="0" t="n">
        <v>8.5839</v>
      </c>
      <c r="AZ160" s="0" t="n">
        <v>3.8582</v>
      </c>
      <c r="BA160" s="0" t="n">
        <v>1.67</v>
      </c>
      <c r="BB160" s="0" t="n">
        <v>5.0342</v>
      </c>
      <c r="BC160" s="0" t="n">
        <v>2.7621</v>
      </c>
      <c r="BD160" s="0" t="n">
        <v>1.4453</v>
      </c>
      <c r="BE160" s="0" t="n">
        <v>2.2478</v>
      </c>
      <c r="BF160" s="0" t="n">
        <v>0.4629</v>
      </c>
      <c r="BG160" s="0" t="n">
        <v>0.7293</v>
      </c>
      <c r="BH160" s="0" t="n">
        <v>0.9057</v>
      </c>
      <c r="BI160" s="0" t="n">
        <v>0.5413</v>
      </c>
      <c r="BJ160" s="0" t="n">
        <v>0.2079</v>
      </c>
      <c r="BK160" s="0" t="n">
        <v>0.2427</v>
      </c>
      <c r="BL160" s="0" t="n">
        <v>0.3809</v>
      </c>
      <c r="BM160" s="0" t="n">
        <v>0.0788</v>
      </c>
      <c r="BN160" s="0" t="n">
        <v>0.0629</v>
      </c>
      <c r="BO160" s="0" t="n">
        <v>0.0201</v>
      </c>
      <c r="BP160" s="0" t="n">
        <v>0.2496</v>
      </c>
      <c r="BQ160" s="0" t="n">
        <v>0</v>
      </c>
      <c r="BR160" s="0" t="n">
        <v>0.0778</v>
      </c>
      <c r="BS160" s="0" t="n">
        <v>0</v>
      </c>
      <c r="BT160" s="0" t="n">
        <v>0</v>
      </c>
      <c r="BU160" s="0" t="n">
        <v>0.1588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0.0931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2.69</v>
      </c>
      <c r="CP160" s="0" t="n">
        <v>5.6116</v>
      </c>
      <c r="CQ160" s="0" t="n">
        <v>5.6652</v>
      </c>
      <c r="CR160" s="0" t="n">
        <v>0.0064</v>
      </c>
      <c r="CS160" s="0" t="n">
        <v>7.8501</v>
      </c>
      <c r="CT160" s="0" t="n">
        <v>3.6967</v>
      </c>
      <c r="CU160" s="0" t="n">
        <v>7.1576</v>
      </c>
      <c r="CV160" s="0" t="n">
        <v>6.4332</v>
      </c>
      <c r="CW160" s="0" t="n">
        <v>1.2507</v>
      </c>
      <c r="CX160" s="0" t="n">
        <v>6.5926</v>
      </c>
      <c r="CY160" s="0" t="n">
        <v>6.2345</v>
      </c>
      <c r="CZ160" s="0" t="n">
        <v>3.9426</v>
      </c>
      <c r="DA160" s="0" t="n">
        <v>6.3977</v>
      </c>
      <c r="DB160" s="0" t="n">
        <v>3.8786</v>
      </c>
      <c r="DC160" s="0" t="n">
        <v>5.7317</v>
      </c>
      <c r="DD160" s="0" t="n">
        <v>3.8034</v>
      </c>
      <c r="DE160" s="0" t="n">
        <v>7.5475</v>
      </c>
      <c r="DF160" s="0" t="n">
        <v>3.8722</v>
      </c>
      <c r="DG160" s="0" t="n">
        <v>8.1933</v>
      </c>
      <c r="DH160" s="0" t="n">
        <v>4.5587</v>
      </c>
      <c r="DI160" s="0" t="n">
        <v>7.6693</v>
      </c>
      <c r="DJ160" s="0" t="n">
        <v>4.1382</v>
      </c>
      <c r="DK160" s="0" t="n">
        <v>4.8945</v>
      </c>
      <c r="DL160" s="0" t="n">
        <v>6.9071</v>
      </c>
      <c r="DM160" s="0" t="n">
        <v>1.7973</v>
      </c>
      <c r="DN160" s="0" t="n">
        <v>8.3163</v>
      </c>
      <c r="DO160" s="0" t="n">
        <v>7.9151</v>
      </c>
      <c r="DP160" s="0" t="n">
        <v>4.3634</v>
      </c>
      <c r="DQ160" s="0" t="n">
        <v>2.6497</v>
      </c>
      <c r="DR160" s="0" t="n">
        <v>7.4777</v>
      </c>
      <c r="DS160" s="0" t="n">
        <v>5.6765</v>
      </c>
      <c r="DT160" s="0" t="n">
        <v>6.7203</v>
      </c>
      <c r="DU160" s="0" t="n">
        <v>3.1078</v>
      </c>
      <c r="DV160" s="0" t="n">
        <v>3.6717</v>
      </c>
      <c r="DW160" s="0" t="n">
        <v>4.6881</v>
      </c>
      <c r="DX160" s="0" t="n">
        <v>5.9522</v>
      </c>
      <c r="DY160" s="0" t="n">
        <v>0.0977</v>
      </c>
      <c r="DZ160" s="0" t="n">
        <v>5.8201</v>
      </c>
      <c r="EA160" s="0" t="n">
        <v>7.047</v>
      </c>
      <c r="EB160" s="0" t="n">
        <v>5.4846</v>
      </c>
      <c r="EC160" s="0" t="n">
        <v>2.5262</v>
      </c>
      <c r="ED160" s="0" t="n">
        <v>1.1063</v>
      </c>
      <c r="EE160" s="0" t="n">
        <v>3.4287</v>
      </c>
      <c r="EF160" s="0" t="n">
        <v>1.9346</v>
      </c>
      <c r="EG160" s="0" t="n">
        <v>1.0348</v>
      </c>
      <c r="EH160" s="0" t="n">
        <v>1.645</v>
      </c>
      <c r="EI160" s="0" t="n">
        <v>0.3442</v>
      </c>
      <c r="EJ160" s="0" t="n">
        <v>0.5541</v>
      </c>
      <c r="EK160" s="0" t="n">
        <v>0.7059</v>
      </c>
      <c r="EL160" s="0" t="n">
        <v>0.4318</v>
      </c>
      <c r="EM160" s="0" t="n">
        <v>0.1675</v>
      </c>
      <c r="EN160" s="0" t="n">
        <v>0.1991</v>
      </c>
      <c r="EO160" s="0" t="n">
        <v>0.322</v>
      </c>
      <c r="EP160" s="0" t="n">
        <v>0.0672</v>
      </c>
      <c r="EQ160" s="0" t="n">
        <v>0.055</v>
      </c>
      <c r="ER160" s="0" t="n">
        <v>0.0179</v>
      </c>
      <c r="ES160" s="0" t="n">
        <v>0.2242</v>
      </c>
      <c r="ET160" s="0" t="n">
        <v>0</v>
      </c>
      <c r="EU160" s="0" t="n">
        <v>0.0723</v>
      </c>
      <c r="EV160" s="0" t="n">
        <v>0</v>
      </c>
      <c r="EW160" s="0" t="n">
        <v>0</v>
      </c>
      <c r="EX160" s="0" t="n">
        <v>0.1568</v>
      </c>
      <c r="EY160" s="0" t="n">
        <v>0</v>
      </c>
      <c r="EZ160" s="0" t="n">
        <v>0</v>
      </c>
      <c r="FA160" s="0" t="n">
        <v>0</v>
      </c>
      <c r="FB160" s="0" t="n">
        <v>0</v>
      </c>
      <c r="FC160" s="0" t="n">
        <v>0</v>
      </c>
      <c r="FD160" s="0" t="n">
        <v>0</v>
      </c>
      <c r="FE160" s="0" t="n">
        <v>0</v>
      </c>
      <c r="FF160" s="0" t="n">
        <v>0</v>
      </c>
      <c r="FG160" s="0" t="n">
        <v>0</v>
      </c>
      <c r="FH160" s="0" t="n">
        <v>0</v>
      </c>
      <c r="FI160" s="0" t="n">
        <v>0.1077</v>
      </c>
      <c r="FJ160" s="0" t="n">
        <v>0</v>
      </c>
      <c r="FK160" s="0" t="n">
        <v>0</v>
      </c>
      <c r="FL160" s="0" t="n">
        <v>0</v>
      </c>
      <c r="FM160" s="0" t="n">
        <v>0</v>
      </c>
      <c r="FN160" s="0" t="n">
        <v>0</v>
      </c>
      <c r="FO160" s="0" t="n">
        <v>0</v>
      </c>
      <c r="FP160" s="0" t="n">
        <v>0</v>
      </c>
    </row>
    <row r="161" customFormat="false" ht="13.8" hidden="false" customHeight="false" outlineLevel="0" collapsed="false">
      <c r="A161" s="2" t="s">
        <v>481</v>
      </c>
      <c r="B161" s="0" t="s">
        <v>173</v>
      </c>
      <c r="C161" s="0" t="n">
        <v>106</v>
      </c>
      <c r="D161" s="0" t="s">
        <v>482</v>
      </c>
      <c r="E161" s="0" t="e">
        <f aca="false">VLOOKUP(A161,[1]RHIZOMES!$A$1:$B$1048576,2,0)</f>
        <v>#N/A</v>
      </c>
      <c r="F161" s="0" t="n">
        <v>3.3797</v>
      </c>
      <c r="G161" s="0" t="n">
        <v>2109.2901</v>
      </c>
      <c r="H161" s="0" t="n">
        <v>211.1508</v>
      </c>
      <c r="I161" s="0" t="n">
        <v>663.3496</v>
      </c>
      <c r="J161" s="0" t="n">
        <v>1.00615</v>
      </c>
      <c r="K161" s="0" t="n">
        <v>0</v>
      </c>
      <c r="L161" s="0" t="n">
        <v>6.7025</v>
      </c>
      <c r="M161" s="0" t="n">
        <v>13.8244</v>
      </c>
      <c r="N161" s="0" t="n">
        <v>118.6532</v>
      </c>
      <c r="O161" s="0" t="n">
        <v>168.4776</v>
      </c>
      <c r="P161" s="0" t="n">
        <v>138.6878</v>
      </c>
      <c r="Q161" s="0" t="n">
        <v>188.1969</v>
      </c>
      <c r="R161" s="0" t="n">
        <v>92.9176</v>
      </c>
      <c r="S161" s="0" t="n">
        <v>72.6755</v>
      </c>
      <c r="T161" s="0" t="n">
        <v>60.9989</v>
      </c>
      <c r="U161" s="0" t="n">
        <v>74.6302</v>
      </c>
      <c r="V161" s="0" t="n">
        <v>35.1261</v>
      </c>
      <c r="W161" s="0" t="n">
        <v>68.6232</v>
      </c>
      <c r="X161" s="0" t="n">
        <v>52.6291</v>
      </c>
      <c r="Y161" s="0" t="n">
        <v>36.8019</v>
      </c>
      <c r="Z161" s="0" t="n">
        <v>45.9842</v>
      </c>
      <c r="AA161" s="0" t="n">
        <v>47.2229</v>
      </c>
      <c r="AB161" s="0" t="n">
        <v>39.8816</v>
      </c>
      <c r="AC161" s="0" t="n">
        <v>33.2609</v>
      </c>
      <c r="AD161" s="0" t="n">
        <v>38.3393</v>
      </c>
      <c r="AE161" s="0" t="n">
        <v>31.5019</v>
      </c>
      <c r="AF161" s="0" t="n">
        <v>43.9124</v>
      </c>
      <c r="AG161" s="0" t="n">
        <v>20.2086</v>
      </c>
      <c r="AH161" s="0" t="n">
        <v>27.4357</v>
      </c>
      <c r="AI161" s="0" t="n">
        <v>40.5464</v>
      </c>
      <c r="AJ161" s="0" t="n">
        <v>22.382</v>
      </c>
      <c r="AK161" s="0" t="n">
        <v>40.573</v>
      </c>
      <c r="AL161" s="0" t="n">
        <v>32.354</v>
      </c>
      <c r="AM161" s="0" t="n">
        <v>32.9808</v>
      </c>
      <c r="AN161" s="0" t="n">
        <v>39.6666</v>
      </c>
      <c r="AO161" s="0" t="n">
        <v>44.559</v>
      </c>
      <c r="AP161" s="0" t="n">
        <v>35.3657</v>
      </c>
      <c r="AQ161" s="0" t="n">
        <v>42.4711</v>
      </c>
      <c r="AR161" s="0" t="n">
        <v>39.0818</v>
      </c>
      <c r="AS161" s="0" t="n">
        <v>33.1414</v>
      </c>
      <c r="AT161" s="0" t="n">
        <v>39.2016</v>
      </c>
      <c r="AU161" s="0" t="n">
        <v>37.1601</v>
      </c>
      <c r="AV161" s="0" t="n">
        <v>16.6388</v>
      </c>
      <c r="AW161" s="0" t="n">
        <v>28.0357</v>
      </c>
      <c r="AX161" s="0" t="n">
        <v>26.8461</v>
      </c>
      <c r="AY161" s="0" t="n">
        <v>19.7802</v>
      </c>
      <c r="AZ161" s="0" t="n">
        <v>17.4176</v>
      </c>
      <c r="BA161" s="0" t="n">
        <v>8.4379</v>
      </c>
      <c r="BB161" s="0" t="n">
        <v>12.7399</v>
      </c>
      <c r="BC161" s="0" t="n">
        <v>7.0007</v>
      </c>
      <c r="BD161" s="0" t="n">
        <v>5.1645</v>
      </c>
      <c r="BE161" s="0" t="n">
        <v>3.9545</v>
      </c>
      <c r="BF161" s="0" t="n">
        <v>2.5101</v>
      </c>
      <c r="BG161" s="0" t="n">
        <v>3.0893</v>
      </c>
      <c r="BH161" s="0" t="n">
        <v>2.248</v>
      </c>
      <c r="BI161" s="0" t="n">
        <v>1.6456</v>
      </c>
      <c r="BJ161" s="0" t="n">
        <v>2.8583</v>
      </c>
      <c r="BK161" s="0" t="n">
        <v>1.5157</v>
      </c>
      <c r="BL161" s="0" t="n">
        <v>1.2339</v>
      </c>
      <c r="BM161" s="0" t="n">
        <v>1.513</v>
      </c>
      <c r="BN161" s="0" t="n">
        <v>0.6149</v>
      </c>
      <c r="BO161" s="0" t="n">
        <v>0.4473</v>
      </c>
      <c r="BP161" s="0" t="n">
        <v>0.6147</v>
      </c>
      <c r="BQ161" s="0" t="n">
        <v>0.3178</v>
      </c>
      <c r="BR161" s="0" t="n">
        <v>0.7978</v>
      </c>
      <c r="BS161" s="0" t="n">
        <v>0.8626</v>
      </c>
      <c r="BT161" s="0" t="n">
        <v>0.7849</v>
      </c>
      <c r="BU161" s="0" t="n">
        <v>0.4964</v>
      </c>
      <c r="BV161" s="0" t="n">
        <v>0.5699</v>
      </c>
      <c r="BW161" s="0" t="n">
        <v>0.2454</v>
      </c>
      <c r="BX161" s="0" t="n">
        <v>0.2179</v>
      </c>
      <c r="BY161" s="0" t="n">
        <v>0.4379</v>
      </c>
      <c r="BZ161" s="0" t="n">
        <v>0.9055</v>
      </c>
      <c r="CA161" s="0" t="n">
        <v>0.1497</v>
      </c>
      <c r="CB161" s="0" t="n">
        <v>0.0788</v>
      </c>
      <c r="CC161" s="0" t="n">
        <v>0.0587</v>
      </c>
      <c r="CD161" s="0" t="n">
        <v>0.0741</v>
      </c>
      <c r="CE161" s="0" t="n">
        <v>0.0756</v>
      </c>
      <c r="CF161" s="0" t="n">
        <v>0.1997</v>
      </c>
      <c r="CG161" s="0" t="n">
        <v>0.1501</v>
      </c>
      <c r="CH161" s="0" t="n">
        <v>0.138</v>
      </c>
      <c r="CI161" s="0" t="n">
        <v>0.1432</v>
      </c>
      <c r="CJ161" s="0" t="n">
        <v>0.3872</v>
      </c>
      <c r="CK161" s="0" t="n">
        <v>0.1407</v>
      </c>
      <c r="CL161" s="0" t="n">
        <v>0.0957</v>
      </c>
      <c r="CM161" s="0" t="n">
        <v>0.9256</v>
      </c>
      <c r="CN161" s="0" t="n">
        <v>0</v>
      </c>
      <c r="CO161" s="0" t="n">
        <v>0.1841</v>
      </c>
      <c r="CP161" s="0" t="n">
        <v>0.5697</v>
      </c>
      <c r="CQ161" s="0" t="n">
        <v>6.785</v>
      </c>
      <c r="CR161" s="0" t="n">
        <v>11.9908</v>
      </c>
      <c r="CS161" s="0" t="n">
        <v>11.6296</v>
      </c>
      <c r="CT161" s="0" t="n">
        <v>18.9471</v>
      </c>
      <c r="CU161" s="0" t="n">
        <v>11.0415</v>
      </c>
      <c r="CV161" s="0" t="n">
        <v>9.6831</v>
      </c>
      <c r="CW161" s="0" t="n">
        <v>8.9626</v>
      </c>
      <c r="CX161" s="0" t="n">
        <v>12.4124</v>
      </c>
      <c r="CY161" s="0" t="n">
        <v>6.3955</v>
      </c>
      <c r="CZ161" s="0" t="n">
        <v>13.4199</v>
      </c>
      <c r="DA161" s="0" t="n">
        <v>11.3589</v>
      </c>
      <c r="DB161" s="0" t="n">
        <v>8.374</v>
      </c>
      <c r="DC161" s="0" t="n">
        <v>11.1324</v>
      </c>
      <c r="DD161" s="0" t="n">
        <v>12.2011</v>
      </c>
      <c r="DE161" s="0" t="n">
        <v>11.0035</v>
      </c>
      <c r="DF161" s="0" t="n">
        <v>9.6694</v>
      </c>
      <c r="DG161" s="0" t="n">
        <v>11.7372</v>
      </c>
      <c r="DH161" s="0" t="n">
        <v>10.098</v>
      </c>
      <c r="DI161" s="0" t="n">
        <v>14.8876</v>
      </c>
      <c r="DJ161" s="0" t="n">
        <v>7.2153</v>
      </c>
      <c r="DK161" s="0" t="n">
        <v>10.0754</v>
      </c>
      <c r="DL161" s="0" t="n">
        <v>15.6807</v>
      </c>
      <c r="DM161" s="0" t="n">
        <v>8.9647</v>
      </c>
      <c r="DN161" s="0" t="n">
        <v>16.9172</v>
      </c>
      <c r="DO161" s="0" t="n">
        <v>14.0357</v>
      </c>
      <c r="DP161" s="0" t="n">
        <v>14.6996</v>
      </c>
      <c r="DQ161" s="0" t="n">
        <v>18.3544</v>
      </c>
      <c r="DR161" s="0" t="n">
        <v>21.4205</v>
      </c>
      <c r="DS161" s="0" t="n">
        <v>17.4839</v>
      </c>
      <c r="DT161" s="0" t="n">
        <v>21.6549</v>
      </c>
      <c r="DU161" s="0" t="n">
        <v>20.5383</v>
      </c>
      <c r="DV161" s="0" t="n">
        <v>17.9207</v>
      </c>
      <c r="DW161" s="0" t="n">
        <v>21.7691</v>
      </c>
      <c r="DX161" s="0" t="n">
        <v>21.3242</v>
      </c>
      <c r="DY161" s="0" t="n">
        <v>9.8249</v>
      </c>
      <c r="DZ161" s="0" t="n">
        <v>16.8992</v>
      </c>
      <c r="EA161" s="0" t="n">
        <v>16.6636</v>
      </c>
      <c r="EB161" s="0" t="n">
        <v>12.6134</v>
      </c>
      <c r="EC161" s="0" t="n">
        <v>11.3862</v>
      </c>
      <c r="ED161" s="0" t="n">
        <v>5.615</v>
      </c>
      <c r="EE161" s="0" t="n">
        <v>8.6879</v>
      </c>
      <c r="EF161" s="0" t="n">
        <v>4.9074</v>
      </c>
      <c r="EG161" s="0" t="n">
        <v>3.6919</v>
      </c>
      <c r="EH161" s="0" t="n">
        <v>2.8811</v>
      </c>
      <c r="EI161" s="0" t="n">
        <v>1.8698</v>
      </c>
      <c r="EJ161" s="0" t="n">
        <v>2.3463</v>
      </c>
      <c r="EK161" s="0" t="n">
        <v>1.7465</v>
      </c>
      <c r="EL161" s="0" t="n">
        <v>1.3039</v>
      </c>
      <c r="EM161" s="0" t="n">
        <v>2.3116</v>
      </c>
      <c r="EN161" s="0" t="n">
        <v>1.2536</v>
      </c>
      <c r="EO161" s="0" t="n">
        <v>1.0377</v>
      </c>
      <c r="EP161" s="0" t="n">
        <v>1.292</v>
      </c>
      <c r="EQ161" s="0" t="n">
        <v>0.5385</v>
      </c>
      <c r="ER161" s="0" t="n">
        <v>0.3964</v>
      </c>
      <c r="ES161" s="0" t="n">
        <v>0.5556</v>
      </c>
      <c r="ET161" s="0" t="n">
        <v>0.2917</v>
      </c>
      <c r="EU161" s="0" t="n">
        <v>0.7454</v>
      </c>
      <c r="EV161" s="0" t="n">
        <v>0.8168</v>
      </c>
      <c r="EW161" s="0" t="n">
        <v>0.758</v>
      </c>
      <c r="EX161" s="0" t="n">
        <v>0.4867</v>
      </c>
      <c r="EY161" s="0" t="n">
        <v>0.5696</v>
      </c>
      <c r="EZ161" s="0" t="n">
        <v>0.2494</v>
      </c>
      <c r="FA161" s="0" t="n">
        <v>0.2237</v>
      </c>
      <c r="FB161" s="0" t="n">
        <v>0.4577</v>
      </c>
      <c r="FC161" s="0" t="n">
        <v>0.9571</v>
      </c>
      <c r="FD161" s="0" t="n">
        <v>0.1608</v>
      </c>
      <c r="FE161" s="0" t="n">
        <v>0.0861</v>
      </c>
      <c r="FF161" s="0" t="n">
        <v>0.0648</v>
      </c>
      <c r="FG161" s="0" t="n">
        <v>0.0836</v>
      </c>
      <c r="FH161" s="0" t="n">
        <v>0.086</v>
      </c>
      <c r="FI161" s="0" t="n">
        <v>0.2307</v>
      </c>
      <c r="FJ161" s="0" t="n">
        <v>0.1755</v>
      </c>
      <c r="FK161" s="0" t="n">
        <v>0.1638</v>
      </c>
      <c r="FL161" s="0" t="n">
        <v>0.1719</v>
      </c>
      <c r="FM161" s="0" t="n">
        <v>0.4718</v>
      </c>
      <c r="FN161" s="0" t="n">
        <v>0.1731</v>
      </c>
      <c r="FO161" s="0" t="n">
        <v>0.1193</v>
      </c>
      <c r="FP161" s="0" t="n">
        <v>1.2937</v>
      </c>
    </row>
    <row r="162" customFormat="false" ht="13.8" hidden="false" customHeight="false" outlineLevel="0" collapsed="false">
      <c r="A162" s="2" t="s">
        <v>483</v>
      </c>
      <c r="B162" s="0" t="s">
        <v>176</v>
      </c>
      <c r="C162" s="0" t="n">
        <v>339</v>
      </c>
      <c r="D162" s="0" t="s">
        <v>484</v>
      </c>
      <c r="G162" s="0" t="n">
        <v>4374.3045</v>
      </c>
      <c r="H162" s="0" t="n">
        <v>276.8796</v>
      </c>
      <c r="I162" s="0" t="n">
        <v>869.8427</v>
      </c>
      <c r="J162" s="0" t="n">
        <v>0.650833333333333</v>
      </c>
      <c r="K162" s="0" t="n">
        <v>0</v>
      </c>
      <c r="L162" s="0" t="n">
        <v>426.3172</v>
      </c>
      <c r="M162" s="0" t="n">
        <v>400.5405</v>
      </c>
      <c r="N162" s="0" t="n">
        <v>553.2726</v>
      </c>
      <c r="O162" s="0" t="n">
        <v>376.8309</v>
      </c>
      <c r="P162" s="0" t="n">
        <v>233.9806</v>
      </c>
      <c r="Q162" s="0" t="n">
        <v>151.5806</v>
      </c>
      <c r="R162" s="0" t="n">
        <v>163.6187</v>
      </c>
      <c r="S162" s="0" t="n">
        <v>101.7299</v>
      </c>
      <c r="T162" s="0" t="n">
        <v>102.317</v>
      </c>
      <c r="U162" s="0" t="n">
        <v>85.6871</v>
      </c>
      <c r="V162" s="0" t="n">
        <v>85.5232</v>
      </c>
      <c r="W162" s="0" t="n">
        <v>83.6553</v>
      </c>
      <c r="X162" s="0" t="n">
        <v>97.576</v>
      </c>
      <c r="Y162" s="0" t="n">
        <v>77.4651</v>
      </c>
      <c r="Z162" s="0" t="n">
        <v>86.76</v>
      </c>
      <c r="AA162" s="0" t="n">
        <v>78.6183</v>
      </c>
      <c r="AB162" s="0" t="n">
        <v>74.7735</v>
      </c>
      <c r="AC162" s="0" t="n">
        <v>73.1317</v>
      </c>
      <c r="AD162" s="0" t="n">
        <v>69.7081</v>
      </c>
      <c r="AE162" s="0" t="n">
        <v>71.672</v>
      </c>
      <c r="AF162" s="0" t="n">
        <v>76.3837</v>
      </c>
      <c r="AG162" s="0" t="n">
        <v>61.8783</v>
      </c>
      <c r="AH162" s="0" t="n">
        <v>62.982</v>
      </c>
      <c r="AI162" s="0" t="n">
        <v>56.1431</v>
      </c>
      <c r="AJ162" s="0" t="n">
        <v>68.0295</v>
      </c>
      <c r="AK162" s="0" t="n">
        <v>86.5336</v>
      </c>
      <c r="AL162" s="0" t="n">
        <v>76.2893</v>
      </c>
      <c r="AM162" s="0" t="n">
        <v>63.9519</v>
      </c>
      <c r="AN162" s="0" t="n">
        <v>59.2583</v>
      </c>
      <c r="AO162" s="0" t="n">
        <v>62.0749</v>
      </c>
      <c r="AP162" s="0" t="n">
        <v>54.2211</v>
      </c>
      <c r="AQ162" s="0" t="n">
        <v>43.5348</v>
      </c>
      <c r="AR162" s="0" t="n">
        <v>41.5308</v>
      </c>
      <c r="AS162" s="0" t="n">
        <v>32.7046</v>
      </c>
      <c r="AT162" s="0" t="n">
        <v>28.181</v>
      </c>
      <c r="AU162" s="0" t="n">
        <v>21.1287</v>
      </c>
      <c r="AV162" s="0" t="n">
        <v>11.9546</v>
      </c>
      <c r="AW162" s="0" t="n">
        <v>10.0109</v>
      </c>
      <c r="AX162" s="0" t="n">
        <v>10.7755</v>
      </c>
      <c r="AY162" s="0" t="n">
        <v>9.1719</v>
      </c>
      <c r="AZ162" s="0" t="n">
        <v>8.0817</v>
      </c>
      <c r="BA162" s="0" t="n">
        <v>5.1222</v>
      </c>
      <c r="BB162" s="0" t="n">
        <v>4.8953</v>
      </c>
      <c r="BC162" s="0" t="n">
        <v>3.913</v>
      </c>
      <c r="BD162" s="0" t="n">
        <v>2.7587</v>
      </c>
      <c r="BE162" s="0" t="n">
        <v>2.8826</v>
      </c>
      <c r="BF162" s="0" t="n">
        <v>1.3665</v>
      </c>
      <c r="BG162" s="0" t="n">
        <v>1.6607</v>
      </c>
      <c r="BH162" s="0" t="n">
        <v>1.2778</v>
      </c>
      <c r="BI162" s="0" t="n">
        <v>0.747</v>
      </c>
      <c r="BJ162" s="0" t="n">
        <v>1.3474</v>
      </c>
      <c r="BK162" s="0" t="n">
        <v>1.3624</v>
      </c>
      <c r="BL162" s="0" t="n">
        <v>0.2624</v>
      </c>
      <c r="BM162" s="0" t="n">
        <v>1.0034</v>
      </c>
      <c r="BN162" s="0" t="n">
        <v>0.5076</v>
      </c>
      <c r="BO162" s="0" t="n">
        <v>0.0861</v>
      </c>
      <c r="BP162" s="0" t="n">
        <v>0.2319</v>
      </c>
      <c r="BQ162" s="0" t="n">
        <v>0.301</v>
      </c>
      <c r="BR162" s="0" t="n">
        <v>0.2039</v>
      </c>
      <c r="BS162" s="0" t="n">
        <v>0.1943</v>
      </c>
      <c r="BT162" s="0" t="n">
        <v>0.1558</v>
      </c>
      <c r="BU162" s="0" t="n">
        <v>0.198</v>
      </c>
      <c r="BV162" s="0" t="n">
        <v>0.1315</v>
      </c>
      <c r="BW162" s="0" t="n">
        <v>0.3173</v>
      </c>
      <c r="BX162" s="0" t="n">
        <v>0.1531</v>
      </c>
      <c r="BY162" s="0" t="n">
        <v>0.2061</v>
      </c>
      <c r="BZ162" s="0" t="n">
        <v>0.0739</v>
      </c>
      <c r="CA162" s="0" t="n">
        <v>0.019</v>
      </c>
      <c r="CB162" s="0" t="n">
        <v>0.075</v>
      </c>
      <c r="CC162" s="0" t="n">
        <v>0.0063</v>
      </c>
      <c r="CD162" s="0" t="n">
        <v>0.0127</v>
      </c>
      <c r="CE162" s="0" t="n">
        <v>0.1193</v>
      </c>
      <c r="CF162" s="0" t="n">
        <v>0.0063</v>
      </c>
      <c r="CG162" s="0" t="n">
        <v>0.0063</v>
      </c>
      <c r="CH162" s="0" t="n">
        <v>0.0127</v>
      </c>
      <c r="CI162" s="0" t="n">
        <v>0.0364</v>
      </c>
      <c r="CJ162" s="0" t="n">
        <v>0.2122</v>
      </c>
      <c r="CK162" s="0" t="n">
        <v>0.009</v>
      </c>
      <c r="CL162" s="0" t="n">
        <v>0</v>
      </c>
      <c r="CM162" s="0" t="n">
        <v>0</v>
      </c>
      <c r="CN162" s="0" t="n">
        <v>0</v>
      </c>
      <c r="CO162" s="0" t="n">
        <v>11.2295</v>
      </c>
      <c r="CP162" s="0" t="n">
        <v>15.4563</v>
      </c>
      <c r="CQ162" s="0" t="n">
        <v>30.3211</v>
      </c>
      <c r="CR162" s="0" t="n">
        <v>26.1426</v>
      </c>
      <c r="CS162" s="0" t="n">
        <v>20.0796</v>
      </c>
      <c r="CT162" s="0" t="n">
        <v>15.4412</v>
      </c>
      <c r="CU162" s="0" t="n">
        <v>19.3081</v>
      </c>
      <c r="CV162" s="0" t="n">
        <v>13.5855</v>
      </c>
      <c r="CW162" s="0" t="n">
        <v>15.2105</v>
      </c>
      <c r="CX162" s="0" t="n">
        <v>14.0792</v>
      </c>
      <c r="CY162" s="0" t="n">
        <v>15.5112</v>
      </c>
      <c r="CZ162" s="0" t="n">
        <v>16.4329</v>
      </c>
      <c r="DA162" s="0" t="n">
        <v>20.6745</v>
      </c>
      <c r="DB162" s="0" t="n">
        <v>17.6429</v>
      </c>
      <c r="DC162" s="0" t="n">
        <v>21.1685</v>
      </c>
      <c r="DD162" s="0" t="n">
        <v>20.3434</v>
      </c>
      <c r="DE162" s="0" t="n">
        <v>20.5186</v>
      </c>
      <c r="DF162" s="0" t="n">
        <v>21.2664</v>
      </c>
      <c r="DG162" s="0" t="n">
        <v>21.3299</v>
      </c>
      <c r="DH162" s="0" t="n">
        <v>23.0824</v>
      </c>
      <c r="DI162" s="0" t="n">
        <v>25.8414</v>
      </c>
      <c r="DJ162" s="0" t="n">
        <v>21.8281</v>
      </c>
      <c r="DK162" s="0" t="n">
        <v>23.2582</v>
      </c>
      <c r="DL162" s="0" t="n">
        <v>21.6505</v>
      </c>
      <c r="DM162" s="0" t="n">
        <v>27.2121</v>
      </c>
      <c r="DN162" s="0" t="n">
        <v>35.9988</v>
      </c>
      <c r="DO162" s="0" t="n">
        <v>32.9903</v>
      </c>
      <c r="DP162" s="0" t="n">
        <v>28.6053</v>
      </c>
      <c r="DQ162" s="0" t="n">
        <v>27.4442</v>
      </c>
      <c r="DR162" s="0" t="n">
        <v>29.7086</v>
      </c>
      <c r="DS162" s="0" t="n">
        <v>26.8159</v>
      </c>
      <c r="DT162" s="0" t="n">
        <v>22.1898</v>
      </c>
      <c r="DU162" s="0" t="n">
        <v>21.8587</v>
      </c>
      <c r="DV162" s="0" t="n">
        <v>17.7009</v>
      </c>
      <c r="DW162" s="0" t="n">
        <v>15.6842</v>
      </c>
      <c r="DX162" s="0" t="n">
        <v>12.1233</v>
      </c>
      <c r="DY162" s="0" t="n">
        <v>7.0286</v>
      </c>
      <c r="DZ162" s="0" t="n">
        <v>6.0496</v>
      </c>
      <c r="EA162" s="0" t="n">
        <v>6.6763</v>
      </c>
      <c r="EB162" s="0" t="n">
        <v>5.8319</v>
      </c>
      <c r="EC162" s="0" t="n">
        <v>5.2862</v>
      </c>
      <c r="ED162" s="0" t="n">
        <v>3.4219</v>
      </c>
      <c r="EE162" s="0" t="n">
        <v>3.3378</v>
      </c>
      <c r="EF162" s="0" t="n">
        <v>2.7367</v>
      </c>
      <c r="EG162" s="0" t="n">
        <v>1.973</v>
      </c>
      <c r="EH162" s="0" t="n">
        <v>2.1051</v>
      </c>
      <c r="EI162" s="0" t="n">
        <v>1.0176</v>
      </c>
      <c r="EJ162" s="0" t="n">
        <v>1.2647</v>
      </c>
      <c r="EK162" s="0" t="n">
        <v>0.9935</v>
      </c>
      <c r="EL162" s="0" t="n">
        <v>0.5928</v>
      </c>
      <c r="EM162" s="0" t="n">
        <v>1.0885</v>
      </c>
      <c r="EN162" s="0" t="n">
        <v>1.1212</v>
      </c>
      <c r="EO162" s="0" t="n">
        <v>0.2207</v>
      </c>
      <c r="EP162" s="0" t="n">
        <v>0.8544</v>
      </c>
      <c r="EQ162" s="0" t="n">
        <v>0.4404</v>
      </c>
      <c r="ER162" s="0" t="n">
        <v>0.0766</v>
      </c>
      <c r="ES162" s="0" t="n">
        <v>0.2156</v>
      </c>
      <c r="ET162" s="0" t="n">
        <v>0.2758</v>
      </c>
      <c r="EU162" s="0" t="n">
        <v>0.1905</v>
      </c>
      <c r="EV162" s="0" t="n">
        <v>0.1848</v>
      </c>
      <c r="EW162" s="0" t="n">
        <v>0.1508</v>
      </c>
      <c r="EX162" s="0" t="n">
        <v>0.1934</v>
      </c>
      <c r="EY162" s="0" t="n">
        <v>0.1314</v>
      </c>
      <c r="EZ162" s="0" t="n">
        <v>0.3215</v>
      </c>
      <c r="FA162" s="0" t="n">
        <v>0.1574</v>
      </c>
      <c r="FB162" s="0" t="n">
        <v>0.2161</v>
      </c>
      <c r="FC162" s="0" t="n">
        <v>0.0786</v>
      </c>
      <c r="FD162" s="0" t="n">
        <v>0.0204</v>
      </c>
      <c r="FE162" s="0" t="n">
        <v>0.0817</v>
      </c>
      <c r="FF162" s="0" t="n">
        <v>0.0071</v>
      </c>
      <c r="FG162" s="0" t="n">
        <v>0.0143</v>
      </c>
      <c r="FH162" s="0" t="n">
        <v>0.1359</v>
      </c>
      <c r="FI162" s="0" t="n">
        <v>0.0073</v>
      </c>
      <c r="FJ162" s="0" t="n">
        <v>0.0075</v>
      </c>
      <c r="FK162" s="0" t="n">
        <v>0.015</v>
      </c>
      <c r="FL162" s="0" t="n">
        <v>0.0437</v>
      </c>
      <c r="FM162" s="0" t="n">
        <v>0.2575</v>
      </c>
      <c r="FN162" s="0" t="n">
        <v>0.011</v>
      </c>
      <c r="FO162" s="0" t="n">
        <v>0</v>
      </c>
      <c r="FP162" s="0" t="n">
        <v>0</v>
      </c>
    </row>
    <row r="163" customFormat="false" ht="13.8" hidden="false" customHeight="false" outlineLevel="0" collapsed="false">
      <c r="A163" s="2" t="s">
        <v>485</v>
      </c>
      <c r="B163" s="0" t="s">
        <v>173</v>
      </c>
      <c r="C163" s="0" t="n">
        <v>188</v>
      </c>
      <c r="D163" s="0" t="s">
        <v>486</v>
      </c>
      <c r="G163" s="0" t="n">
        <v>2774.4622</v>
      </c>
      <c r="H163" s="0" t="n">
        <v>191.0874</v>
      </c>
      <c r="I163" s="0" t="n">
        <v>600.3187</v>
      </c>
      <c r="J163" s="0" t="n">
        <v>0.690366666666667</v>
      </c>
      <c r="K163" s="0" t="n">
        <v>0</v>
      </c>
      <c r="L163" s="0" t="n">
        <v>247.0004</v>
      </c>
      <c r="M163" s="0" t="n">
        <v>235.0327</v>
      </c>
      <c r="N163" s="0" t="n">
        <v>365.7696</v>
      </c>
      <c r="O163" s="0" t="n">
        <v>273.7213</v>
      </c>
      <c r="P163" s="0" t="n">
        <v>201.326</v>
      </c>
      <c r="Q163" s="0" t="n">
        <v>130.121</v>
      </c>
      <c r="R163" s="0" t="n">
        <v>119.0061</v>
      </c>
      <c r="S163" s="0" t="n">
        <v>78.109</v>
      </c>
      <c r="T163" s="0" t="n">
        <v>74.0817</v>
      </c>
      <c r="U163" s="0" t="n">
        <v>61.9013</v>
      </c>
      <c r="V163" s="0" t="n">
        <v>49.0279</v>
      </c>
      <c r="W163" s="0" t="n">
        <v>45.5678</v>
      </c>
      <c r="X163" s="0" t="n">
        <v>44.4346</v>
      </c>
      <c r="Y163" s="0" t="n">
        <v>35.5442</v>
      </c>
      <c r="Z163" s="0" t="n">
        <v>35.8781</v>
      </c>
      <c r="AA163" s="0" t="n">
        <v>30.0805</v>
      </c>
      <c r="AB163" s="0" t="n">
        <v>26.6367</v>
      </c>
      <c r="AC163" s="0" t="n">
        <v>27.6423</v>
      </c>
      <c r="AD163" s="0" t="n">
        <v>35.8736</v>
      </c>
      <c r="AE163" s="0" t="n">
        <v>30.2113</v>
      </c>
      <c r="AF163" s="0" t="n">
        <v>35.0809</v>
      </c>
      <c r="AG163" s="0" t="n">
        <v>30.7722</v>
      </c>
      <c r="AH163" s="0" t="n">
        <v>25.0556</v>
      </c>
      <c r="AI163" s="0" t="n">
        <v>24.3068</v>
      </c>
      <c r="AJ163" s="0" t="n">
        <v>23.2884</v>
      </c>
      <c r="AK163" s="0" t="n">
        <v>27.1888</v>
      </c>
      <c r="AL163" s="0" t="n">
        <v>27.891</v>
      </c>
      <c r="AM163" s="0" t="n">
        <v>27.1868</v>
      </c>
      <c r="AN163" s="0" t="n">
        <v>27.5852</v>
      </c>
      <c r="AO163" s="0" t="n">
        <v>28.5793</v>
      </c>
      <c r="AP163" s="0" t="n">
        <v>30.7138</v>
      </c>
      <c r="AQ163" s="0" t="n">
        <v>31.3909</v>
      </c>
      <c r="AR163" s="0" t="n">
        <v>31.8688</v>
      </c>
      <c r="AS163" s="0" t="n">
        <v>24.4409</v>
      </c>
      <c r="AT163" s="0" t="n">
        <v>31.6833</v>
      </c>
      <c r="AU163" s="0" t="n">
        <v>20.6524</v>
      </c>
      <c r="AV163" s="0" t="n">
        <v>17.5249</v>
      </c>
      <c r="AW163" s="0" t="n">
        <v>15.7801</v>
      </c>
      <c r="AX163" s="0" t="n">
        <v>15.2682</v>
      </c>
      <c r="AY163" s="0" t="n">
        <v>13.5322</v>
      </c>
      <c r="AZ163" s="0" t="n">
        <v>13.4345</v>
      </c>
      <c r="BA163" s="0" t="n">
        <v>13.2381</v>
      </c>
      <c r="BB163" s="0" t="n">
        <v>8.7448</v>
      </c>
      <c r="BC163" s="0" t="n">
        <v>7.9187</v>
      </c>
      <c r="BD163" s="0" t="n">
        <v>6.97</v>
      </c>
      <c r="BE163" s="0" t="n">
        <v>5.272</v>
      </c>
      <c r="BF163" s="0" t="n">
        <v>5.2301</v>
      </c>
      <c r="BG163" s="0" t="n">
        <v>3.9675</v>
      </c>
      <c r="BH163" s="0" t="n">
        <v>5.1715</v>
      </c>
      <c r="BI163" s="0" t="n">
        <v>3.9701</v>
      </c>
      <c r="BJ163" s="0" t="n">
        <v>3.9906</v>
      </c>
      <c r="BK163" s="0" t="n">
        <v>3.7853</v>
      </c>
      <c r="BL163" s="0" t="n">
        <v>2.5068</v>
      </c>
      <c r="BM163" s="0" t="n">
        <v>2.3321</v>
      </c>
      <c r="BN163" s="0" t="n">
        <v>3.2202</v>
      </c>
      <c r="BO163" s="0" t="n">
        <v>2.3006</v>
      </c>
      <c r="BP163" s="0" t="n">
        <v>2.3891</v>
      </c>
      <c r="BQ163" s="0" t="n">
        <v>1.9828</v>
      </c>
      <c r="BR163" s="0" t="n">
        <v>1.8542</v>
      </c>
      <c r="BS163" s="0" t="n">
        <v>1.2105</v>
      </c>
      <c r="BT163" s="0" t="n">
        <v>1.5743</v>
      </c>
      <c r="BU163" s="0" t="n">
        <v>0.5991</v>
      </c>
      <c r="BV163" s="0" t="n">
        <v>2.0282</v>
      </c>
      <c r="BW163" s="0" t="n">
        <v>1.171</v>
      </c>
      <c r="BX163" s="0" t="n">
        <v>0.8386</v>
      </c>
      <c r="BY163" s="0" t="n">
        <v>0.574</v>
      </c>
      <c r="BZ163" s="0" t="n">
        <v>0.8815</v>
      </c>
      <c r="CA163" s="0" t="n">
        <v>0.7134</v>
      </c>
      <c r="CB163" s="0" t="n">
        <v>0.8582</v>
      </c>
      <c r="CC163" s="0" t="n">
        <v>0.9448</v>
      </c>
      <c r="CD163" s="0" t="n">
        <v>0.5388</v>
      </c>
      <c r="CE163" s="0" t="n">
        <v>0.4984</v>
      </c>
      <c r="CF163" s="0" t="n">
        <v>0.6733</v>
      </c>
      <c r="CG163" s="0" t="n">
        <v>0.6383</v>
      </c>
      <c r="CH163" s="0" t="n">
        <v>0.2576</v>
      </c>
      <c r="CI163" s="0" t="n">
        <v>0.4892</v>
      </c>
      <c r="CJ163" s="0" t="n">
        <v>0.7228</v>
      </c>
      <c r="CK163" s="0" t="n">
        <v>0.1307</v>
      </c>
      <c r="CL163" s="0" t="n">
        <v>0.703</v>
      </c>
      <c r="CM163" s="0" t="n">
        <v>1.6347</v>
      </c>
      <c r="CN163" s="0" t="n">
        <v>0</v>
      </c>
      <c r="CO163" s="0" t="n">
        <v>6.4742</v>
      </c>
      <c r="CP163" s="0" t="n">
        <v>9.1908</v>
      </c>
      <c r="CQ163" s="0" t="n">
        <v>20.1197</v>
      </c>
      <c r="CR163" s="0" t="n">
        <v>19.0399</v>
      </c>
      <c r="CS163" s="0" t="n">
        <v>17.3184</v>
      </c>
      <c r="CT163" s="0" t="n">
        <v>13.229</v>
      </c>
      <c r="CU163" s="0" t="n">
        <v>14.0176</v>
      </c>
      <c r="CV163" s="0" t="n">
        <v>10.4243</v>
      </c>
      <c r="CW163" s="0" t="n">
        <v>11.0168</v>
      </c>
      <c r="CX163" s="0" t="n">
        <v>10.1852</v>
      </c>
      <c r="CY163" s="0" t="n">
        <v>8.8829</v>
      </c>
      <c r="CZ163" s="0" t="n">
        <v>8.9483</v>
      </c>
      <c r="DA163" s="0" t="n">
        <v>9.4186</v>
      </c>
      <c r="DB163" s="0" t="n">
        <v>8.0776</v>
      </c>
      <c r="DC163" s="0" t="n">
        <v>8.7498</v>
      </c>
      <c r="DD163" s="0" t="n">
        <v>7.7857</v>
      </c>
      <c r="DE163" s="0" t="n">
        <v>7.3082</v>
      </c>
      <c r="DF163" s="0" t="n">
        <v>8.0466</v>
      </c>
      <c r="DG163" s="0" t="n">
        <v>10.9744</v>
      </c>
      <c r="DH163" s="0" t="n">
        <v>9.7237</v>
      </c>
      <c r="DI163" s="0" t="n">
        <v>11.8668</v>
      </c>
      <c r="DJ163" s="0" t="n">
        <v>10.8614</v>
      </c>
      <c r="DK163" s="0" t="n">
        <v>9.239</v>
      </c>
      <c r="DL163" s="0" t="n">
        <v>9.3567</v>
      </c>
      <c r="DM163" s="0" t="n">
        <v>9.3254</v>
      </c>
      <c r="DN163" s="0" t="n">
        <v>11.3099</v>
      </c>
      <c r="DO163" s="0" t="n">
        <v>12.0751</v>
      </c>
      <c r="DP163" s="0" t="n">
        <v>12.1587</v>
      </c>
      <c r="DQ163" s="0" t="n">
        <v>12.7928</v>
      </c>
      <c r="DR163" s="0" t="n">
        <v>13.6963</v>
      </c>
      <c r="DS163" s="0" t="n">
        <v>15.228</v>
      </c>
      <c r="DT163" s="0" t="n">
        <v>16.0174</v>
      </c>
      <c r="DU163" s="0" t="n">
        <v>16.7815</v>
      </c>
      <c r="DV163" s="0" t="n">
        <v>13.2429</v>
      </c>
      <c r="DW163" s="0" t="n">
        <v>17.6718</v>
      </c>
      <c r="DX163" s="0" t="n">
        <v>11.8528</v>
      </c>
      <c r="DY163" s="0" t="n">
        <v>10.3251</v>
      </c>
      <c r="DZ163" s="0" t="n">
        <v>9.539</v>
      </c>
      <c r="EA163" s="0" t="n">
        <v>9.464</v>
      </c>
      <c r="EB163" s="0" t="n">
        <v>8.619</v>
      </c>
      <c r="EC163" s="0" t="n">
        <v>8.7472</v>
      </c>
      <c r="ED163" s="0" t="n">
        <v>8.8307</v>
      </c>
      <c r="EE163" s="0" t="n">
        <v>5.9673</v>
      </c>
      <c r="EF163" s="0" t="n">
        <v>5.5355</v>
      </c>
      <c r="EG163" s="0" t="n">
        <v>4.975</v>
      </c>
      <c r="EH163" s="0" t="n">
        <v>3.8543</v>
      </c>
      <c r="EI163" s="0" t="n">
        <v>3.9009</v>
      </c>
      <c r="EJ163" s="0" t="n">
        <v>3.0269</v>
      </c>
      <c r="EK163" s="0" t="n">
        <v>4.0232</v>
      </c>
      <c r="EL163" s="0" t="n">
        <v>3.1562</v>
      </c>
      <c r="EM163" s="0" t="n">
        <v>3.2268</v>
      </c>
      <c r="EN163" s="0" t="n">
        <v>3.1197</v>
      </c>
      <c r="EO163" s="0" t="n">
        <v>2.1023</v>
      </c>
      <c r="EP163" s="0" t="n">
        <v>1.9938</v>
      </c>
      <c r="EQ163" s="0" t="n">
        <v>2.8069</v>
      </c>
      <c r="ER163" s="0" t="n">
        <v>2.0423</v>
      </c>
      <c r="ES163" s="0" t="n">
        <v>2.1563</v>
      </c>
      <c r="ET163" s="0" t="n">
        <v>1.8174</v>
      </c>
      <c r="EU163" s="0" t="n">
        <v>1.7353</v>
      </c>
      <c r="EV163" s="0" t="n">
        <v>1.1494</v>
      </c>
      <c r="EW163" s="0" t="n">
        <v>1.5197</v>
      </c>
      <c r="EX163" s="0" t="n">
        <v>0.5866</v>
      </c>
      <c r="EY163" s="0" t="n">
        <v>2.0162</v>
      </c>
      <c r="EZ163" s="0" t="n">
        <v>1.1859</v>
      </c>
      <c r="FA163" s="0" t="n">
        <v>0.8629</v>
      </c>
      <c r="FB163" s="0" t="n">
        <v>0.5966</v>
      </c>
      <c r="FC163" s="0" t="n">
        <v>0.9332</v>
      </c>
      <c r="FD163" s="0" t="n">
        <v>0.7661</v>
      </c>
      <c r="FE163" s="0" t="n">
        <v>0.939</v>
      </c>
      <c r="FF163" s="0" t="n">
        <v>1.0429</v>
      </c>
      <c r="FG163" s="0" t="n">
        <v>0.605</v>
      </c>
      <c r="FH163" s="0" t="n">
        <v>0.5673</v>
      </c>
      <c r="FI163" s="0" t="n">
        <v>0.7758</v>
      </c>
      <c r="FJ163" s="0" t="n">
        <v>0.7471</v>
      </c>
      <c r="FK163" s="0" t="n">
        <v>0.3049</v>
      </c>
      <c r="FL163" s="0" t="n">
        <v>0.5883</v>
      </c>
      <c r="FM163" s="0" t="n">
        <v>0.8772</v>
      </c>
      <c r="FN163" s="0" t="n">
        <v>0.1615</v>
      </c>
      <c r="FO163" s="0" t="n">
        <v>0.8758</v>
      </c>
      <c r="FP163" s="0" t="n">
        <v>2.1728</v>
      </c>
    </row>
    <row r="164" customFormat="false" ht="13.8" hidden="false" customHeight="false" outlineLevel="0" collapsed="false">
      <c r="A164" s="2" t="s">
        <v>487</v>
      </c>
      <c r="B164" s="0" t="s">
        <v>176</v>
      </c>
      <c r="C164" s="0" t="n">
        <v>319</v>
      </c>
      <c r="D164" s="0" t="s">
        <v>488</v>
      </c>
      <c r="F164" s="0" t="n">
        <v>2.1012</v>
      </c>
      <c r="G164" s="0" t="n">
        <v>1477.1944</v>
      </c>
      <c r="H164" s="0" t="n">
        <v>129.8334</v>
      </c>
      <c r="I164" s="0" t="n">
        <v>407.8837</v>
      </c>
      <c r="J164" s="0" t="n">
        <v>0.748333333333334</v>
      </c>
      <c r="K164" s="0" t="n">
        <v>0</v>
      </c>
      <c r="L164" s="0" t="n">
        <v>15.3004</v>
      </c>
      <c r="M164" s="0" t="n">
        <v>13.4448</v>
      </c>
      <c r="N164" s="0" t="n">
        <v>85.9654</v>
      </c>
      <c r="O164" s="0" t="n">
        <v>110.3358</v>
      </c>
      <c r="P164" s="0" t="n">
        <v>108.1165</v>
      </c>
      <c r="Q164" s="0" t="n">
        <v>205.4446</v>
      </c>
      <c r="R164" s="0" t="n">
        <v>94.6818</v>
      </c>
      <c r="S164" s="0" t="n">
        <v>74.2845</v>
      </c>
      <c r="T164" s="0" t="n">
        <v>59.1809</v>
      </c>
      <c r="U164" s="0" t="n">
        <v>71.156</v>
      </c>
      <c r="V164" s="0" t="n">
        <v>31.5091</v>
      </c>
      <c r="W164" s="0" t="n">
        <v>40.3111</v>
      </c>
      <c r="X164" s="0" t="n">
        <v>23.2631</v>
      </c>
      <c r="Y164" s="0" t="n">
        <v>17.2203</v>
      </c>
      <c r="Z164" s="0" t="n">
        <v>22.924</v>
      </c>
      <c r="AA164" s="0" t="n">
        <v>21.0261</v>
      </c>
      <c r="AB164" s="0" t="n">
        <v>19.0533</v>
      </c>
      <c r="AC164" s="0" t="n">
        <v>11.2258</v>
      </c>
      <c r="AD164" s="0" t="n">
        <v>13.7506</v>
      </c>
      <c r="AE164" s="0" t="n">
        <v>9.6294</v>
      </c>
      <c r="AF164" s="0" t="n">
        <v>12.1332</v>
      </c>
      <c r="AG164" s="0" t="n">
        <v>5.456</v>
      </c>
      <c r="AH164" s="0" t="n">
        <v>8.7126</v>
      </c>
      <c r="AI164" s="0" t="n">
        <v>13.7876</v>
      </c>
      <c r="AJ164" s="0" t="n">
        <v>14.1297</v>
      </c>
      <c r="AK164" s="0" t="n">
        <v>19.8411</v>
      </c>
      <c r="AL164" s="0" t="n">
        <v>21.5128</v>
      </c>
      <c r="AM164" s="0" t="n">
        <v>17.3093</v>
      </c>
      <c r="AN164" s="0" t="n">
        <v>23.2031</v>
      </c>
      <c r="AO164" s="0" t="n">
        <v>30.4405</v>
      </c>
      <c r="AP164" s="0" t="n">
        <v>24.6652</v>
      </c>
      <c r="AQ164" s="0" t="n">
        <v>22.8655</v>
      </c>
      <c r="AR164" s="0" t="n">
        <v>30.9985</v>
      </c>
      <c r="AS164" s="0" t="n">
        <v>30.3187</v>
      </c>
      <c r="AT164" s="0" t="n">
        <v>30.061</v>
      </c>
      <c r="AU164" s="0" t="n">
        <v>28.0325</v>
      </c>
      <c r="AV164" s="0" t="n">
        <v>13.4842</v>
      </c>
      <c r="AW164" s="0" t="n">
        <v>15.4963</v>
      </c>
      <c r="AX164" s="0" t="n">
        <v>15.0248</v>
      </c>
      <c r="AY164" s="0" t="n">
        <v>11.1805</v>
      </c>
      <c r="AZ164" s="0" t="n">
        <v>7.6905</v>
      </c>
      <c r="BA164" s="0" t="n">
        <v>5.1345</v>
      </c>
      <c r="BB164" s="0" t="n">
        <v>7.5718</v>
      </c>
      <c r="BC164" s="0" t="n">
        <v>4.8747</v>
      </c>
      <c r="BD164" s="0" t="n">
        <v>3.1132</v>
      </c>
      <c r="BE164" s="0" t="n">
        <v>2.0049</v>
      </c>
      <c r="BF164" s="0" t="n">
        <v>1.0244</v>
      </c>
      <c r="BG164" s="0" t="n">
        <v>1.5854</v>
      </c>
      <c r="BH164" s="0" t="n">
        <v>1.1981</v>
      </c>
      <c r="BI164" s="0" t="n">
        <v>1.0962</v>
      </c>
      <c r="BJ164" s="0" t="n">
        <v>0.8208</v>
      </c>
      <c r="BK164" s="0" t="n">
        <v>1.2397</v>
      </c>
      <c r="BL164" s="0" t="n">
        <v>0.641</v>
      </c>
      <c r="BM164" s="0" t="n">
        <v>0.3327</v>
      </c>
      <c r="BN164" s="0" t="n">
        <v>0.5757</v>
      </c>
      <c r="BO164" s="0" t="n">
        <v>0.4701</v>
      </c>
      <c r="BP164" s="0" t="n">
        <v>0.3136</v>
      </c>
      <c r="BQ164" s="0" t="n">
        <v>0.055</v>
      </c>
      <c r="BR164" s="0" t="n">
        <v>0.2957</v>
      </c>
      <c r="BS164" s="0" t="n">
        <v>0.0063</v>
      </c>
      <c r="BT164" s="0" t="n">
        <v>0.0159</v>
      </c>
      <c r="BU164" s="0" t="n">
        <v>0.009</v>
      </c>
      <c r="BV164" s="0" t="n">
        <v>0.0338</v>
      </c>
      <c r="BW164" s="0" t="n">
        <v>0.0248</v>
      </c>
      <c r="BX164" s="0" t="n">
        <v>0.0227</v>
      </c>
      <c r="BY164" s="0" t="n">
        <v>0.009</v>
      </c>
      <c r="BZ164" s="0" t="n">
        <v>0.009</v>
      </c>
      <c r="CA164" s="0" t="n">
        <v>0.0159</v>
      </c>
      <c r="CB164" s="0" t="n">
        <v>0.009</v>
      </c>
      <c r="CC164" s="0" t="n">
        <v>0.0069</v>
      </c>
      <c r="CD164" s="0" t="n">
        <v>0.0338</v>
      </c>
      <c r="CE164" s="0" t="n">
        <v>0.2395</v>
      </c>
      <c r="CF164" s="0" t="n">
        <v>0.0338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n">
        <v>0</v>
      </c>
      <c r="CO164" s="0" t="n">
        <v>0.3881</v>
      </c>
      <c r="CP164" s="0" t="n">
        <v>0.5354</v>
      </c>
      <c r="CQ164" s="0" t="n">
        <v>4.817</v>
      </c>
      <c r="CR164" s="0" t="n">
        <v>7.841</v>
      </c>
      <c r="CS164" s="0" t="n">
        <v>9.0831</v>
      </c>
      <c r="CT164" s="0" t="n">
        <v>20.6685</v>
      </c>
      <c r="CU164" s="0" t="n">
        <v>11.2393</v>
      </c>
      <c r="CV164" s="0" t="n">
        <v>9.9056</v>
      </c>
      <c r="CW164" s="0" t="n">
        <v>8.6811</v>
      </c>
      <c r="CX164" s="0" t="n">
        <v>11.7801</v>
      </c>
      <c r="CY164" s="0" t="n">
        <v>5.721</v>
      </c>
      <c r="CZ164" s="0" t="n">
        <v>7.9002</v>
      </c>
      <c r="DA164" s="0" t="n">
        <v>5.0223</v>
      </c>
      <c r="DB164" s="0" t="n">
        <v>3.9045</v>
      </c>
      <c r="DC164" s="0" t="n">
        <v>5.5621</v>
      </c>
      <c r="DD164" s="0" t="n">
        <v>5.4351</v>
      </c>
      <c r="DE164" s="0" t="n">
        <v>5.2599</v>
      </c>
      <c r="DF164" s="0" t="n">
        <v>3.2719</v>
      </c>
      <c r="DG164" s="0" t="n">
        <v>4.1983</v>
      </c>
      <c r="DH164" s="0" t="n">
        <v>3.0889</v>
      </c>
      <c r="DI164" s="0" t="n">
        <v>4.116</v>
      </c>
      <c r="DJ164" s="0" t="n">
        <v>1.9492</v>
      </c>
      <c r="DK164" s="0" t="n">
        <v>3.2017</v>
      </c>
      <c r="DL164" s="0" t="n">
        <v>5.3225</v>
      </c>
      <c r="DM164" s="0" t="n">
        <v>5.6694</v>
      </c>
      <c r="DN164" s="0" t="n">
        <v>8.2778</v>
      </c>
      <c r="DO164" s="0" t="n">
        <v>9.3286</v>
      </c>
      <c r="DP164" s="0" t="n">
        <v>7.7409</v>
      </c>
      <c r="DQ164" s="0" t="n">
        <v>10.7228</v>
      </c>
      <c r="DR164" s="0" t="n">
        <v>14.6288</v>
      </c>
      <c r="DS164" s="0" t="n">
        <v>12.2371</v>
      </c>
      <c r="DT164" s="0" t="n">
        <v>11.6577</v>
      </c>
      <c r="DU164" s="0" t="n">
        <v>16.257</v>
      </c>
      <c r="DV164" s="0" t="n">
        <v>16.3864</v>
      </c>
      <c r="DW164" s="0" t="n">
        <v>16.7194</v>
      </c>
      <c r="DX164" s="0" t="n">
        <v>16.1102</v>
      </c>
      <c r="DY164" s="0" t="n">
        <v>7.9604</v>
      </c>
      <c r="DZ164" s="0" t="n">
        <v>9.3251</v>
      </c>
      <c r="EA164" s="0" t="n">
        <v>9.3476</v>
      </c>
      <c r="EB164" s="0" t="n">
        <v>7.1402</v>
      </c>
      <c r="EC164" s="0" t="n">
        <v>5.0306</v>
      </c>
      <c r="ED164" s="0" t="n">
        <v>3.4106</v>
      </c>
      <c r="EE164" s="0" t="n">
        <v>5.1542</v>
      </c>
      <c r="EF164" s="0" t="n">
        <v>3.4189</v>
      </c>
      <c r="EG164" s="0" t="n">
        <v>2.233</v>
      </c>
      <c r="EH164" s="0" t="n">
        <v>1.4641</v>
      </c>
      <c r="EI164" s="0" t="n">
        <v>0.7626</v>
      </c>
      <c r="EJ164" s="0" t="n">
        <v>1.2038</v>
      </c>
      <c r="EK164" s="0" t="n">
        <v>0.9324</v>
      </c>
      <c r="EL164" s="0" t="n">
        <v>0.8715</v>
      </c>
      <c r="EM164" s="0" t="n">
        <v>0.6635</v>
      </c>
      <c r="EN164" s="0" t="n">
        <v>1.025</v>
      </c>
      <c r="EO164" s="0" t="n">
        <v>0.5389</v>
      </c>
      <c r="EP164" s="0" t="n">
        <v>0.2844</v>
      </c>
      <c r="EQ164" s="0" t="n">
        <v>0.5023</v>
      </c>
      <c r="ER164" s="0" t="n">
        <v>0.4146</v>
      </c>
      <c r="ES164" s="0" t="n">
        <v>0.284</v>
      </c>
      <c r="ET164" s="0" t="n">
        <v>0.0504</v>
      </c>
      <c r="EU164" s="0" t="n">
        <v>0.276</v>
      </c>
      <c r="EV164" s="0" t="n">
        <v>0.0061</v>
      </c>
      <c r="EW164" s="0" t="n">
        <v>0.0153</v>
      </c>
      <c r="EX164" s="0" t="n">
        <v>0.0088</v>
      </c>
      <c r="EY164" s="0" t="n">
        <v>0.0337</v>
      </c>
      <c r="EZ164" s="0" t="n">
        <v>0.0251</v>
      </c>
      <c r="FA164" s="0" t="n">
        <v>0.0233</v>
      </c>
      <c r="FB164" s="0" t="n">
        <v>0.0094</v>
      </c>
      <c r="FC164" s="0" t="n">
        <v>0.0095</v>
      </c>
      <c r="FD164" s="0" t="n">
        <v>0.0171</v>
      </c>
      <c r="FE164" s="0" t="n">
        <v>0.0098</v>
      </c>
      <c r="FF164" s="0" t="n">
        <v>0.0076</v>
      </c>
      <c r="FG164" s="0" t="n">
        <v>0.038</v>
      </c>
      <c r="FH164" s="0" t="n">
        <v>0.2722</v>
      </c>
      <c r="FI164" s="0" t="n">
        <v>0.0391</v>
      </c>
      <c r="FJ164" s="0" t="n">
        <v>0</v>
      </c>
      <c r="FK164" s="0" t="n">
        <v>0</v>
      </c>
      <c r="FL164" s="0" t="n">
        <v>0</v>
      </c>
      <c r="FM164" s="0" t="n">
        <v>0</v>
      </c>
      <c r="FN164" s="0" t="n">
        <v>0</v>
      </c>
      <c r="FO164" s="0" t="n">
        <v>0</v>
      </c>
      <c r="FP164" s="0" t="n">
        <v>0</v>
      </c>
    </row>
    <row r="165" customFormat="false" ht="13.8" hidden="false" customHeight="false" outlineLevel="0" collapsed="false">
      <c r="A165" s="4" t="s">
        <v>489</v>
      </c>
      <c r="B165" s="0" t="e">
        <f aca="false">#N/A</f>
        <v>#N/A</v>
      </c>
      <c r="C165" s="0" t="e">
        <f aca="false">#N/A</f>
        <v>#N/A</v>
      </c>
      <c r="D165" s="0" t="e">
        <f aca="false">#N/A</f>
        <v>#N/A</v>
      </c>
      <c r="G165" s="0" t="n">
        <v>2519.2341</v>
      </c>
      <c r="H165" s="0" t="n">
        <v>164.8197</v>
      </c>
      <c r="I165" s="0" t="n">
        <v>517.7965</v>
      </c>
      <c r="J165" s="0" t="n">
        <v>0.6265</v>
      </c>
      <c r="K165" s="0" t="n">
        <v>0</v>
      </c>
      <c r="L165" s="0" t="n">
        <v>162.4154</v>
      </c>
      <c r="M165" s="0" t="n">
        <v>153.3956</v>
      </c>
      <c r="N165" s="0" t="n">
        <v>282.0645</v>
      </c>
      <c r="O165" s="0" t="n">
        <v>280.9257</v>
      </c>
      <c r="P165" s="0" t="n">
        <v>199.8282</v>
      </c>
      <c r="Q165" s="0" t="n">
        <v>125.7125</v>
      </c>
      <c r="R165" s="0" t="n">
        <v>117.4327</v>
      </c>
      <c r="S165" s="0" t="n">
        <v>71.0473</v>
      </c>
      <c r="T165" s="0" t="n">
        <v>70.5409</v>
      </c>
      <c r="U165" s="0" t="n">
        <v>70.1168</v>
      </c>
      <c r="V165" s="0" t="n">
        <v>61.6327</v>
      </c>
      <c r="W165" s="0" t="n">
        <v>54.2797</v>
      </c>
      <c r="X165" s="0" t="n">
        <v>47.9739</v>
      </c>
      <c r="Y165" s="0" t="n">
        <v>42.1555</v>
      </c>
      <c r="Z165" s="0" t="n">
        <v>28.7763</v>
      </c>
      <c r="AA165" s="0" t="n">
        <v>24.1525</v>
      </c>
      <c r="AB165" s="0" t="n">
        <v>22.089</v>
      </c>
      <c r="AC165" s="0" t="n">
        <v>30.159</v>
      </c>
      <c r="AD165" s="0" t="n">
        <v>29.9913</v>
      </c>
      <c r="AE165" s="0" t="n">
        <v>37.5691</v>
      </c>
      <c r="AF165" s="0" t="n">
        <v>40.2827</v>
      </c>
      <c r="AG165" s="0" t="n">
        <v>37.3462</v>
      </c>
      <c r="AH165" s="0" t="n">
        <v>38.6347</v>
      </c>
      <c r="AI165" s="0" t="n">
        <v>34.4173</v>
      </c>
      <c r="AJ165" s="0" t="n">
        <v>42.4197</v>
      </c>
      <c r="AK165" s="0" t="n">
        <v>52.0673</v>
      </c>
      <c r="AL165" s="0" t="n">
        <v>36.6392</v>
      </c>
      <c r="AM165" s="0" t="n">
        <v>30.2503</v>
      </c>
      <c r="AN165" s="0" t="n">
        <v>31.6702</v>
      </c>
      <c r="AO165" s="0" t="n">
        <v>30.9109</v>
      </c>
      <c r="AP165" s="0" t="n">
        <v>32.7755</v>
      </c>
      <c r="AQ165" s="0" t="n">
        <v>27.6421</v>
      </c>
      <c r="AR165" s="0" t="n">
        <v>26.6678</v>
      </c>
      <c r="AS165" s="0" t="n">
        <v>19.701</v>
      </c>
      <c r="AT165" s="0" t="n">
        <v>23.7051</v>
      </c>
      <c r="AU165" s="0" t="n">
        <v>19.8773</v>
      </c>
      <c r="AV165" s="0" t="n">
        <v>14.3447</v>
      </c>
      <c r="AW165" s="0" t="n">
        <v>12.8499</v>
      </c>
      <c r="AX165" s="0" t="n">
        <v>13.2762</v>
      </c>
      <c r="AY165" s="0" t="n">
        <v>9.6391</v>
      </c>
      <c r="AZ165" s="0" t="n">
        <v>5.1545</v>
      </c>
      <c r="BA165" s="0" t="n">
        <v>6.084</v>
      </c>
      <c r="BB165" s="0" t="n">
        <v>3.8937</v>
      </c>
      <c r="BC165" s="0" t="n">
        <v>4.8289</v>
      </c>
      <c r="BD165" s="0" t="n">
        <v>2.8974</v>
      </c>
      <c r="BE165" s="0" t="n">
        <v>1.2971</v>
      </c>
      <c r="BF165" s="0" t="n">
        <v>1.1841</v>
      </c>
      <c r="BG165" s="0" t="n">
        <v>1.0893</v>
      </c>
      <c r="BH165" s="0" t="n">
        <v>0.4119</v>
      </c>
      <c r="BI165" s="0" t="n">
        <v>0.5936</v>
      </c>
      <c r="BJ165" s="0" t="n">
        <v>0.3975</v>
      </c>
      <c r="BK165" s="0" t="n">
        <v>0.9703</v>
      </c>
      <c r="BL165" s="0" t="n">
        <v>0.8962</v>
      </c>
      <c r="BM165" s="0" t="n">
        <v>0.1103</v>
      </c>
      <c r="BN165" s="0" t="n">
        <v>0.0839</v>
      </c>
      <c r="BO165" s="0" t="n">
        <v>0.0676</v>
      </c>
      <c r="BP165" s="0" t="n">
        <v>0.058</v>
      </c>
      <c r="BQ165" s="0" t="n">
        <v>0.2235</v>
      </c>
      <c r="BR165" s="0" t="n">
        <v>0.1679</v>
      </c>
      <c r="BS165" s="0" t="n">
        <v>0.0069</v>
      </c>
      <c r="BT165" s="0" t="n">
        <v>0.1802</v>
      </c>
      <c r="BU165" s="0" t="n">
        <v>0</v>
      </c>
      <c r="BV165" s="0" t="n">
        <v>0.1649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0.0644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0</v>
      </c>
      <c r="CN165" s="0" t="n">
        <v>0</v>
      </c>
      <c r="CO165" s="0" t="n">
        <v>4.2414</v>
      </c>
      <c r="CP165" s="0" t="n">
        <v>5.9332</v>
      </c>
      <c r="CQ165" s="0" t="n">
        <v>15.6644</v>
      </c>
      <c r="CR165" s="0" t="n">
        <v>19.5596</v>
      </c>
      <c r="CS165" s="0" t="n">
        <v>17.1495</v>
      </c>
      <c r="CT165" s="0" t="n">
        <v>12.7989</v>
      </c>
      <c r="CU165" s="0" t="n">
        <v>13.8316</v>
      </c>
      <c r="CV165" s="0" t="n">
        <v>9.4872</v>
      </c>
      <c r="CW165" s="0" t="n">
        <v>10.5033</v>
      </c>
      <c r="CX165" s="0" t="n">
        <v>11.5435</v>
      </c>
      <c r="CY165" s="0" t="n">
        <v>11.147</v>
      </c>
      <c r="CZ165" s="0" t="n">
        <v>10.6303</v>
      </c>
      <c r="DA165" s="0" t="n">
        <v>10.1397</v>
      </c>
      <c r="DB165" s="0" t="n">
        <v>9.5989</v>
      </c>
      <c r="DC165" s="0" t="n">
        <v>7.0005</v>
      </c>
      <c r="DD165" s="0" t="n">
        <v>6.2564</v>
      </c>
      <c r="DE165" s="0" t="n">
        <v>6.0665</v>
      </c>
      <c r="DF165" s="0" t="n">
        <v>8.7598</v>
      </c>
      <c r="DG165" s="0" t="n">
        <v>9.1913</v>
      </c>
      <c r="DH165" s="0" t="n">
        <v>12.098</v>
      </c>
      <c r="DI165" s="0" t="n">
        <v>13.6164</v>
      </c>
      <c r="DJ165" s="0" t="n">
        <v>13.183</v>
      </c>
      <c r="DK165" s="0" t="n">
        <v>14.2627</v>
      </c>
      <c r="DL165" s="0" t="n">
        <v>13.2536</v>
      </c>
      <c r="DM165" s="0" t="n">
        <v>16.9685</v>
      </c>
      <c r="DN165" s="0" t="n">
        <v>21.6441</v>
      </c>
      <c r="DO165" s="0" t="n">
        <v>15.8428</v>
      </c>
      <c r="DP165" s="0" t="n">
        <v>13.5388</v>
      </c>
      <c r="DQ165" s="0" t="n">
        <v>14.6755</v>
      </c>
      <c r="DR165" s="0" t="n">
        <v>14.7964</v>
      </c>
      <c r="DS165" s="0" t="n">
        <v>16.2233</v>
      </c>
      <c r="DT165" s="0" t="n">
        <v>14.1131</v>
      </c>
      <c r="DU165" s="0" t="n">
        <v>14.0288</v>
      </c>
      <c r="DV165" s="0" t="n">
        <v>10.6715</v>
      </c>
      <c r="DW165" s="0" t="n">
        <v>13.2365</v>
      </c>
      <c r="DX165" s="0" t="n">
        <v>11.3985</v>
      </c>
      <c r="DY165" s="0" t="n">
        <v>8.451</v>
      </c>
      <c r="DZ165" s="0" t="n">
        <v>7.7647</v>
      </c>
      <c r="EA165" s="0" t="n">
        <v>8.2327</v>
      </c>
      <c r="EB165" s="0" t="n">
        <v>6.1404</v>
      </c>
      <c r="EC165" s="0" t="n">
        <v>3.3545</v>
      </c>
      <c r="ED165" s="0" t="n">
        <v>4.0645</v>
      </c>
      <c r="EE165" s="0" t="n">
        <v>2.6521</v>
      </c>
      <c r="EF165" s="0" t="n">
        <v>3.3695</v>
      </c>
      <c r="EG165" s="0" t="n">
        <v>2.0727</v>
      </c>
      <c r="EH165" s="0" t="n">
        <v>0.949</v>
      </c>
      <c r="EI165" s="0" t="n">
        <v>0.8805</v>
      </c>
      <c r="EJ165" s="0" t="n">
        <v>0.8281</v>
      </c>
      <c r="EK165" s="0" t="n">
        <v>0.3211</v>
      </c>
      <c r="EL165" s="0" t="n">
        <v>0.4714</v>
      </c>
      <c r="EM165" s="0" t="n">
        <v>0.3221</v>
      </c>
      <c r="EN165" s="0" t="n">
        <v>0.8028</v>
      </c>
      <c r="EO165" s="0" t="n">
        <v>0.7495</v>
      </c>
      <c r="EP165" s="0" t="n">
        <v>0.0943</v>
      </c>
      <c r="EQ165" s="0" t="n">
        <v>0.0729</v>
      </c>
      <c r="ER165" s="0" t="n">
        <v>0.0601</v>
      </c>
      <c r="ES165" s="0" t="n">
        <v>0.0522</v>
      </c>
      <c r="ET165" s="0" t="n">
        <v>0.2055</v>
      </c>
      <c r="EU165" s="0" t="n">
        <v>0.1559</v>
      </c>
      <c r="EV165" s="0" t="n">
        <v>0.0065</v>
      </c>
      <c r="EW165" s="0" t="n">
        <v>0.1733</v>
      </c>
      <c r="EX165" s="0" t="n">
        <v>0</v>
      </c>
      <c r="EY165" s="0" t="n">
        <v>0.1652</v>
      </c>
      <c r="EZ165" s="0" t="n">
        <v>0</v>
      </c>
      <c r="FA165" s="0" t="n">
        <v>0</v>
      </c>
      <c r="FB165" s="0" t="n">
        <v>0</v>
      </c>
      <c r="FC165" s="0" t="n">
        <v>0</v>
      </c>
      <c r="FD165" s="0" t="n">
        <v>0</v>
      </c>
      <c r="FE165" s="0" t="n">
        <v>0</v>
      </c>
      <c r="FF165" s="0" t="n">
        <v>0.0715</v>
      </c>
      <c r="FG165" s="0" t="n">
        <v>0</v>
      </c>
      <c r="FH165" s="0" t="n">
        <v>0</v>
      </c>
      <c r="FI165" s="0" t="n">
        <v>0</v>
      </c>
      <c r="FJ165" s="0" t="n">
        <v>0</v>
      </c>
      <c r="FK165" s="0" t="n">
        <v>0</v>
      </c>
      <c r="FL165" s="0" t="n">
        <v>0</v>
      </c>
      <c r="FM165" s="0" t="n">
        <v>0</v>
      </c>
      <c r="FN165" s="0" t="n">
        <v>0</v>
      </c>
      <c r="FO165" s="0" t="n">
        <v>0</v>
      </c>
      <c r="FP165" s="0" t="n">
        <v>0</v>
      </c>
    </row>
    <row r="166" customFormat="false" ht="13.8" hidden="false" customHeight="false" outlineLevel="0" collapsed="false">
      <c r="A166" s="2" t="s">
        <v>490</v>
      </c>
      <c r="B166" s="0" t="s">
        <v>173</v>
      </c>
      <c r="C166" s="0" t="n">
        <v>79</v>
      </c>
      <c r="D166" s="0" t="s">
        <v>491</v>
      </c>
      <c r="G166" s="0" t="n">
        <v>5142.1316</v>
      </c>
      <c r="H166" s="0" t="n">
        <v>316.5495</v>
      </c>
      <c r="I166" s="0" t="n">
        <v>994.4696</v>
      </c>
      <c r="J166" s="0" t="n">
        <v>0.536133333333333</v>
      </c>
      <c r="K166" s="0" t="n">
        <v>0.0444</v>
      </c>
      <c r="L166" s="0" t="n">
        <v>491.6891</v>
      </c>
      <c r="M166" s="0" t="n">
        <v>427.9876</v>
      </c>
      <c r="N166" s="0" t="n">
        <v>660.8475</v>
      </c>
      <c r="O166" s="0" t="n">
        <v>541.9348</v>
      </c>
      <c r="P166" s="0" t="n">
        <v>392.8365</v>
      </c>
      <c r="Q166" s="0" t="n">
        <v>263.3101</v>
      </c>
      <c r="R166" s="0" t="n">
        <v>242.1484</v>
      </c>
      <c r="S166" s="0" t="n">
        <v>143.4272</v>
      </c>
      <c r="T166" s="0" t="n">
        <v>130.8321</v>
      </c>
      <c r="U166" s="0" t="n">
        <v>120.7539</v>
      </c>
      <c r="V166" s="0" t="n">
        <v>118.025</v>
      </c>
      <c r="W166" s="0" t="n">
        <v>113.9571</v>
      </c>
      <c r="X166" s="0" t="n">
        <v>111.3851</v>
      </c>
      <c r="Y166" s="0" t="n">
        <v>81.4225</v>
      </c>
      <c r="Z166" s="0" t="n">
        <v>74.7693</v>
      </c>
      <c r="AA166" s="0" t="n">
        <v>61.4365</v>
      </c>
      <c r="AB166" s="0" t="n">
        <v>56.0655</v>
      </c>
      <c r="AC166" s="0" t="n">
        <v>47.3856</v>
      </c>
      <c r="AD166" s="0" t="n">
        <v>46.5713</v>
      </c>
      <c r="AE166" s="0" t="n">
        <v>48.2861</v>
      </c>
      <c r="AF166" s="0" t="n">
        <v>48.9899</v>
      </c>
      <c r="AG166" s="0" t="n">
        <v>38.4264</v>
      </c>
      <c r="AH166" s="0" t="n">
        <v>38.2252</v>
      </c>
      <c r="AI166" s="0" t="n">
        <v>39.1972</v>
      </c>
      <c r="AJ166" s="0" t="n">
        <v>38.144</v>
      </c>
      <c r="AK166" s="0" t="n">
        <v>46.663</v>
      </c>
      <c r="AL166" s="0" t="n">
        <v>43.3291</v>
      </c>
      <c r="AM166" s="0" t="n">
        <v>40.0824</v>
      </c>
      <c r="AN166" s="0" t="n">
        <v>38.6411</v>
      </c>
      <c r="AO166" s="0" t="n">
        <v>47.724</v>
      </c>
      <c r="AP166" s="0" t="n">
        <v>48.9171</v>
      </c>
      <c r="AQ166" s="0" t="n">
        <v>47.4086</v>
      </c>
      <c r="AR166" s="0" t="n">
        <v>51.7399</v>
      </c>
      <c r="AS166" s="0" t="n">
        <v>44.5912</v>
      </c>
      <c r="AT166" s="0" t="n">
        <v>43.5561</v>
      </c>
      <c r="AU166" s="0" t="n">
        <v>36.5637</v>
      </c>
      <c r="AV166" s="0" t="n">
        <v>26.4596</v>
      </c>
      <c r="AW166" s="0" t="n">
        <v>26.6913</v>
      </c>
      <c r="AX166" s="0" t="n">
        <v>27.1383</v>
      </c>
      <c r="AY166" s="0" t="n">
        <v>26.7877</v>
      </c>
      <c r="AZ166" s="0" t="n">
        <v>22.2071</v>
      </c>
      <c r="BA166" s="0" t="n">
        <v>22.1299</v>
      </c>
      <c r="BB166" s="0" t="n">
        <v>17.6163</v>
      </c>
      <c r="BC166" s="0" t="n">
        <v>12.1437</v>
      </c>
      <c r="BD166" s="0" t="n">
        <v>11.6501</v>
      </c>
      <c r="BE166" s="0" t="n">
        <v>12.7503</v>
      </c>
      <c r="BF166" s="0" t="n">
        <v>10.0104</v>
      </c>
      <c r="BG166" s="0" t="n">
        <v>11.0794</v>
      </c>
      <c r="BH166" s="0" t="n">
        <v>7.2071</v>
      </c>
      <c r="BI166" s="0" t="n">
        <v>4.8947</v>
      </c>
      <c r="BJ166" s="0" t="n">
        <v>4.0485</v>
      </c>
      <c r="BK166" s="0" t="n">
        <v>3.6722</v>
      </c>
      <c r="BL166" s="0" t="n">
        <v>4.6775</v>
      </c>
      <c r="BM166" s="0" t="n">
        <v>2.5034</v>
      </c>
      <c r="BN166" s="0" t="n">
        <v>2.8376</v>
      </c>
      <c r="BO166" s="0" t="n">
        <v>1.9901</v>
      </c>
      <c r="BP166" s="0" t="n">
        <v>1.8237</v>
      </c>
      <c r="BQ166" s="0" t="n">
        <v>1.5164</v>
      </c>
      <c r="BR166" s="0" t="n">
        <v>2.1466</v>
      </c>
      <c r="BS166" s="0" t="n">
        <v>0.937</v>
      </c>
      <c r="BT166" s="0" t="n">
        <v>1.1421</v>
      </c>
      <c r="BU166" s="0" t="n">
        <v>1.0652</v>
      </c>
      <c r="BV166" s="0" t="n">
        <v>0.5435</v>
      </c>
      <c r="BW166" s="0" t="n">
        <v>1.1598</v>
      </c>
      <c r="BX166" s="0" t="n">
        <v>0.8016</v>
      </c>
      <c r="BY166" s="0" t="n">
        <v>0.5376</v>
      </c>
      <c r="BZ166" s="0" t="n">
        <v>0.1505</v>
      </c>
      <c r="CA166" s="0" t="n">
        <v>1.0202</v>
      </c>
      <c r="CB166" s="0" t="n">
        <v>0.1204</v>
      </c>
      <c r="CC166" s="0" t="n">
        <v>0.1109</v>
      </c>
      <c r="CD166" s="0" t="n">
        <v>0.1235</v>
      </c>
      <c r="CE166" s="0" t="n">
        <v>0.0063</v>
      </c>
      <c r="CF166" s="0" t="n">
        <v>0</v>
      </c>
      <c r="CG166" s="0" t="n">
        <v>0.0544</v>
      </c>
      <c r="CH166" s="0" t="n">
        <v>0.1711</v>
      </c>
      <c r="CI166" s="0" t="n">
        <v>0.0069</v>
      </c>
      <c r="CJ166" s="0" t="n">
        <v>0.0127</v>
      </c>
      <c r="CK166" s="0" t="n">
        <v>0.1124</v>
      </c>
      <c r="CL166" s="0" t="n">
        <v>0.0206</v>
      </c>
      <c r="CM166" s="0" t="n">
        <v>0.7621</v>
      </c>
      <c r="CN166" s="0" t="n">
        <v>0.0006</v>
      </c>
      <c r="CO166" s="0" t="n">
        <v>12.7871</v>
      </c>
      <c r="CP166" s="0" t="n">
        <v>16.7015</v>
      </c>
      <c r="CQ166" s="0" t="n">
        <v>36.4612</v>
      </c>
      <c r="CR166" s="0" t="n">
        <v>37.7647</v>
      </c>
      <c r="CS166" s="0" t="n">
        <v>33.7208</v>
      </c>
      <c r="CT166" s="0" t="n">
        <v>26.8259</v>
      </c>
      <c r="CU166" s="0" t="n">
        <v>28.484</v>
      </c>
      <c r="CV166" s="0" t="n">
        <v>19.1323</v>
      </c>
      <c r="CW166" s="0" t="n">
        <v>19.4803</v>
      </c>
      <c r="CX166" s="0" t="n">
        <v>19.8851</v>
      </c>
      <c r="CY166" s="0" t="n">
        <v>21.3624</v>
      </c>
      <c r="CZ166" s="0" t="n">
        <v>22.356</v>
      </c>
      <c r="DA166" s="0" t="n">
        <v>23.5849</v>
      </c>
      <c r="DB166" s="0" t="n">
        <v>18.5327</v>
      </c>
      <c r="DC166" s="0" t="n">
        <v>18.214</v>
      </c>
      <c r="DD166" s="0" t="n">
        <v>15.9008</v>
      </c>
      <c r="DE166" s="0" t="n">
        <v>15.3989</v>
      </c>
      <c r="DF166" s="0" t="n">
        <v>13.7712</v>
      </c>
      <c r="DG166" s="0" t="n">
        <v>14.2471</v>
      </c>
      <c r="DH166" s="0" t="n">
        <v>15.5465</v>
      </c>
      <c r="DI166" s="0" t="n">
        <v>16.552</v>
      </c>
      <c r="DJ166" s="0" t="n">
        <v>13.579</v>
      </c>
      <c r="DK166" s="0" t="n">
        <v>14.0854</v>
      </c>
      <c r="DL166" s="0" t="n">
        <v>15.1089</v>
      </c>
      <c r="DM166" s="0" t="n">
        <v>15.2706</v>
      </c>
      <c r="DN166" s="0" t="n">
        <v>19.4087</v>
      </c>
      <c r="DO166" s="0" t="n">
        <v>18.7113</v>
      </c>
      <c r="DP166" s="0" t="n">
        <v>17.9229</v>
      </c>
      <c r="DQ166" s="0" t="n">
        <v>17.9057</v>
      </c>
      <c r="DR166" s="0" t="n">
        <v>22.8634</v>
      </c>
      <c r="DS166" s="0" t="n">
        <v>24.2163</v>
      </c>
      <c r="DT166" s="0" t="n">
        <v>24.2105</v>
      </c>
      <c r="DU166" s="0" t="n">
        <v>27.2076</v>
      </c>
      <c r="DV166" s="0" t="n">
        <v>24.1385</v>
      </c>
      <c r="DW166" s="0" t="n">
        <v>24.28</v>
      </c>
      <c r="DX166" s="0" t="n">
        <v>20.954</v>
      </c>
      <c r="DY166" s="0" t="n">
        <v>15.5863</v>
      </c>
      <c r="DZ166" s="0" t="n">
        <v>16.1342</v>
      </c>
      <c r="EA166" s="0" t="n">
        <v>16.8304</v>
      </c>
      <c r="EB166" s="0" t="n">
        <v>17.0421</v>
      </c>
      <c r="EC166" s="0" t="n">
        <v>14.4669</v>
      </c>
      <c r="ED166" s="0" t="n">
        <v>14.7641</v>
      </c>
      <c r="EE166" s="0" t="n">
        <v>12.0358</v>
      </c>
      <c r="EF166" s="0" t="n">
        <v>8.4788</v>
      </c>
      <c r="EG166" s="0" t="n">
        <v>8.3319</v>
      </c>
      <c r="EH166" s="0" t="n">
        <v>9.3161</v>
      </c>
      <c r="EI166" s="0" t="n">
        <v>7.4781</v>
      </c>
      <c r="EJ166" s="0" t="n">
        <v>8.4298</v>
      </c>
      <c r="EK166" s="0" t="n">
        <v>5.5995</v>
      </c>
      <c r="EL166" s="0" t="n">
        <v>3.888</v>
      </c>
      <c r="EM166" s="0" t="n">
        <v>3.2724</v>
      </c>
      <c r="EN166" s="0" t="n">
        <v>3.0283</v>
      </c>
      <c r="EO166" s="0" t="n">
        <v>3.9372</v>
      </c>
      <c r="EP166" s="0" t="n">
        <v>2.1446</v>
      </c>
      <c r="EQ166" s="0" t="n">
        <v>2.4719</v>
      </c>
      <c r="ER166" s="0" t="n">
        <v>1.7648</v>
      </c>
      <c r="ES166" s="0" t="n">
        <v>1.6468</v>
      </c>
      <c r="ET166" s="0" t="n">
        <v>1.3943</v>
      </c>
      <c r="EU166" s="0" t="n">
        <v>2.0081</v>
      </c>
      <c r="EV166" s="0" t="n">
        <v>0.8889</v>
      </c>
      <c r="EW166" s="0" t="n">
        <v>1.1027</v>
      </c>
      <c r="EX166" s="0" t="n">
        <v>1.0459</v>
      </c>
      <c r="EY166" s="0" t="n">
        <v>0.541</v>
      </c>
      <c r="EZ166" s="0" t="n">
        <v>1.1749</v>
      </c>
      <c r="FA166" s="0" t="n">
        <v>0.8237</v>
      </c>
      <c r="FB166" s="0" t="n">
        <v>0.5591</v>
      </c>
      <c r="FC166" s="0" t="n">
        <v>0.1591</v>
      </c>
      <c r="FD166" s="0" t="n">
        <v>1.0981</v>
      </c>
      <c r="FE166" s="0" t="n">
        <v>0.1311</v>
      </c>
      <c r="FF166" s="0" t="n">
        <v>0.1228</v>
      </c>
      <c r="FG166" s="0" t="n">
        <v>0.1389</v>
      </c>
      <c r="FH166" s="0" t="n">
        <v>0.0072</v>
      </c>
      <c r="FI166" s="0" t="n">
        <v>0</v>
      </c>
      <c r="FJ166" s="0" t="n">
        <v>0.0634</v>
      </c>
      <c r="FK166" s="0" t="n">
        <v>0.2016</v>
      </c>
      <c r="FL166" s="0" t="n">
        <v>0.0082</v>
      </c>
      <c r="FM166" s="0" t="n">
        <v>0.0154</v>
      </c>
      <c r="FN166" s="0" t="n">
        <v>0.1385</v>
      </c>
      <c r="FO166" s="0" t="n">
        <v>0.0258</v>
      </c>
      <c r="FP166" s="0" t="n">
        <v>1.074</v>
      </c>
    </row>
    <row r="167" customFormat="false" ht="13.8" hidden="false" customHeight="false" outlineLevel="0" collapsed="false">
      <c r="A167" s="2" t="s">
        <v>492</v>
      </c>
      <c r="B167" s="0" t="s">
        <v>199</v>
      </c>
      <c r="C167" s="0" t="s">
        <v>242</v>
      </c>
      <c r="D167" s="0" t="s">
        <v>243</v>
      </c>
      <c r="G167" s="0" t="n">
        <v>690.0632</v>
      </c>
      <c r="H167" s="0" t="n">
        <v>55.6256</v>
      </c>
      <c r="I167" s="0" t="n">
        <v>174.7531</v>
      </c>
      <c r="J167" s="0" t="n">
        <v>0.8061</v>
      </c>
      <c r="K167" s="0" t="n">
        <v>0.0132</v>
      </c>
      <c r="L167" s="0" t="n">
        <v>7.6977</v>
      </c>
      <c r="M167" s="0" t="n">
        <v>14.8855</v>
      </c>
      <c r="N167" s="0" t="n">
        <v>65.9434</v>
      </c>
      <c r="O167" s="0" t="n">
        <v>52.9214</v>
      </c>
      <c r="P167" s="0" t="n">
        <v>38.8118</v>
      </c>
      <c r="Q167" s="0" t="n">
        <v>44.4586</v>
      </c>
      <c r="R167" s="0" t="n">
        <v>23.6204</v>
      </c>
      <c r="S167" s="0" t="n">
        <v>25.5429</v>
      </c>
      <c r="T167" s="0" t="n">
        <v>28.3943</v>
      </c>
      <c r="U167" s="0" t="n">
        <v>38.1264</v>
      </c>
      <c r="V167" s="0" t="n">
        <v>16.0179</v>
      </c>
      <c r="W167" s="0" t="n">
        <v>28.2175</v>
      </c>
      <c r="X167" s="0" t="n">
        <v>24.5678</v>
      </c>
      <c r="Y167" s="0" t="n">
        <v>15.1235</v>
      </c>
      <c r="Z167" s="0" t="n">
        <v>17.4664</v>
      </c>
      <c r="AA167" s="0" t="n">
        <v>17.865</v>
      </c>
      <c r="AB167" s="0" t="n">
        <v>20.5122</v>
      </c>
      <c r="AC167" s="0" t="n">
        <v>16.8263</v>
      </c>
      <c r="AD167" s="0" t="n">
        <v>22.6561</v>
      </c>
      <c r="AE167" s="0" t="n">
        <v>15.3527</v>
      </c>
      <c r="AF167" s="0" t="n">
        <v>22.4071</v>
      </c>
      <c r="AG167" s="0" t="n">
        <v>10.5574</v>
      </c>
      <c r="AH167" s="0" t="n">
        <v>15.9624</v>
      </c>
      <c r="AI167" s="0" t="n">
        <v>17.4091</v>
      </c>
      <c r="AJ167" s="0" t="n">
        <v>8.2786</v>
      </c>
      <c r="AK167" s="0" t="n">
        <v>12.6504</v>
      </c>
      <c r="AL167" s="0" t="n">
        <v>8.1747</v>
      </c>
      <c r="AM167" s="0" t="n">
        <v>8.8295</v>
      </c>
      <c r="AN167" s="0" t="n">
        <v>9.1973</v>
      </c>
      <c r="AO167" s="0" t="n">
        <v>7.4056</v>
      </c>
      <c r="AP167" s="0" t="n">
        <v>5.2352</v>
      </c>
      <c r="AQ167" s="0" t="n">
        <v>6.3048</v>
      </c>
      <c r="AR167" s="0" t="n">
        <v>4.5235</v>
      </c>
      <c r="AS167" s="0" t="n">
        <v>2.2687</v>
      </c>
      <c r="AT167" s="0" t="n">
        <v>4.4038</v>
      </c>
      <c r="AU167" s="0" t="n">
        <v>3.0446</v>
      </c>
      <c r="AV167" s="0" t="n">
        <v>1.8364</v>
      </c>
      <c r="AW167" s="0" t="n">
        <v>0.6055</v>
      </c>
      <c r="AX167" s="0" t="n">
        <v>1.2122</v>
      </c>
      <c r="AY167" s="0" t="n">
        <v>0.46</v>
      </c>
      <c r="AZ167" s="0" t="n">
        <v>0.9248</v>
      </c>
      <c r="BA167" s="0" t="n">
        <v>0.0799</v>
      </c>
      <c r="BB167" s="0" t="n">
        <v>1.9007</v>
      </c>
      <c r="BC167" s="0" t="n">
        <v>0.0523</v>
      </c>
      <c r="BD167" s="0" t="n">
        <v>0</v>
      </c>
      <c r="BE167" s="0" t="n">
        <v>0.0225</v>
      </c>
      <c r="BF167" s="0" t="n">
        <v>0</v>
      </c>
      <c r="BG167" s="0" t="n">
        <v>0.1232</v>
      </c>
      <c r="BH167" s="0" t="n">
        <v>0.186</v>
      </c>
      <c r="BI167" s="0" t="n">
        <v>0.1501</v>
      </c>
      <c r="BJ167" s="0" t="n">
        <v>0.2829</v>
      </c>
      <c r="BK167" s="0" t="n">
        <v>0.119</v>
      </c>
      <c r="BL167" s="0" t="n">
        <v>0.1068</v>
      </c>
      <c r="BM167" s="0" t="n">
        <v>0</v>
      </c>
      <c r="BN167" s="0" t="n">
        <v>0</v>
      </c>
      <c r="BO167" s="0" t="n">
        <v>0.1671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0.1602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0.0002</v>
      </c>
      <c r="CO167" s="0" t="n">
        <v>0.203</v>
      </c>
      <c r="CP167" s="0" t="n">
        <v>0.5963</v>
      </c>
      <c r="CQ167" s="0" t="n">
        <v>3.6952</v>
      </c>
      <c r="CR167" s="0" t="n">
        <v>3.7878</v>
      </c>
      <c r="CS167" s="0" t="n">
        <v>3.291</v>
      </c>
      <c r="CT167" s="0" t="n">
        <v>4.4818</v>
      </c>
      <c r="CU167" s="0" t="n">
        <v>2.7932</v>
      </c>
      <c r="CV167" s="0" t="n">
        <v>3.4048</v>
      </c>
      <c r="CW167" s="0" t="n">
        <v>4.1643</v>
      </c>
      <c r="CX167" s="0" t="n">
        <v>6.3424</v>
      </c>
      <c r="CY167" s="0" t="n">
        <v>2.9187</v>
      </c>
      <c r="CZ167" s="0" t="n">
        <v>5.5291</v>
      </c>
      <c r="DA167" s="0" t="n">
        <v>5.3151</v>
      </c>
      <c r="DB167" s="0" t="n">
        <v>3.4274</v>
      </c>
      <c r="DC167" s="0" t="n">
        <v>4.2283</v>
      </c>
      <c r="DD167" s="0" t="n">
        <v>4.6142</v>
      </c>
      <c r="DE167" s="0" t="n">
        <v>5.6634</v>
      </c>
      <c r="DF167" s="0" t="n">
        <v>4.9078</v>
      </c>
      <c r="DG167" s="0" t="n">
        <v>6.9456</v>
      </c>
      <c r="DH167" s="0" t="n">
        <v>4.9141</v>
      </c>
      <c r="DI167" s="0" t="n">
        <v>7.6068</v>
      </c>
      <c r="DJ167" s="0" t="n">
        <v>3.7704</v>
      </c>
      <c r="DK167" s="0" t="n">
        <v>5.8564</v>
      </c>
      <c r="DL167" s="0" t="n">
        <v>6.736</v>
      </c>
      <c r="DM167" s="0" t="n">
        <v>3.3098</v>
      </c>
      <c r="DN167" s="0" t="n">
        <v>5.2688</v>
      </c>
      <c r="DO167" s="0" t="n">
        <v>3.5472</v>
      </c>
      <c r="DP167" s="0" t="n">
        <v>3.9336</v>
      </c>
      <c r="DQ167" s="0" t="n">
        <v>4.2576</v>
      </c>
      <c r="DR167" s="0" t="n">
        <v>3.5648</v>
      </c>
      <c r="DS167" s="0" t="n">
        <v>2.5643</v>
      </c>
      <c r="DT167" s="0" t="n">
        <v>3.2104</v>
      </c>
      <c r="DU167" s="0" t="n">
        <v>2.3802</v>
      </c>
      <c r="DV167" s="0" t="n">
        <v>1.2275</v>
      </c>
      <c r="DW167" s="0" t="n">
        <v>2.4443</v>
      </c>
      <c r="DX167" s="0" t="n">
        <v>1.7414</v>
      </c>
      <c r="DY167" s="0" t="n">
        <v>1.084</v>
      </c>
      <c r="DZ167" s="0" t="n">
        <v>0.3647</v>
      </c>
      <c r="EA167" s="0" t="n">
        <v>0.7527</v>
      </c>
      <c r="EB167" s="0" t="n">
        <v>0.2932</v>
      </c>
      <c r="EC167" s="0" t="n">
        <v>0.6051</v>
      </c>
      <c r="ED167" s="0" t="n">
        <v>0.0531</v>
      </c>
      <c r="EE167" s="0" t="n">
        <v>1.2949</v>
      </c>
      <c r="EF167" s="0" t="n">
        <v>0.0366</v>
      </c>
      <c r="EG167" s="0" t="n">
        <v>0</v>
      </c>
      <c r="EH167" s="0" t="n">
        <v>0.0359</v>
      </c>
      <c r="EI167" s="0" t="n">
        <v>0</v>
      </c>
      <c r="EJ167" s="0" t="n">
        <v>0.0933</v>
      </c>
      <c r="EK167" s="0" t="n">
        <v>0.1437</v>
      </c>
      <c r="EL167" s="0" t="n">
        <v>0.1195</v>
      </c>
      <c r="EM167" s="0" t="n">
        <v>0.2273</v>
      </c>
      <c r="EN167" s="0" t="n">
        <v>0.0987</v>
      </c>
      <c r="EO167" s="0" t="n">
        <v>0.0904</v>
      </c>
      <c r="EP167" s="0" t="n">
        <v>0</v>
      </c>
      <c r="EQ167" s="0" t="n">
        <v>0</v>
      </c>
      <c r="ER167" s="0" t="n">
        <v>0.1486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0</v>
      </c>
      <c r="EY167" s="0" t="n">
        <v>0</v>
      </c>
      <c r="EZ167" s="0" t="n">
        <v>0</v>
      </c>
      <c r="FA167" s="0" t="n">
        <v>0</v>
      </c>
      <c r="FB167" s="0" t="n">
        <v>0</v>
      </c>
      <c r="FC167" s="0" t="n">
        <v>0.169</v>
      </c>
      <c r="FD167" s="0" t="n">
        <v>0</v>
      </c>
      <c r="FE167" s="0" t="n">
        <v>0</v>
      </c>
      <c r="FF167" s="0" t="n">
        <v>0</v>
      </c>
      <c r="FG167" s="0" t="n">
        <v>0</v>
      </c>
      <c r="FH167" s="0" t="n">
        <v>0</v>
      </c>
      <c r="FI167" s="0" t="n">
        <v>0</v>
      </c>
      <c r="FJ167" s="0" t="n">
        <v>0</v>
      </c>
      <c r="FK167" s="0" t="n">
        <v>0</v>
      </c>
      <c r="FL167" s="0" t="n">
        <v>0</v>
      </c>
      <c r="FM167" s="0" t="n">
        <v>0</v>
      </c>
      <c r="FN167" s="0" t="n">
        <v>0</v>
      </c>
      <c r="FO167" s="0" t="n">
        <v>0</v>
      </c>
      <c r="FP167" s="0" t="n">
        <v>0</v>
      </c>
    </row>
    <row r="168" customFormat="false" ht="13.8" hidden="false" customHeight="false" outlineLevel="0" collapsed="false">
      <c r="A168" s="2" t="s">
        <v>493</v>
      </c>
      <c r="B168" s="0" t="s">
        <v>176</v>
      </c>
      <c r="C168" s="0" t="n">
        <v>342</v>
      </c>
      <c r="D168" s="0" t="s">
        <v>494</v>
      </c>
      <c r="F168" s="0" t="n">
        <v>1.3946</v>
      </c>
      <c r="G168" s="0" t="n">
        <v>1943.0262</v>
      </c>
      <c r="H168" s="0" t="n">
        <v>97.1251</v>
      </c>
      <c r="I168" s="0" t="n">
        <v>305.1274</v>
      </c>
      <c r="J168" s="0" t="n">
        <v>0.4267</v>
      </c>
      <c r="K168" s="0" t="n">
        <v>0</v>
      </c>
      <c r="L168" s="0" t="n">
        <v>273.6962</v>
      </c>
      <c r="M168" s="0" t="n">
        <v>340.3287</v>
      </c>
      <c r="N168" s="0" t="n">
        <v>239.7644</v>
      </c>
      <c r="O168" s="0" t="n">
        <v>0.7597</v>
      </c>
      <c r="P168" s="0" t="n">
        <v>230.1863</v>
      </c>
      <c r="Q168" s="0" t="n">
        <v>95.1954</v>
      </c>
      <c r="R168" s="0" t="n">
        <v>125.6241</v>
      </c>
      <c r="S168" s="0" t="n">
        <v>81.5822</v>
      </c>
      <c r="T168" s="0" t="n">
        <v>12.4048</v>
      </c>
      <c r="U168" s="0" t="n">
        <v>56.0591</v>
      </c>
      <c r="V168" s="0" t="n">
        <v>40.316</v>
      </c>
      <c r="W168" s="0" t="n">
        <v>21.4716</v>
      </c>
      <c r="X168" s="0" t="n">
        <v>31.3663</v>
      </c>
      <c r="Y168" s="0" t="n">
        <v>20.8089</v>
      </c>
      <c r="Z168" s="0" t="n">
        <v>20.1897</v>
      </c>
      <c r="AA168" s="0" t="n">
        <v>10.6728</v>
      </c>
      <c r="AB168" s="0" t="n">
        <v>24.2355</v>
      </c>
      <c r="AC168" s="0" t="n">
        <v>11.8766</v>
      </c>
      <c r="AD168" s="0" t="n">
        <v>25.5892</v>
      </c>
      <c r="AE168" s="0" t="n">
        <v>16.6551</v>
      </c>
      <c r="AF168" s="0" t="n">
        <v>32.9766</v>
      </c>
      <c r="AG168" s="0" t="n">
        <v>12.1339</v>
      </c>
      <c r="AH168" s="0" t="n">
        <v>17.4015</v>
      </c>
      <c r="AI168" s="0" t="n">
        <v>17.5909</v>
      </c>
      <c r="AJ168" s="0" t="n">
        <v>4.0042</v>
      </c>
      <c r="AK168" s="0" t="n">
        <v>15.1814</v>
      </c>
      <c r="AL168" s="0" t="n">
        <v>18.0786</v>
      </c>
      <c r="AM168" s="0" t="n">
        <v>9.9485</v>
      </c>
      <c r="AN168" s="0" t="n">
        <v>7.0019</v>
      </c>
      <c r="AO168" s="0" t="n">
        <v>16.8919</v>
      </c>
      <c r="AP168" s="0" t="n">
        <v>10.0368</v>
      </c>
      <c r="AQ168" s="0" t="n">
        <v>9.3956</v>
      </c>
      <c r="AR168" s="0" t="n">
        <v>6.455</v>
      </c>
      <c r="AS168" s="0" t="n">
        <v>7.405</v>
      </c>
      <c r="AT168" s="0" t="n">
        <v>16.9168</v>
      </c>
      <c r="AU168" s="0" t="n">
        <v>19.6342</v>
      </c>
      <c r="AV168" s="0" t="n">
        <v>0.3972</v>
      </c>
      <c r="AW168" s="0" t="n">
        <v>11.7242</v>
      </c>
      <c r="AX168" s="0" t="n">
        <v>9.0269</v>
      </c>
      <c r="AY168" s="0" t="n">
        <v>5.1086</v>
      </c>
      <c r="AZ168" s="0" t="n">
        <v>4.2743</v>
      </c>
      <c r="BA168" s="0" t="n">
        <v>2.3749</v>
      </c>
      <c r="BB168" s="0" t="n">
        <v>2.991</v>
      </c>
      <c r="BC168" s="0" t="n">
        <v>2.0192</v>
      </c>
      <c r="BD168" s="0" t="n">
        <v>0.6384</v>
      </c>
      <c r="BE168" s="0" t="n">
        <v>0.9156</v>
      </c>
      <c r="BF168" s="0" t="n">
        <v>0.2692</v>
      </c>
      <c r="BG168" s="0" t="n">
        <v>0.4424</v>
      </c>
      <c r="BH168" s="0" t="n">
        <v>0.5215</v>
      </c>
      <c r="BI168" s="0" t="n">
        <v>0.1237</v>
      </c>
      <c r="BJ168" s="0" t="n">
        <v>0.1417</v>
      </c>
      <c r="BK168" s="0" t="n">
        <v>0.3553</v>
      </c>
      <c r="BL168" s="0" t="n">
        <v>0.1962</v>
      </c>
      <c r="BM168" s="0" t="n">
        <v>0.2612</v>
      </c>
      <c r="BN168" s="0" t="n">
        <v>0.2989</v>
      </c>
      <c r="BO168" s="0" t="n">
        <v>0.1042</v>
      </c>
      <c r="BP168" s="0" t="n">
        <v>0.0333</v>
      </c>
      <c r="BQ168" s="0" t="n">
        <v>0.0571</v>
      </c>
      <c r="BR168" s="0" t="n">
        <v>0.0159</v>
      </c>
      <c r="BS168" s="0" t="n">
        <v>0.1749</v>
      </c>
      <c r="BT168" s="0" t="n">
        <v>0.0634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5.8581</v>
      </c>
      <c r="CP168" s="0" t="n">
        <v>14.4445</v>
      </c>
      <c r="CQ168" s="0" t="n">
        <v>14.6339</v>
      </c>
      <c r="CR168" s="0" t="n">
        <v>0.0525</v>
      </c>
      <c r="CS168" s="0" t="n">
        <v>19.1334</v>
      </c>
      <c r="CT168" s="0" t="n">
        <v>9.6563</v>
      </c>
      <c r="CU168" s="0" t="n">
        <v>14.7369</v>
      </c>
      <c r="CV168" s="0" t="n">
        <v>11.3362</v>
      </c>
      <c r="CW168" s="0" t="n">
        <v>1.7935</v>
      </c>
      <c r="CX168" s="0" t="n">
        <v>9.0782</v>
      </c>
      <c r="CY168" s="0" t="n">
        <v>7.3403</v>
      </c>
      <c r="CZ168" s="0" t="n">
        <v>4.2714</v>
      </c>
      <c r="DA168" s="0" t="n">
        <v>6.6488</v>
      </c>
      <c r="DB168" s="0" t="n">
        <v>4.7302</v>
      </c>
      <c r="DC168" s="0" t="n">
        <v>4.9399</v>
      </c>
      <c r="DD168" s="0" t="n">
        <v>2.7425</v>
      </c>
      <c r="DE168" s="0" t="n">
        <v>6.6458</v>
      </c>
      <c r="DF168" s="0" t="n">
        <v>3.4344</v>
      </c>
      <c r="DG168" s="0" t="n">
        <v>7.7806</v>
      </c>
      <c r="DH168" s="0" t="n">
        <v>5.3423</v>
      </c>
      <c r="DI168" s="0" t="n">
        <v>11.1997</v>
      </c>
      <c r="DJ168" s="0" t="n">
        <v>4.3085</v>
      </c>
      <c r="DK168" s="0" t="n">
        <v>6.4344</v>
      </c>
      <c r="DL168" s="0" t="n">
        <v>6.8544</v>
      </c>
      <c r="DM168" s="0" t="n">
        <v>1.5942</v>
      </c>
      <c r="DN168" s="0" t="n">
        <v>6.3031</v>
      </c>
      <c r="DO168" s="0" t="n">
        <v>7.8838</v>
      </c>
      <c r="DP168" s="0" t="n">
        <v>4.5187</v>
      </c>
      <c r="DQ168" s="0" t="n">
        <v>3.2173</v>
      </c>
      <c r="DR168" s="0" t="n">
        <v>8.0706</v>
      </c>
      <c r="DS168" s="0" t="n">
        <v>4.9874</v>
      </c>
      <c r="DT168" s="0" t="n">
        <v>4.8194</v>
      </c>
      <c r="DU168" s="0" t="n">
        <v>3.3956</v>
      </c>
      <c r="DV168" s="0" t="n">
        <v>3.979</v>
      </c>
      <c r="DW168" s="0" t="n">
        <v>9.4278</v>
      </c>
      <c r="DX168" s="0" t="n">
        <v>11.3478</v>
      </c>
      <c r="DY168" s="0" t="n">
        <v>0.2354</v>
      </c>
      <c r="DZ168" s="0" t="n">
        <v>7.0194</v>
      </c>
      <c r="EA168" s="0" t="n">
        <v>5.5922</v>
      </c>
      <c r="EB168" s="0" t="n">
        <v>3.2676</v>
      </c>
      <c r="EC168" s="0" t="n">
        <v>2.7966</v>
      </c>
      <c r="ED168" s="0" t="n">
        <v>1.5747</v>
      </c>
      <c r="EE168" s="0" t="n">
        <v>2.0401</v>
      </c>
      <c r="EF168" s="0" t="n">
        <v>1.4151</v>
      </c>
      <c r="EG168" s="0" t="n">
        <v>0.4568</v>
      </c>
      <c r="EH168" s="0" t="n">
        <v>0.6711</v>
      </c>
      <c r="EI168" s="0" t="n">
        <v>0.2001</v>
      </c>
      <c r="EJ168" s="0" t="n">
        <v>0.3363</v>
      </c>
      <c r="EK168" s="0" t="n">
        <v>0.4072</v>
      </c>
      <c r="EL168" s="0" t="n">
        <v>0.0986</v>
      </c>
      <c r="EM168" s="0" t="n">
        <v>0.1142</v>
      </c>
      <c r="EN168" s="0" t="n">
        <v>0.2925</v>
      </c>
      <c r="EO168" s="0" t="n">
        <v>0.1659</v>
      </c>
      <c r="EP168" s="0" t="n">
        <v>0.2227</v>
      </c>
      <c r="EQ168" s="0" t="n">
        <v>0.2601</v>
      </c>
      <c r="ER168" s="0" t="n">
        <v>0.0926</v>
      </c>
      <c r="ES168" s="0" t="n">
        <v>0.03</v>
      </c>
      <c r="ET168" s="0" t="n">
        <v>0.0525</v>
      </c>
      <c r="EU168" s="0" t="n">
        <v>0.0148</v>
      </c>
      <c r="EV168" s="0" t="n">
        <v>0.1652</v>
      </c>
      <c r="EW168" s="0" t="n">
        <v>0.0611</v>
      </c>
      <c r="EX168" s="0" t="n">
        <v>0</v>
      </c>
      <c r="EY168" s="0" t="n">
        <v>0</v>
      </c>
      <c r="EZ168" s="0" t="n">
        <v>0</v>
      </c>
      <c r="FA168" s="0" t="n">
        <v>0</v>
      </c>
      <c r="FB168" s="0" t="n">
        <v>0</v>
      </c>
      <c r="FC168" s="0" t="n">
        <v>0</v>
      </c>
      <c r="FD168" s="0" t="n">
        <v>0</v>
      </c>
      <c r="FE168" s="0" t="n">
        <v>0</v>
      </c>
      <c r="FF168" s="0" t="n">
        <v>0</v>
      </c>
      <c r="FG168" s="0" t="n">
        <v>0</v>
      </c>
      <c r="FH168" s="0" t="n">
        <v>0</v>
      </c>
      <c r="FI168" s="0" t="n">
        <v>0</v>
      </c>
      <c r="FJ168" s="0" t="n">
        <v>0</v>
      </c>
      <c r="FK168" s="0" t="n">
        <v>0</v>
      </c>
      <c r="FL168" s="0" t="n">
        <v>0</v>
      </c>
      <c r="FM168" s="0" t="n">
        <v>0</v>
      </c>
      <c r="FN168" s="0" t="n">
        <v>0</v>
      </c>
      <c r="FO168" s="0" t="n">
        <v>0</v>
      </c>
      <c r="FP168" s="0" t="n">
        <v>0</v>
      </c>
    </row>
    <row r="169" customFormat="false" ht="13.8" hidden="false" customHeight="false" outlineLevel="0" collapsed="false">
      <c r="A169" s="2" t="s">
        <v>495</v>
      </c>
      <c r="B169" s="0" t="s">
        <v>173</v>
      </c>
      <c r="C169" s="0" t="n">
        <v>89</v>
      </c>
      <c r="D169" s="0" t="s">
        <v>496</v>
      </c>
      <c r="G169" s="0" t="n">
        <v>1262.9743</v>
      </c>
      <c r="H169" s="0" t="n">
        <v>83.641</v>
      </c>
      <c r="I169" s="0" t="n">
        <v>262.7658</v>
      </c>
      <c r="J169" s="0" t="n">
        <v>0.6612</v>
      </c>
      <c r="K169" s="0" t="n">
        <v>0</v>
      </c>
      <c r="L169" s="0" t="n">
        <v>96.156</v>
      </c>
      <c r="M169" s="0" t="n">
        <v>90.0162</v>
      </c>
      <c r="N169" s="0" t="n">
        <v>149.0989</v>
      </c>
      <c r="O169" s="0" t="n">
        <v>104.6667</v>
      </c>
      <c r="P169" s="0" t="n">
        <v>71.2416</v>
      </c>
      <c r="Q169" s="0" t="n">
        <v>47.8973</v>
      </c>
      <c r="R169" s="0" t="n">
        <v>50.1116</v>
      </c>
      <c r="S169" s="0" t="n">
        <v>36.6356</v>
      </c>
      <c r="T169" s="0" t="n">
        <v>35.3412</v>
      </c>
      <c r="U169" s="0" t="n">
        <v>38.0356</v>
      </c>
      <c r="V169" s="0" t="n">
        <v>38.7913</v>
      </c>
      <c r="W169" s="0" t="n">
        <v>31.8351</v>
      </c>
      <c r="X169" s="0" t="n">
        <v>28.2893</v>
      </c>
      <c r="Y169" s="0" t="n">
        <v>22.0296</v>
      </c>
      <c r="Z169" s="0" t="n">
        <v>14.9739</v>
      </c>
      <c r="AA169" s="0" t="n">
        <v>18.0739</v>
      </c>
      <c r="AB169" s="0" t="n">
        <v>21.6262</v>
      </c>
      <c r="AC169" s="0" t="n">
        <v>22.1199</v>
      </c>
      <c r="AD169" s="0" t="n">
        <v>26.9213</v>
      </c>
      <c r="AE169" s="0" t="n">
        <v>28.3723</v>
      </c>
      <c r="AF169" s="0" t="n">
        <v>24.9113</v>
      </c>
      <c r="AG169" s="0" t="n">
        <v>20.7443</v>
      </c>
      <c r="AH169" s="0" t="n">
        <v>17.7133</v>
      </c>
      <c r="AI169" s="0" t="n">
        <v>15.9059</v>
      </c>
      <c r="AJ169" s="0" t="n">
        <v>18.0318</v>
      </c>
      <c r="AK169" s="0" t="n">
        <v>17.2492</v>
      </c>
      <c r="AL169" s="0" t="n">
        <v>20.025</v>
      </c>
      <c r="AM169" s="0" t="n">
        <v>20.1434</v>
      </c>
      <c r="AN169" s="0" t="n">
        <v>18.3273</v>
      </c>
      <c r="AO169" s="0" t="n">
        <v>16.0861</v>
      </c>
      <c r="AP169" s="0" t="n">
        <v>21.0869</v>
      </c>
      <c r="AQ169" s="0" t="n">
        <v>14.582</v>
      </c>
      <c r="AR169" s="0" t="n">
        <v>13.7297</v>
      </c>
      <c r="AS169" s="0" t="n">
        <v>10.0443</v>
      </c>
      <c r="AT169" s="0" t="n">
        <v>6.6086</v>
      </c>
      <c r="AU169" s="0" t="n">
        <v>6.3731</v>
      </c>
      <c r="AV169" s="0" t="n">
        <v>3.6467</v>
      </c>
      <c r="AW169" s="0" t="n">
        <v>4.1881</v>
      </c>
      <c r="AX169" s="0" t="n">
        <v>4.8913</v>
      </c>
      <c r="AY169" s="0" t="n">
        <v>2.8935</v>
      </c>
      <c r="AZ169" s="0" t="n">
        <v>2.7411</v>
      </c>
      <c r="BA169" s="0" t="n">
        <v>2.4929</v>
      </c>
      <c r="BB169" s="0" t="n">
        <v>1.515</v>
      </c>
      <c r="BC169" s="0" t="n">
        <v>1.5765</v>
      </c>
      <c r="BD169" s="0" t="n">
        <v>0.596</v>
      </c>
      <c r="BE169" s="0" t="n">
        <v>0.5496</v>
      </c>
      <c r="BF169" s="0" t="n">
        <v>0.165</v>
      </c>
      <c r="BG169" s="0" t="n">
        <v>0.2729</v>
      </c>
      <c r="BH169" s="0" t="n">
        <v>0.5528</v>
      </c>
      <c r="BI169" s="0" t="n">
        <v>0.0751</v>
      </c>
      <c r="BJ169" s="0" t="n">
        <v>0.2977</v>
      </c>
      <c r="BK169" s="0" t="n">
        <v>0.0392</v>
      </c>
      <c r="BL169" s="0" t="n">
        <v>0.3907</v>
      </c>
      <c r="BM169" s="0" t="n">
        <v>0.3602</v>
      </c>
      <c r="BN169" s="0" t="n">
        <v>0.1507</v>
      </c>
      <c r="BO169" s="0" t="n">
        <v>0.3283</v>
      </c>
      <c r="BP169" s="0" t="n">
        <v>0.0582</v>
      </c>
      <c r="BQ169" s="0" t="n">
        <v>0.0434</v>
      </c>
      <c r="BR169" s="0" t="n">
        <v>0.0064</v>
      </c>
      <c r="BS169" s="0" t="n">
        <v>0.1327</v>
      </c>
      <c r="BT169" s="0" t="n">
        <v>0.0069</v>
      </c>
      <c r="BU169" s="0" t="n">
        <v>0.0064</v>
      </c>
      <c r="BV169" s="0" t="n">
        <v>0.0064</v>
      </c>
      <c r="BW169" s="0" t="n">
        <v>0.047</v>
      </c>
      <c r="BX169" s="0" t="n">
        <v>0.009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2.5234</v>
      </c>
      <c r="CP169" s="0" t="n">
        <v>3.5185</v>
      </c>
      <c r="CQ169" s="0" t="n">
        <v>8.2111</v>
      </c>
      <c r="CR169" s="0" t="n">
        <v>7.2708</v>
      </c>
      <c r="CS169" s="0" t="n">
        <v>6.1091</v>
      </c>
      <c r="CT169" s="0" t="n">
        <v>4.8744</v>
      </c>
      <c r="CU169" s="0" t="n">
        <v>5.9131</v>
      </c>
      <c r="CV169" s="0" t="n">
        <v>4.8891</v>
      </c>
      <c r="CW169" s="0" t="n">
        <v>5.2686</v>
      </c>
      <c r="CX169" s="0" t="n">
        <v>6.27</v>
      </c>
      <c r="CY169" s="0" t="n">
        <v>7.0084</v>
      </c>
      <c r="CZ169" s="0" t="n">
        <v>6.2418</v>
      </c>
      <c r="DA169" s="0" t="n">
        <v>5.984</v>
      </c>
      <c r="DB169" s="0" t="n">
        <v>5.0032</v>
      </c>
      <c r="DC169" s="0" t="n">
        <v>3.6438</v>
      </c>
      <c r="DD169" s="0" t="n">
        <v>4.695</v>
      </c>
      <c r="DE169" s="0" t="n">
        <v>5.9532</v>
      </c>
      <c r="DF169" s="0" t="n">
        <v>6.4371</v>
      </c>
      <c r="DG169" s="0" t="n">
        <v>8.243</v>
      </c>
      <c r="DH169" s="0" t="n">
        <v>9.135</v>
      </c>
      <c r="DI169" s="0" t="n">
        <v>8.4218</v>
      </c>
      <c r="DJ169" s="0" t="n">
        <v>7.3399</v>
      </c>
      <c r="DK169" s="0" t="n">
        <v>6.5364</v>
      </c>
      <c r="DL169" s="0" t="n">
        <v>6.1282</v>
      </c>
      <c r="DM169" s="0" t="n">
        <v>7.2172</v>
      </c>
      <c r="DN169" s="0" t="n">
        <v>7.1779</v>
      </c>
      <c r="DO169" s="0" t="n">
        <v>8.6693</v>
      </c>
      <c r="DP169" s="0" t="n">
        <v>9.0114</v>
      </c>
      <c r="DQ169" s="0" t="n">
        <v>8.4737</v>
      </c>
      <c r="DR169" s="0" t="n">
        <v>7.6932</v>
      </c>
      <c r="DS169" s="0" t="n">
        <v>10.447</v>
      </c>
      <c r="DT169" s="0" t="n">
        <v>7.4485</v>
      </c>
      <c r="DU169" s="0" t="n">
        <v>7.2159</v>
      </c>
      <c r="DV169" s="0" t="n">
        <v>5.4431</v>
      </c>
      <c r="DW169" s="0" t="n">
        <v>3.6879</v>
      </c>
      <c r="DX169" s="0" t="n">
        <v>3.6501</v>
      </c>
      <c r="DY169" s="0" t="n">
        <v>2.1457</v>
      </c>
      <c r="DZ169" s="0" t="n">
        <v>2.5354</v>
      </c>
      <c r="EA169" s="0" t="n">
        <v>3.0331</v>
      </c>
      <c r="EB169" s="0" t="n">
        <v>1.8417</v>
      </c>
      <c r="EC169" s="0" t="n">
        <v>1.7828</v>
      </c>
      <c r="ED169" s="0" t="n">
        <v>1.6648</v>
      </c>
      <c r="EE169" s="0" t="n">
        <v>1.0336</v>
      </c>
      <c r="EF169" s="0" t="n">
        <v>1.1023</v>
      </c>
      <c r="EG169" s="0" t="n">
        <v>0.4253</v>
      </c>
      <c r="EH169" s="0" t="n">
        <v>0.3997</v>
      </c>
      <c r="EI169" s="0" t="n">
        <v>0.1227</v>
      </c>
      <c r="EJ169" s="0" t="n">
        <v>0.2097</v>
      </c>
      <c r="EK169" s="0" t="n">
        <v>0.4309</v>
      </c>
      <c r="EL169" s="0" t="n">
        <v>0.0594</v>
      </c>
      <c r="EM169" s="0" t="n">
        <v>0.2417</v>
      </c>
      <c r="EN169" s="0" t="n">
        <v>0.0324</v>
      </c>
      <c r="EO169" s="0" t="n">
        <v>0.3292</v>
      </c>
      <c r="EP169" s="0" t="n">
        <v>0.308</v>
      </c>
      <c r="EQ169" s="0" t="n">
        <v>0.1317</v>
      </c>
      <c r="ER169" s="0" t="n">
        <v>0.2912</v>
      </c>
      <c r="ES169" s="0" t="n">
        <v>0.0523</v>
      </c>
      <c r="ET169" s="0" t="n">
        <v>0.0398</v>
      </c>
      <c r="EU169" s="0" t="n">
        <v>0.006</v>
      </c>
      <c r="EV169" s="0" t="n">
        <v>0.126</v>
      </c>
      <c r="EW169" s="0" t="n">
        <v>0.0066</v>
      </c>
      <c r="EX169" s="0" t="n">
        <v>0.0062</v>
      </c>
      <c r="EY169" s="0" t="n">
        <v>0.0063</v>
      </c>
      <c r="EZ169" s="0" t="n">
        <v>0.0478</v>
      </c>
      <c r="FA169" s="0" t="n">
        <v>0.0092</v>
      </c>
      <c r="FB169" s="0" t="n">
        <v>0</v>
      </c>
      <c r="FC169" s="0" t="n">
        <v>0</v>
      </c>
      <c r="FD169" s="0" t="n">
        <v>0</v>
      </c>
      <c r="FE169" s="0" t="n">
        <v>0</v>
      </c>
      <c r="FF169" s="0" t="n">
        <v>0</v>
      </c>
      <c r="FG169" s="0" t="n">
        <v>0</v>
      </c>
      <c r="FH169" s="0" t="n">
        <v>0</v>
      </c>
      <c r="FI169" s="0" t="n">
        <v>0</v>
      </c>
      <c r="FJ169" s="0" t="n">
        <v>0</v>
      </c>
      <c r="FK169" s="0" t="n">
        <v>0</v>
      </c>
      <c r="FL169" s="0" t="n">
        <v>0</v>
      </c>
      <c r="FM169" s="0" t="n">
        <v>0</v>
      </c>
      <c r="FN169" s="0" t="n">
        <v>0</v>
      </c>
      <c r="FO169" s="0" t="n">
        <v>0</v>
      </c>
      <c r="FP169" s="0" t="n">
        <v>0</v>
      </c>
    </row>
    <row r="170" customFormat="false" ht="13.8" hidden="false" customHeight="false" outlineLevel="0" collapsed="false">
      <c r="A170" s="2" t="s">
        <v>497</v>
      </c>
      <c r="B170" s="0" t="s">
        <v>176</v>
      </c>
      <c r="C170" s="0" t="n">
        <v>307</v>
      </c>
      <c r="D170" s="0" t="s">
        <v>498</v>
      </c>
      <c r="E170" s="0" t="e">
        <f aca="false">VLOOKUP(A170,[1]RHIZOMES!$A$1:$B$1048576,2,0)</f>
        <v>#N/A</v>
      </c>
      <c r="F170" s="0" t="e">
        <f aca="false">VLOOKUP(A170,[1]ROOT!$A$1:$C$1048576,3,0)</f>
        <v>#N/A</v>
      </c>
      <c r="G170" s="0" t="n">
        <v>1165.4498</v>
      </c>
      <c r="H170" s="0" t="n">
        <v>76.7858</v>
      </c>
      <c r="I170" s="0" t="n">
        <v>241.2297</v>
      </c>
      <c r="J170" s="0" t="n">
        <v>0.66095</v>
      </c>
      <c r="K170" s="0" t="n">
        <v>0</v>
      </c>
      <c r="L170" s="0" t="n">
        <v>131.8687</v>
      </c>
      <c r="M170" s="0" t="n">
        <v>166.9171</v>
      </c>
      <c r="N170" s="0" t="n">
        <v>107.4931</v>
      </c>
      <c r="O170" s="0" t="n">
        <v>0.1294</v>
      </c>
      <c r="P170" s="0" t="n">
        <v>105.591</v>
      </c>
      <c r="Q170" s="0" t="n">
        <v>40.089</v>
      </c>
      <c r="R170" s="0" t="n">
        <v>59.4237</v>
      </c>
      <c r="S170" s="0" t="n">
        <v>41.786</v>
      </c>
      <c r="T170" s="0" t="n">
        <v>7.7122</v>
      </c>
      <c r="U170" s="0" t="n">
        <v>32.2688</v>
      </c>
      <c r="V170" s="0" t="n">
        <v>20.5484</v>
      </c>
      <c r="W170" s="0" t="n">
        <v>10.3038</v>
      </c>
      <c r="X170" s="0" t="n">
        <v>14.4129</v>
      </c>
      <c r="Y170" s="0" t="n">
        <v>19.1513</v>
      </c>
      <c r="Z170" s="0" t="n">
        <v>15.6248</v>
      </c>
      <c r="AA170" s="0" t="n">
        <v>11.2828</v>
      </c>
      <c r="AB170" s="0" t="n">
        <v>18.7903</v>
      </c>
      <c r="AC170" s="0" t="n">
        <v>8.4788</v>
      </c>
      <c r="AD170" s="0" t="n">
        <v>29.9207</v>
      </c>
      <c r="AE170" s="0" t="n">
        <v>17.1364</v>
      </c>
      <c r="AF170" s="0" t="n">
        <v>37.8412</v>
      </c>
      <c r="AG170" s="0" t="n">
        <v>14.5559</v>
      </c>
      <c r="AH170" s="0" t="n">
        <v>20.5499</v>
      </c>
      <c r="AI170" s="0" t="n">
        <v>26.2603</v>
      </c>
      <c r="AJ170" s="0" t="n">
        <v>5.3546</v>
      </c>
      <c r="AK170" s="0" t="n">
        <v>30.7724</v>
      </c>
      <c r="AL170" s="0" t="n">
        <v>33.7521</v>
      </c>
      <c r="AM170" s="0" t="n">
        <v>18.5774</v>
      </c>
      <c r="AN170" s="0" t="n">
        <v>13.351</v>
      </c>
      <c r="AO170" s="0" t="n">
        <v>24.5998</v>
      </c>
      <c r="AP170" s="0" t="n">
        <v>14.4027</v>
      </c>
      <c r="AQ170" s="0" t="n">
        <v>14.6919</v>
      </c>
      <c r="AR170" s="0" t="n">
        <v>8.6712</v>
      </c>
      <c r="AS170" s="0" t="n">
        <v>7.167</v>
      </c>
      <c r="AT170" s="0" t="n">
        <v>7.5544</v>
      </c>
      <c r="AU170" s="0" t="n">
        <v>8.3186</v>
      </c>
      <c r="AV170" s="0" t="n">
        <v>0.4291</v>
      </c>
      <c r="AW170" s="0" t="n">
        <v>5.1754</v>
      </c>
      <c r="AX170" s="0" t="n">
        <v>5.1109</v>
      </c>
      <c r="AY170" s="0" t="n">
        <v>3.0333</v>
      </c>
      <c r="AZ170" s="0" t="n">
        <v>1.4089</v>
      </c>
      <c r="BA170" s="0" t="n">
        <v>1.0048</v>
      </c>
      <c r="BB170" s="0" t="n">
        <v>0.8527</v>
      </c>
      <c r="BC170" s="0" t="n">
        <v>0.7978</v>
      </c>
      <c r="BD170" s="0" t="n">
        <v>0.4956</v>
      </c>
      <c r="BE170" s="0" t="n">
        <v>0.5406</v>
      </c>
      <c r="BF170" s="0" t="n">
        <v>0.0492</v>
      </c>
      <c r="BG170" s="0" t="n">
        <v>0.1397</v>
      </c>
      <c r="BH170" s="0" t="n">
        <v>0</v>
      </c>
      <c r="BI170" s="0" t="n">
        <v>0.036</v>
      </c>
      <c r="BJ170" s="0" t="n">
        <v>0.2602</v>
      </c>
      <c r="BK170" s="0" t="n">
        <v>0.1317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0.0423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2.8387</v>
      </c>
      <c r="CP170" s="0" t="n">
        <v>7.0624</v>
      </c>
      <c r="CQ170" s="0" t="n">
        <v>6.5652</v>
      </c>
      <c r="CR170" s="0" t="n">
        <v>0.009</v>
      </c>
      <c r="CS170" s="0" t="n">
        <v>8.7735</v>
      </c>
      <c r="CT170" s="0" t="n">
        <v>4.0708</v>
      </c>
      <c r="CU170" s="0" t="n">
        <v>6.9566</v>
      </c>
      <c r="CV170" s="0" t="n">
        <v>5.8015</v>
      </c>
      <c r="CW170" s="0" t="n">
        <v>1.115</v>
      </c>
      <c r="CX170" s="0" t="n">
        <v>5.2259</v>
      </c>
      <c r="CY170" s="0" t="n">
        <v>3.7526</v>
      </c>
      <c r="CZ170" s="0" t="n">
        <v>2.0426</v>
      </c>
      <c r="DA170" s="0" t="n">
        <v>3.0182</v>
      </c>
      <c r="DB170" s="0" t="n">
        <v>4.3544</v>
      </c>
      <c r="DC170" s="0" t="n">
        <v>3.8331</v>
      </c>
      <c r="DD170" s="0" t="n">
        <v>2.8827</v>
      </c>
      <c r="DE170" s="0" t="n">
        <v>5.1589</v>
      </c>
      <c r="DF170" s="0" t="n">
        <v>2.4518</v>
      </c>
      <c r="DG170" s="0" t="n">
        <v>9.1094</v>
      </c>
      <c r="DH170" s="0" t="n">
        <v>5.5043</v>
      </c>
      <c r="DI170" s="0" t="n">
        <v>12.8497</v>
      </c>
      <c r="DJ170" s="0" t="n">
        <v>5.1677</v>
      </c>
      <c r="DK170" s="0" t="n">
        <v>7.5876</v>
      </c>
      <c r="DL170" s="0" t="n">
        <v>10.2371</v>
      </c>
      <c r="DM170" s="0" t="n">
        <v>2.132</v>
      </c>
      <c r="DN170" s="0" t="n">
        <v>12.7938</v>
      </c>
      <c r="DO170" s="0" t="n">
        <v>14.7116</v>
      </c>
      <c r="DP170" s="0" t="n">
        <v>8.4348</v>
      </c>
      <c r="DQ170" s="0" t="n">
        <v>6.1408</v>
      </c>
      <c r="DR170" s="0" t="n">
        <v>11.7597</v>
      </c>
      <c r="DS170" s="0" t="n">
        <v>7.1505</v>
      </c>
      <c r="DT170" s="0" t="n">
        <v>7.511</v>
      </c>
      <c r="DU170" s="0" t="n">
        <v>4.5695</v>
      </c>
      <c r="DV170" s="0" t="n">
        <v>3.8502</v>
      </c>
      <c r="DW170" s="0" t="n">
        <v>4.1967</v>
      </c>
      <c r="DX170" s="0" t="n">
        <v>4.8005</v>
      </c>
      <c r="DY170" s="0" t="n">
        <v>0.2542</v>
      </c>
      <c r="DZ170" s="0" t="n">
        <v>3.0991</v>
      </c>
      <c r="EA170" s="0" t="n">
        <v>3.17</v>
      </c>
      <c r="EB170" s="0" t="n">
        <v>1.9391</v>
      </c>
      <c r="EC170" s="0" t="n">
        <v>0.9186</v>
      </c>
      <c r="ED170" s="0" t="n">
        <v>0.6673</v>
      </c>
      <c r="EE170" s="0" t="n">
        <v>0.5833</v>
      </c>
      <c r="EF170" s="0" t="n">
        <v>0.5579</v>
      </c>
      <c r="EG170" s="0" t="n">
        <v>0.3559</v>
      </c>
      <c r="EH170" s="0" t="n">
        <v>0.3985</v>
      </c>
      <c r="EI170" s="0" t="n">
        <v>0.0366</v>
      </c>
      <c r="EJ170" s="0" t="n">
        <v>0.1059</v>
      </c>
      <c r="EK170" s="0" t="n">
        <v>0</v>
      </c>
      <c r="EL170" s="0" t="n">
        <v>0.0287</v>
      </c>
      <c r="EM170" s="0" t="n">
        <v>0.2097</v>
      </c>
      <c r="EN170" s="0" t="n">
        <v>0.1081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0</v>
      </c>
      <c r="EW170" s="0" t="n">
        <v>0</v>
      </c>
      <c r="EX170" s="0" t="n">
        <v>0</v>
      </c>
      <c r="EY170" s="0" t="n">
        <v>0</v>
      </c>
      <c r="EZ170" s="0" t="n">
        <v>0</v>
      </c>
      <c r="FA170" s="0" t="n">
        <v>0</v>
      </c>
      <c r="FB170" s="0" t="n">
        <v>0</v>
      </c>
      <c r="FC170" s="0" t="n">
        <v>0</v>
      </c>
      <c r="FD170" s="0" t="n">
        <v>0</v>
      </c>
      <c r="FE170" s="0" t="n">
        <v>0.0463</v>
      </c>
      <c r="FF170" s="0" t="n">
        <v>0</v>
      </c>
      <c r="FG170" s="0" t="n">
        <v>0</v>
      </c>
      <c r="FH170" s="0" t="n">
        <v>0</v>
      </c>
      <c r="FI170" s="0" t="n">
        <v>0</v>
      </c>
      <c r="FJ170" s="0" t="n">
        <v>0</v>
      </c>
      <c r="FK170" s="0" t="n">
        <v>0</v>
      </c>
      <c r="FL170" s="0" t="n">
        <v>0</v>
      </c>
      <c r="FM170" s="0" t="n">
        <v>0</v>
      </c>
      <c r="FN170" s="0" t="n">
        <v>0</v>
      </c>
      <c r="FO170" s="0" t="n">
        <v>0</v>
      </c>
      <c r="FP170" s="0" t="n">
        <v>0</v>
      </c>
    </row>
    <row r="171" customFormat="false" ht="13.8" hidden="false" customHeight="false" outlineLevel="0" collapsed="false">
      <c r="A171" s="2" t="s">
        <v>499</v>
      </c>
      <c r="B171" s="0" t="s">
        <v>173</v>
      </c>
      <c r="C171" s="0" t="n">
        <v>192</v>
      </c>
      <c r="D171" s="0" t="s">
        <v>500</v>
      </c>
      <c r="G171" s="0" t="n">
        <v>1404.9714</v>
      </c>
      <c r="H171" s="0" t="n">
        <v>85.8671</v>
      </c>
      <c r="I171" s="0" t="n">
        <v>269.7592</v>
      </c>
      <c r="J171" s="0" t="n">
        <v>0.5757</v>
      </c>
      <c r="K171" s="0" t="n">
        <v>0</v>
      </c>
      <c r="L171" s="0" t="n">
        <v>83.1371</v>
      </c>
      <c r="M171" s="0" t="n">
        <v>56.0145</v>
      </c>
      <c r="N171" s="0" t="n">
        <v>86.6962</v>
      </c>
      <c r="O171" s="0" t="n">
        <v>87.3896</v>
      </c>
      <c r="P171" s="0" t="n">
        <v>91.9283</v>
      </c>
      <c r="Q171" s="0" t="n">
        <v>89.9949</v>
      </c>
      <c r="R171" s="0" t="n">
        <v>125.5964</v>
      </c>
      <c r="S171" s="0" t="n">
        <v>78.2229</v>
      </c>
      <c r="T171" s="0" t="n">
        <v>71.0611</v>
      </c>
      <c r="U171" s="0" t="n">
        <v>71.2582</v>
      </c>
      <c r="V171" s="0" t="n">
        <v>58.7625</v>
      </c>
      <c r="W171" s="0" t="n">
        <v>49.545</v>
      </c>
      <c r="X171" s="0" t="n">
        <v>51.5849</v>
      </c>
      <c r="Y171" s="0" t="n">
        <v>41.1204</v>
      </c>
      <c r="Z171" s="0" t="n">
        <v>39.9299</v>
      </c>
      <c r="AA171" s="0" t="n">
        <v>34.2848</v>
      </c>
      <c r="AB171" s="0" t="n">
        <v>32.0605</v>
      </c>
      <c r="AC171" s="0" t="n">
        <v>21.3772</v>
      </c>
      <c r="AD171" s="0" t="n">
        <v>22.6195</v>
      </c>
      <c r="AE171" s="0" t="n">
        <v>17.4904</v>
      </c>
      <c r="AF171" s="0" t="n">
        <v>15.0216</v>
      </c>
      <c r="AG171" s="0" t="n">
        <v>10.1396</v>
      </c>
      <c r="AH171" s="0" t="n">
        <v>10.909</v>
      </c>
      <c r="AI171" s="0" t="n">
        <v>11.8898</v>
      </c>
      <c r="AJ171" s="0" t="n">
        <v>14.6827</v>
      </c>
      <c r="AK171" s="0" t="n">
        <v>14.2418</v>
      </c>
      <c r="AL171" s="0" t="n">
        <v>5.9563</v>
      </c>
      <c r="AM171" s="0" t="n">
        <v>6.5189</v>
      </c>
      <c r="AN171" s="0" t="n">
        <v>8.3463</v>
      </c>
      <c r="AO171" s="0" t="n">
        <v>9.0042</v>
      </c>
      <c r="AP171" s="0" t="n">
        <v>7.523</v>
      </c>
      <c r="AQ171" s="0" t="n">
        <v>5.4426</v>
      </c>
      <c r="AR171" s="0" t="n">
        <v>6.3922</v>
      </c>
      <c r="AS171" s="0" t="n">
        <v>10.1607</v>
      </c>
      <c r="AT171" s="0" t="n">
        <v>11.8444</v>
      </c>
      <c r="AU171" s="0" t="n">
        <v>10.5591</v>
      </c>
      <c r="AV171" s="0" t="n">
        <v>6.4101</v>
      </c>
      <c r="AW171" s="0" t="n">
        <v>5.3978</v>
      </c>
      <c r="AX171" s="0" t="n">
        <v>2.3183</v>
      </c>
      <c r="AY171" s="0" t="n">
        <v>4.5514</v>
      </c>
      <c r="AZ171" s="0" t="n">
        <v>2.8122</v>
      </c>
      <c r="BA171" s="0" t="n">
        <v>3.679</v>
      </c>
      <c r="BB171" s="0" t="n">
        <v>2.8538</v>
      </c>
      <c r="BC171" s="0" t="n">
        <v>3.0574</v>
      </c>
      <c r="BD171" s="0" t="n">
        <v>0.8702</v>
      </c>
      <c r="BE171" s="0" t="n">
        <v>1.1317</v>
      </c>
      <c r="BF171" s="0" t="n">
        <v>0.6992</v>
      </c>
      <c r="BG171" s="0" t="n">
        <v>0.323</v>
      </c>
      <c r="BH171" s="0" t="n">
        <v>0.7863</v>
      </c>
      <c r="BI171" s="0" t="n">
        <v>0.0618</v>
      </c>
      <c r="BJ171" s="0" t="n">
        <v>0.142</v>
      </c>
      <c r="BK171" s="0" t="n">
        <v>0.1141</v>
      </c>
      <c r="BL171" s="0" t="n">
        <v>0.0264</v>
      </c>
      <c r="BM171" s="0" t="n">
        <v>0</v>
      </c>
      <c r="BN171" s="0" t="n">
        <v>0.0513</v>
      </c>
      <c r="BO171" s="0" t="n">
        <v>0.1009</v>
      </c>
      <c r="BP171" s="0" t="n">
        <v>0</v>
      </c>
      <c r="BQ171" s="0" t="n">
        <v>0</v>
      </c>
      <c r="BR171" s="0" t="n">
        <v>0.0988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0.0898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2.1636</v>
      </c>
      <c r="CP171" s="0" t="n">
        <v>2.1737</v>
      </c>
      <c r="CQ171" s="0" t="n">
        <v>4.8009</v>
      </c>
      <c r="CR171" s="0" t="n">
        <v>6.1135</v>
      </c>
      <c r="CS171" s="0" t="n">
        <v>7.9365</v>
      </c>
      <c r="CT171" s="0" t="n">
        <v>9.1519</v>
      </c>
      <c r="CU171" s="0" t="n">
        <v>14.8626</v>
      </c>
      <c r="CV171" s="0" t="n">
        <v>10.4494</v>
      </c>
      <c r="CW171" s="0" t="n">
        <v>10.5796</v>
      </c>
      <c r="CX171" s="0" t="n">
        <v>11.7138</v>
      </c>
      <c r="CY171" s="0" t="n">
        <v>10.6349</v>
      </c>
      <c r="CZ171" s="0" t="n">
        <v>9.713</v>
      </c>
      <c r="DA171" s="0" t="n">
        <v>10.9372</v>
      </c>
      <c r="DB171" s="0" t="n">
        <v>9.3544</v>
      </c>
      <c r="DC171" s="0" t="n">
        <v>9.7258</v>
      </c>
      <c r="DD171" s="0" t="n">
        <v>8.8792</v>
      </c>
      <c r="DE171" s="0" t="n">
        <v>8.8119</v>
      </c>
      <c r="DF171" s="0" t="n">
        <v>6.2024</v>
      </c>
      <c r="DG171" s="0" t="n">
        <v>6.9204</v>
      </c>
      <c r="DH171" s="0" t="n">
        <v>5.6261</v>
      </c>
      <c r="DI171" s="0" t="n">
        <v>5.0717</v>
      </c>
      <c r="DJ171" s="0" t="n">
        <v>3.577</v>
      </c>
      <c r="DK171" s="0" t="n">
        <v>4.0305</v>
      </c>
      <c r="DL171" s="0" t="n">
        <v>4.5777</v>
      </c>
      <c r="DM171" s="0" t="n">
        <v>5.8795</v>
      </c>
      <c r="DN171" s="0" t="n">
        <v>5.9105</v>
      </c>
      <c r="DO171" s="0" t="n">
        <v>2.5745</v>
      </c>
      <c r="DP171" s="0" t="n">
        <v>2.9206</v>
      </c>
      <c r="DQ171" s="0" t="n">
        <v>3.8624</v>
      </c>
      <c r="DR171" s="0" t="n">
        <v>4.3118</v>
      </c>
      <c r="DS171" s="0" t="n">
        <v>3.7274</v>
      </c>
      <c r="DT171" s="0" t="n">
        <v>2.7821</v>
      </c>
      <c r="DU171" s="0" t="n">
        <v>3.3672</v>
      </c>
      <c r="DV171" s="0" t="n">
        <v>5.5011</v>
      </c>
      <c r="DW171" s="0" t="n">
        <v>6.6025</v>
      </c>
      <c r="DX171" s="0" t="n">
        <v>6.0564</v>
      </c>
      <c r="DY171" s="0" t="n">
        <v>3.7715</v>
      </c>
      <c r="DZ171" s="0" t="n">
        <v>3.2612</v>
      </c>
      <c r="EA171" s="0" t="n">
        <v>1.436</v>
      </c>
      <c r="EB171" s="0" t="n">
        <v>2.9049</v>
      </c>
      <c r="EC171" s="0" t="n">
        <v>1.8302</v>
      </c>
      <c r="ED171" s="0" t="n">
        <v>2.4525</v>
      </c>
      <c r="EE171" s="0" t="n">
        <v>1.9434</v>
      </c>
      <c r="EF171" s="0" t="n">
        <v>2.1305</v>
      </c>
      <c r="EG171" s="0" t="n">
        <v>0.622</v>
      </c>
      <c r="EH171" s="0" t="n">
        <v>0.8249</v>
      </c>
      <c r="EI171" s="0" t="n">
        <v>0.5207</v>
      </c>
      <c r="EJ171" s="0" t="n">
        <v>0.2461</v>
      </c>
      <c r="EK171" s="0" t="n">
        <v>0.61</v>
      </c>
      <c r="EL171" s="0" t="n">
        <v>0.049</v>
      </c>
      <c r="EM171" s="0" t="n">
        <v>0.1147</v>
      </c>
      <c r="EN171" s="0" t="n">
        <v>0.0943</v>
      </c>
      <c r="EO171" s="0" t="n">
        <v>0.0222</v>
      </c>
      <c r="EP171" s="0" t="n">
        <v>0</v>
      </c>
      <c r="EQ171" s="0" t="n">
        <v>0.0447</v>
      </c>
      <c r="ER171" s="0" t="n">
        <v>0.0895</v>
      </c>
      <c r="ES171" s="0" t="n">
        <v>0</v>
      </c>
      <c r="ET171" s="0" t="n">
        <v>0</v>
      </c>
      <c r="EU171" s="0" t="n">
        <v>0.0922</v>
      </c>
      <c r="EV171" s="0" t="n">
        <v>0</v>
      </c>
      <c r="EW171" s="0" t="n">
        <v>0</v>
      </c>
      <c r="EX171" s="0" t="n">
        <v>0</v>
      </c>
      <c r="EY171" s="0" t="n">
        <v>0</v>
      </c>
      <c r="EZ171" s="0" t="n">
        <v>0</v>
      </c>
      <c r="FA171" s="0" t="n">
        <v>0</v>
      </c>
      <c r="FB171" s="0" t="n">
        <v>0</v>
      </c>
      <c r="FC171" s="0" t="n">
        <v>0</v>
      </c>
      <c r="FD171" s="0" t="n">
        <v>0</v>
      </c>
      <c r="FE171" s="0" t="n">
        <v>0</v>
      </c>
      <c r="FF171" s="0" t="n">
        <v>0</v>
      </c>
      <c r="FG171" s="0" t="n">
        <v>0</v>
      </c>
      <c r="FH171" s="0" t="n">
        <v>0</v>
      </c>
      <c r="FI171" s="0" t="n">
        <v>0</v>
      </c>
      <c r="FJ171" s="0" t="n">
        <v>0.1046</v>
      </c>
      <c r="FK171" s="0" t="n">
        <v>0</v>
      </c>
      <c r="FL171" s="0" t="n">
        <v>0</v>
      </c>
      <c r="FM171" s="0" t="n">
        <v>0</v>
      </c>
      <c r="FN171" s="0" t="n">
        <v>0</v>
      </c>
      <c r="FO171" s="0" t="n">
        <v>0</v>
      </c>
      <c r="FP171" s="0" t="n">
        <v>0</v>
      </c>
    </row>
    <row r="172" customFormat="false" ht="13.8" hidden="false" customHeight="false" outlineLevel="0" collapsed="false">
      <c r="A172" s="2" t="s">
        <v>501</v>
      </c>
      <c r="B172" s="0" t="s">
        <v>173</v>
      </c>
      <c r="C172" s="0" t="n">
        <v>153</v>
      </c>
      <c r="D172" s="0" t="s">
        <v>502</v>
      </c>
      <c r="F172" s="0" t="e">
        <f aca="false">VLOOKUP(A172,[1]ROOT!$A$1:$C$1048576,3,0)</f>
        <v>#N/A</v>
      </c>
      <c r="G172" s="0" t="n">
        <v>1716.2486</v>
      </c>
      <c r="H172" s="0" t="n">
        <v>128.6531</v>
      </c>
      <c r="I172" s="0" t="n">
        <v>404.1757</v>
      </c>
      <c r="J172" s="0" t="n">
        <v>0.71375</v>
      </c>
      <c r="K172" s="0" t="n">
        <v>0.254</v>
      </c>
      <c r="L172" s="0" t="n">
        <v>20.6812</v>
      </c>
      <c r="M172" s="0" t="n">
        <v>27.9717</v>
      </c>
      <c r="N172" s="0" t="n">
        <v>186.5892</v>
      </c>
      <c r="O172" s="0" t="n">
        <v>187.1077</v>
      </c>
      <c r="P172" s="0" t="n">
        <v>165.0141</v>
      </c>
      <c r="Q172" s="0" t="n">
        <v>238.2799</v>
      </c>
      <c r="R172" s="0" t="n">
        <v>106.2388</v>
      </c>
      <c r="S172" s="0" t="n">
        <v>86.1328</v>
      </c>
      <c r="T172" s="0" t="n">
        <v>60.7611</v>
      </c>
      <c r="U172" s="0" t="n">
        <v>76.7796</v>
      </c>
      <c r="V172" s="0" t="n">
        <v>38.3458</v>
      </c>
      <c r="W172" s="0" t="n">
        <v>41.7577</v>
      </c>
      <c r="X172" s="0" t="n">
        <v>23.5173</v>
      </c>
      <c r="Y172" s="0" t="n">
        <v>13.9446</v>
      </c>
      <c r="Z172" s="0" t="n">
        <v>19.6357</v>
      </c>
      <c r="AA172" s="0" t="n">
        <v>20.5395</v>
      </c>
      <c r="AB172" s="0" t="n">
        <v>14.7376</v>
      </c>
      <c r="AC172" s="0" t="n">
        <v>9.9483</v>
      </c>
      <c r="AD172" s="0" t="n">
        <v>13.7944</v>
      </c>
      <c r="AE172" s="0" t="n">
        <v>11.0322</v>
      </c>
      <c r="AF172" s="0" t="n">
        <v>16.3569</v>
      </c>
      <c r="AG172" s="0" t="n">
        <v>8.2086</v>
      </c>
      <c r="AH172" s="0" t="n">
        <v>8.5425</v>
      </c>
      <c r="AI172" s="0" t="n">
        <v>15.1324</v>
      </c>
      <c r="AJ172" s="0" t="n">
        <v>15.789</v>
      </c>
      <c r="AK172" s="0" t="n">
        <v>15.8779</v>
      </c>
      <c r="AL172" s="0" t="n">
        <v>11.9797</v>
      </c>
      <c r="AM172" s="0" t="n">
        <v>16.9844</v>
      </c>
      <c r="AN172" s="0" t="n">
        <v>16.6121</v>
      </c>
      <c r="AO172" s="0" t="n">
        <v>20.9109</v>
      </c>
      <c r="AP172" s="0" t="n">
        <v>16.2067</v>
      </c>
      <c r="AQ172" s="0" t="n">
        <v>14.8735</v>
      </c>
      <c r="AR172" s="0" t="n">
        <v>15.0376</v>
      </c>
      <c r="AS172" s="0" t="n">
        <v>13.7158</v>
      </c>
      <c r="AT172" s="0" t="n">
        <v>19.1534</v>
      </c>
      <c r="AU172" s="0" t="n">
        <v>19.5751</v>
      </c>
      <c r="AV172" s="0" t="n">
        <v>11.5276</v>
      </c>
      <c r="AW172" s="0" t="n">
        <v>17.557</v>
      </c>
      <c r="AX172" s="0" t="n">
        <v>13.6065</v>
      </c>
      <c r="AY172" s="0" t="n">
        <v>11.0411</v>
      </c>
      <c r="AZ172" s="0" t="n">
        <v>11.3246</v>
      </c>
      <c r="BA172" s="0" t="n">
        <v>6.4845</v>
      </c>
      <c r="BB172" s="0" t="n">
        <v>9.7504</v>
      </c>
      <c r="BC172" s="0" t="n">
        <v>5.8688</v>
      </c>
      <c r="BD172" s="0" t="n">
        <v>2.2368</v>
      </c>
      <c r="BE172" s="0" t="n">
        <v>2.9885</v>
      </c>
      <c r="BF172" s="0" t="n">
        <v>1.1939</v>
      </c>
      <c r="BG172" s="0" t="n">
        <v>2.1034</v>
      </c>
      <c r="BH172" s="0" t="n">
        <v>1.7858</v>
      </c>
      <c r="BI172" s="0" t="n">
        <v>0.9041</v>
      </c>
      <c r="BJ172" s="0" t="n">
        <v>1.1499</v>
      </c>
      <c r="BK172" s="0" t="n">
        <v>1.0044</v>
      </c>
      <c r="BL172" s="0" t="n">
        <v>0.2776</v>
      </c>
      <c r="BM172" s="0" t="n">
        <v>0.8237</v>
      </c>
      <c r="BN172" s="0" t="n">
        <v>0.8527</v>
      </c>
      <c r="BO172" s="0" t="n">
        <v>0.2998</v>
      </c>
      <c r="BP172" s="0" t="n">
        <v>0.3462</v>
      </c>
      <c r="BQ172" s="0" t="n">
        <v>0.1538</v>
      </c>
      <c r="BR172" s="0" t="n">
        <v>0.5533</v>
      </c>
      <c r="BS172" s="0" t="n">
        <v>0.4614</v>
      </c>
      <c r="BT172" s="0" t="n">
        <v>0.747</v>
      </c>
      <c r="BU172" s="0" t="n">
        <v>0.1242</v>
      </c>
      <c r="BV172" s="0" t="n">
        <v>0.361</v>
      </c>
      <c r="BW172" s="0" t="n">
        <v>0.8181</v>
      </c>
      <c r="BX172" s="0" t="n">
        <v>0.0693</v>
      </c>
      <c r="BY172" s="0" t="n">
        <v>0.2116</v>
      </c>
      <c r="BZ172" s="0" t="n">
        <v>0.0936</v>
      </c>
      <c r="CA172" s="0" t="n">
        <v>0.0761</v>
      </c>
      <c r="CB172" s="0" t="n">
        <v>0.1063</v>
      </c>
      <c r="CC172" s="0" t="n">
        <v>0.1</v>
      </c>
      <c r="CD172" s="0" t="n">
        <v>0.2533</v>
      </c>
      <c r="CE172" s="0" t="n">
        <v>0.0534</v>
      </c>
      <c r="CF172" s="0" t="n">
        <v>0.0328</v>
      </c>
      <c r="CG172" s="0" t="n">
        <v>0.2321</v>
      </c>
      <c r="CH172" s="0" t="n">
        <v>0.0196</v>
      </c>
      <c r="CI172" s="0" t="n">
        <v>0.0069</v>
      </c>
      <c r="CJ172" s="0" t="n">
        <v>0.0137</v>
      </c>
      <c r="CK172" s="0" t="n">
        <v>0.0259</v>
      </c>
      <c r="CL172" s="0" t="n">
        <v>0.0127</v>
      </c>
      <c r="CM172" s="0" t="n">
        <v>0.4399</v>
      </c>
      <c r="CN172" s="0" t="n">
        <v>0.0034</v>
      </c>
      <c r="CO172" s="0" t="n">
        <v>0.5128</v>
      </c>
      <c r="CP172" s="0" t="n">
        <v>1.1882</v>
      </c>
      <c r="CQ172" s="0" t="n">
        <v>10.5789</v>
      </c>
      <c r="CR172" s="0" t="n">
        <v>13.2599</v>
      </c>
      <c r="CS172" s="0" t="n">
        <v>13.7174</v>
      </c>
      <c r="CT172" s="0" t="n">
        <v>23.9963</v>
      </c>
      <c r="CU172" s="0" t="n">
        <v>12.6598</v>
      </c>
      <c r="CV172" s="0" t="n">
        <v>11.4941</v>
      </c>
      <c r="CW172" s="0" t="n">
        <v>8.9219</v>
      </c>
      <c r="CX172" s="0" t="n">
        <v>12.7614</v>
      </c>
      <c r="CY172" s="0" t="n">
        <v>6.9495</v>
      </c>
      <c r="CZ172" s="0" t="n">
        <v>8.1882</v>
      </c>
      <c r="DA172" s="0" t="n">
        <v>5.0796</v>
      </c>
      <c r="DB172" s="0" t="n">
        <v>3.159</v>
      </c>
      <c r="DC172" s="0" t="n">
        <v>4.7654</v>
      </c>
      <c r="DD172" s="0" t="n">
        <v>5.3079</v>
      </c>
      <c r="DE172" s="0" t="n">
        <v>4.0622</v>
      </c>
      <c r="DF172" s="0" t="n">
        <v>2.8995</v>
      </c>
      <c r="DG172" s="0" t="n">
        <v>4.2165</v>
      </c>
      <c r="DH172" s="0" t="n">
        <v>3.5343</v>
      </c>
      <c r="DI172" s="0" t="n">
        <v>5.5547</v>
      </c>
      <c r="DJ172" s="0" t="n">
        <v>2.9307</v>
      </c>
      <c r="DK172" s="0" t="n">
        <v>3.1404</v>
      </c>
      <c r="DL172" s="0" t="n">
        <v>5.8223</v>
      </c>
      <c r="DM172" s="0" t="n">
        <v>6.3233</v>
      </c>
      <c r="DN172" s="0" t="n">
        <v>6.6226</v>
      </c>
      <c r="DO172" s="0" t="n">
        <v>5.1905</v>
      </c>
      <c r="DP172" s="0" t="n">
        <v>7.5797</v>
      </c>
      <c r="DQ172" s="0" t="n">
        <v>7.6792</v>
      </c>
      <c r="DR172" s="0" t="n">
        <v>10.0486</v>
      </c>
      <c r="DS172" s="0" t="n">
        <v>8.0158</v>
      </c>
      <c r="DT172" s="0" t="n">
        <v>7.5801</v>
      </c>
      <c r="DU172" s="0" t="n">
        <v>7.912</v>
      </c>
      <c r="DV172" s="0" t="n">
        <v>7.4332</v>
      </c>
      <c r="DW172" s="0" t="n">
        <v>10.6493</v>
      </c>
      <c r="DX172" s="0" t="n">
        <v>11.2479</v>
      </c>
      <c r="DY172" s="0" t="n">
        <v>6.813</v>
      </c>
      <c r="DZ172" s="0" t="n">
        <v>10.5809</v>
      </c>
      <c r="EA172" s="0" t="n">
        <v>8.4473</v>
      </c>
      <c r="EB172" s="0" t="n">
        <v>7.0451</v>
      </c>
      <c r="EC172" s="0" t="n">
        <v>7.3982</v>
      </c>
      <c r="ED172" s="0" t="n">
        <v>4.3032</v>
      </c>
      <c r="EE172" s="0" t="n">
        <v>6.6428</v>
      </c>
      <c r="EF172" s="0" t="n">
        <v>4.1151</v>
      </c>
      <c r="EG172" s="0" t="n">
        <v>1.6045</v>
      </c>
      <c r="EH172" s="0" t="n">
        <v>2.1807</v>
      </c>
      <c r="EI172" s="0" t="n">
        <v>0.8892</v>
      </c>
      <c r="EJ172" s="0" t="n">
        <v>1.5969</v>
      </c>
      <c r="EK172" s="0" t="n">
        <v>1.3878</v>
      </c>
      <c r="EL172" s="0" t="n">
        <v>0.7169</v>
      </c>
      <c r="EM172" s="0" t="n">
        <v>0.9294</v>
      </c>
      <c r="EN172" s="0" t="n">
        <v>0.8275</v>
      </c>
      <c r="EO172" s="0" t="n">
        <v>0.2327</v>
      </c>
      <c r="EP172" s="0" t="n">
        <v>0.7029</v>
      </c>
      <c r="EQ172" s="0" t="n">
        <v>0.7474</v>
      </c>
      <c r="ER172" s="0" t="n">
        <v>0.2655</v>
      </c>
      <c r="ES172" s="0" t="n">
        <v>0.3124</v>
      </c>
      <c r="ET172" s="0" t="n">
        <v>0.1415</v>
      </c>
      <c r="EU172" s="0" t="n">
        <v>0.5163</v>
      </c>
      <c r="EV172" s="0" t="n">
        <v>0.4364</v>
      </c>
      <c r="EW172" s="0" t="n">
        <v>0.7185</v>
      </c>
      <c r="EX172" s="0" t="n">
        <v>0.1218</v>
      </c>
      <c r="EY172" s="0" t="n">
        <v>0.3603</v>
      </c>
      <c r="EZ172" s="0" t="n">
        <v>0.8292</v>
      </c>
      <c r="FA172" s="0" t="n">
        <v>0.0713</v>
      </c>
      <c r="FB172" s="0" t="n">
        <v>0.2218</v>
      </c>
      <c r="FC172" s="0" t="n">
        <v>0.0995</v>
      </c>
      <c r="FD172" s="0" t="n">
        <v>0.0822</v>
      </c>
      <c r="FE172" s="0" t="n">
        <v>0.1158</v>
      </c>
      <c r="FF172" s="0" t="n">
        <v>0.1108</v>
      </c>
      <c r="FG172" s="0" t="n">
        <v>0.2856</v>
      </c>
      <c r="FH172" s="0" t="n">
        <v>0.0604</v>
      </c>
      <c r="FI172" s="0" t="n">
        <v>0.0379</v>
      </c>
      <c r="FJ172" s="0" t="n">
        <v>0.2725</v>
      </c>
      <c r="FK172" s="0" t="n">
        <v>0.0232</v>
      </c>
      <c r="FL172" s="0" t="n">
        <v>0.0082</v>
      </c>
      <c r="FM172" s="0" t="n">
        <v>0.0167</v>
      </c>
      <c r="FN172" s="0" t="n">
        <v>0.0319</v>
      </c>
      <c r="FO172" s="0" t="n">
        <v>0.0159</v>
      </c>
      <c r="FP172" s="0" t="n">
        <v>0.6193</v>
      </c>
    </row>
    <row r="173" customFormat="false" ht="13.8" hidden="false" customHeight="false" outlineLevel="0" collapsed="false">
      <c r="A173" s="2" t="s">
        <v>503</v>
      </c>
      <c r="B173" s="0" t="s">
        <v>176</v>
      </c>
      <c r="C173" s="0" t="n">
        <v>234</v>
      </c>
      <c r="D173" s="0" t="s">
        <v>504</v>
      </c>
      <c r="G173" s="0" t="n">
        <v>4214.5063</v>
      </c>
      <c r="H173" s="0" t="n">
        <v>236.7769</v>
      </c>
      <c r="I173" s="0" t="n">
        <v>743.8565</v>
      </c>
      <c r="J173" s="0" t="n">
        <v>0.55515</v>
      </c>
      <c r="K173" s="0" t="n">
        <v>0.0212</v>
      </c>
      <c r="L173" s="0" t="n">
        <v>466.6504</v>
      </c>
      <c r="M173" s="0" t="n">
        <v>437.4848</v>
      </c>
      <c r="N173" s="0" t="n">
        <v>643.2879</v>
      </c>
      <c r="O173" s="0" t="n">
        <v>498.1761</v>
      </c>
      <c r="P173" s="0" t="n">
        <v>325.3014</v>
      </c>
      <c r="Q173" s="0" t="n">
        <v>204.5942</v>
      </c>
      <c r="R173" s="0" t="n">
        <v>188.3641</v>
      </c>
      <c r="S173" s="0" t="n">
        <v>111.1915</v>
      </c>
      <c r="T173" s="0" t="n">
        <v>86.3701</v>
      </c>
      <c r="U173" s="0" t="n">
        <v>72.8278</v>
      </c>
      <c r="V173" s="0" t="n">
        <v>72.0559</v>
      </c>
      <c r="W173" s="0" t="n">
        <v>65.1326</v>
      </c>
      <c r="X173" s="0" t="n">
        <v>59.8084</v>
      </c>
      <c r="Y173" s="0" t="n">
        <v>41.9792</v>
      </c>
      <c r="Z173" s="0" t="n">
        <v>39.9266</v>
      </c>
      <c r="AA173" s="0" t="n">
        <v>36.4886</v>
      </c>
      <c r="AB173" s="0" t="n">
        <v>33.9577</v>
      </c>
      <c r="AC173" s="0" t="n">
        <v>33.4157</v>
      </c>
      <c r="AD173" s="0" t="n">
        <v>38.7957</v>
      </c>
      <c r="AE173" s="0" t="n">
        <v>31.7977</v>
      </c>
      <c r="AF173" s="0" t="n">
        <v>38.4167</v>
      </c>
      <c r="AG173" s="0" t="n">
        <v>33.1506</v>
      </c>
      <c r="AH173" s="0" t="n">
        <v>37.7444</v>
      </c>
      <c r="AI173" s="0" t="n">
        <v>34.4271</v>
      </c>
      <c r="AJ173" s="0" t="n">
        <v>36.6367</v>
      </c>
      <c r="AK173" s="0" t="n">
        <v>37.252</v>
      </c>
      <c r="AL173" s="0" t="n">
        <v>32.4141</v>
      </c>
      <c r="AM173" s="0" t="n">
        <v>33.1369</v>
      </c>
      <c r="AN173" s="0" t="n">
        <v>32.442</v>
      </c>
      <c r="AO173" s="0" t="n">
        <v>36.128</v>
      </c>
      <c r="AP173" s="0" t="n">
        <v>36.1789</v>
      </c>
      <c r="AQ173" s="0" t="n">
        <v>32.0242</v>
      </c>
      <c r="AR173" s="0" t="n">
        <v>37.0671</v>
      </c>
      <c r="AS173" s="0" t="n">
        <v>33.099</v>
      </c>
      <c r="AT173" s="0" t="n">
        <v>35.6055</v>
      </c>
      <c r="AU173" s="0" t="n">
        <v>25.2038</v>
      </c>
      <c r="AV173" s="0" t="n">
        <v>19.4867</v>
      </c>
      <c r="AW173" s="0" t="n">
        <v>15.4292</v>
      </c>
      <c r="AX173" s="0" t="n">
        <v>18.1238</v>
      </c>
      <c r="AY173" s="0" t="n">
        <v>12.2263</v>
      </c>
      <c r="AZ173" s="0" t="n">
        <v>11.3714</v>
      </c>
      <c r="BA173" s="0" t="n">
        <v>11.6196</v>
      </c>
      <c r="BB173" s="0" t="n">
        <v>11.8777</v>
      </c>
      <c r="BC173" s="0" t="n">
        <v>12.0095</v>
      </c>
      <c r="BD173" s="0" t="n">
        <v>6.9903</v>
      </c>
      <c r="BE173" s="0" t="n">
        <v>6.3971</v>
      </c>
      <c r="BF173" s="0" t="n">
        <v>5.4136</v>
      </c>
      <c r="BG173" s="0" t="n">
        <v>3.335</v>
      </c>
      <c r="BH173" s="0" t="n">
        <v>4.1674</v>
      </c>
      <c r="BI173" s="0" t="n">
        <v>2.9656</v>
      </c>
      <c r="BJ173" s="0" t="n">
        <v>2.4681</v>
      </c>
      <c r="BK173" s="0" t="n">
        <v>3.8537</v>
      </c>
      <c r="BL173" s="0" t="n">
        <v>4.1796</v>
      </c>
      <c r="BM173" s="0" t="n">
        <v>2.1019</v>
      </c>
      <c r="BN173" s="0" t="n">
        <v>1.1933</v>
      </c>
      <c r="BO173" s="0" t="n">
        <v>1.2829</v>
      </c>
      <c r="BP173" s="0" t="n">
        <v>0.9408</v>
      </c>
      <c r="BQ173" s="0" t="n">
        <v>2.3553</v>
      </c>
      <c r="BR173" s="0" t="n">
        <v>1.9237</v>
      </c>
      <c r="BS173" s="0" t="n">
        <v>0.2217</v>
      </c>
      <c r="BT173" s="0" t="n">
        <v>0.5816</v>
      </c>
      <c r="BU173" s="0" t="n">
        <v>1.724</v>
      </c>
      <c r="BV173" s="0" t="n">
        <v>0.8549</v>
      </c>
      <c r="BW173" s="0" t="n">
        <v>1.0353</v>
      </c>
      <c r="BX173" s="0" t="n">
        <v>0.9158</v>
      </c>
      <c r="BY173" s="0" t="n">
        <v>0.4825</v>
      </c>
      <c r="BZ173" s="0" t="n">
        <v>0.5918</v>
      </c>
      <c r="CA173" s="0" t="n">
        <v>0.7235</v>
      </c>
      <c r="CB173" s="0" t="n">
        <v>0.9921</v>
      </c>
      <c r="CC173" s="0" t="n">
        <v>0.3327</v>
      </c>
      <c r="CD173" s="0" t="n">
        <v>0.6192</v>
      </c>
      <c r="CE173" s="0" t="n">
        <v>0.2429</v>
      </c>
      <c r="CF173" s="0" t="n">
        <v>0.2563</v>
      </c>
      <c r="CG173" s="0" t="n">
        <v>0.0396</v>
      </c>
      <c r="CH173" s="0" t="n">
        <v>0.2016</v>
      </c>
      <c r="CI173" s="0" t="n">
        <v>0.2213</v>
      </c>
      <c r="CJ173" s="0" t="n">
        <v>0.0132</v>
      </c>
      <c r="CK173" s="0" t="n">
        <v>0.0264</v>
      </c>
      <c r="CL173" s="0" t="n">
        <v>0.1505</v>
      </c>
      <c r="CM173" s="0" t="n">
        <v>2.3313</v>
      </c>
      <c r="CN173" s="0" t="n">
        <v>0.0002</v>
      </c>
      <c r="CO173" s="0" t="n">
        <v>12.1253</v>
      </c>
      <c r="CP173" s="0" t="n">
        <v>17.0098</v>
      </c>
      <c r="CQ173" s="0" t="n">
        <v>35.4812</v>
      </c>
      <c r="CR173" s="0" t="n">
        <v>34.6769</v>
      </c>
      <c r="CS173" s="0" t="n">
        <v>27.8812</v>
      </c>
      <c r="CT173" s="0" t="n">
        <v>20.8568</v>
      </c>
      <c r="CU173" s="0" t="n">
        <v>22.1372</v>
      </c>
      <c r="CV173" s="0" t="n">
        <v>14.8371</v>
      </c>
      <c r="CW173" s="0" t="n">
        <v>12.8255</v>
      </c>
      <c r="CX173" s="0" t="n">
        <v>11.9894</v>
      </c>
      <c r="CY173" s="0" t="n">
        <v>13.0507</v>
      </c>
      <c r="CZ173" s="0" t="n">
        <v>12.7911</v>
      </c>
      <c r="DA173" s="0" t="n">
        <v>12.6404</v>
      </c>
      <c r="DB173" s="0" t="n">
        <v>9.5495</v>
      </c>
      <c r="DC173" s="0" t="n">
        <v>9.7368</v>
      </c>
      <c r="DD173" s="0" t="n">
        <v>9.4454</v>
      </c>
      <c r="DE173" s="0" t="n">
        <v>9.324</v>
      </c>
      <c r="DF173" s="0" t="n">
        <v>9.7098</v>
      </c>
      <c r="DG173" s="0" t="n">
        <v>11.8784</v>
      </c>
      <c r="DH173" s="0" t="n">
        <v>10.2365</v>
      </c>
      <c r="DI173" s="0" t="n">
        <v>12.9784</v>
      </c>
      <c r="DJ173" s="0" t="n">
        <v>11.7197</v>
      </c>
      <c r="DK173" s="0" t="n">
        <v>13.9419</v>
      </c>
      <c r="DL173" s="0" t="n">
        <v>13.2521</v>
      </c>
      <c r="DM173" s="0" t="n">
        <v>14.6615</v>
      </c>
      <c r="DN173" s="0" t="n">
        <v>15.4894</v>
      </c>
      <c r="DO173" s="0" t="n">
        <v>14.0175</v>
      </c>
      <c r="DP173" s="0" t="n">
        <v>14.803</v>
      </c>
      <c r="DQ173" s="0" t="n">
        <v>15.0269</v>
      </c>
      <c r="DR173" s="0" t="n">
        <v>17.3072</v>
      </c>
      <c r="DS173" s="0" t="n">
        <v>17.9079</v>
      </c>
      <c r="DT173" s="0" t="n">
        <v>16.3612</v>
      </c>
      <c r="DU173" s="0" t="n">
        <v>19.5191</v>
      </c>
      <c r="DV173" s="0" t="n">
        <v>17.9162</v>
      </c>
      <c r="DW173" s="0" t="n">
        <v>19.8419</v>
      </c>
      <c r="DX173" s="0" t="n">
        <v>14.4542</v>
      </c>
      <c r="DY173" s="0" t="n">
        <v>11.4678</v>
      </c>
      <c r="DZ173" s="0" t="n">
        <v>9.3213</v>
      </c>
      <c r="EA173" s="0" t="n">
        <v>11.2368</v>
      </c>
      <c r="EB173" s="0" t="n">
        <v>7.7786</v>
      </c>
      <c r="EC173" s="0" t="n">
        <v>7.4095</v>
      </c>
      <c r="ED173" s="0" t="n">
        <v>7.7584</v>
      </c>
      <c r="EE173" s="0" t="n">
        <v>8.1091</v>
      </c>
      <c r="EF173" s="0" t="n">
        <v>8.3925</v>
      </c>
      <c r="EG173" s="0" t="n">
        <v>4.9988</v>
      </c>
      <c r="EH173" s="0" t="n">
        <v>4.6762</v>
      </c>
      <c r="EI173" s="0" t="n">
        <v>4.0297</v>
      </c>
      <c r="EJ173" s="0" t="n">
        <v>2.5404</v>
      </c>
      <c r="EK173" s="0" t="n">
        <v>3.2376</v>
      </c>
      <c r="EL173" s="0" t="n">
        <v>2.3553</v>
      </c>
      <c r="EM173" s="0" t="n">
        <v>1.9935</v>
      </c>
      <c r="EN173" s="0" t="n">
        <v>3.1771</v>
      </c>
      <c r="EO173" s="0" t="n">
        <v>3.5056</v>
      </c>
      <c r="EP173" s="0" t="n">
        <v>1.8005</v>
      </c>
      <c r="EQ173" s="0" t="n">
        <v>1.0414</v>
      </c>
      <c r="ER173" s="0" t="n">
        <v>1.1366</v>
      </c>
      <c r="ES173" s="0" t="n">
        <v>0.8483</v>
      </c>
      <c r="ET173" s="0" t="n">
        <v>2.17</v>
      </c>
      <c r="EU173" s="0" t="n">
        <v>1.7995</v>
      </c>
      <c r="EV173" s="0" t="n">
        <v>0.2108</v>
      </c>
      <c r="EW173" s="0" t="n">
        <v>0.5627</v>
      </c>
      <c r="EX173" s="0" t="n">
        <v>1.6943</v>
      </c>
      <c r="EY173" s="0" t="n">
        <v>0.8501</v>
      </c>
      <c r="EZ173" s="0" t="n">
        <v>1.0474</v>
      </c>
      <c r="FA173" s="0" t="n">
        <v>0.9401</v>
      </c>
      <c r="FB173" s="0" t="n">
        <v>0.5027</v>
      </c>
      <c r="FC173" s="0" t="n">
        <v>0.6272</v>
      </c>
      <c r="FD173" s="0" t="n">
        <v>0.7771</v>
      </c>
      <c r="FE173" s="0" t="n">
        <v>1.0835</v>
      </c>
      <c r="FF173" s="0" t="n">
        <v>0.3682</v>
      </c>
      <c r="FG173" s="0" t="n">
        <v>0.6949</v>
      </c>
      <c r="FH173" s="0" t="n">
        <v>0.2765</v>
      </c>
      <c r="FI173" s="0" t="n">
        <v>0.2963</v>
      </c>
      <c r="FJ173" s="0" t="n">
        <v>0.0464</v>
      </c>
      <c r="FK173" s="0" t="n">
        <v>0.24</v>
      </c>
      <c r="FL173" s="0" t="n">
        <v>0.2664</v>
      </c>
      <c r="FM173" s="0" t="n">
        <v>0.0161</v>
      </c>
      <c r="FN173" s="0" t="n">
        <v>0.0325</v>
      </c>
      <c r="FO173" s="0" t="n">
        <v>0.1874</v>
      </c>
      <c r="FP173" s="0" t="n">
        <v>3.1722</v>
      </c>
    </row>
    <row r="174" customFormat="false" ht="13.8" hidden="false" customHeight="false" outlineLevel="0" collapsed="false">
      <c r="A174" s="2" t="s">
        <v>505</v>
      </c>
      <c r="B174" s="0" t="s">
        <v>173</v>
      </c>
      <c r="C174" s="0" t="n">
        <v>114</v>
      </c>
      <c r="D174" s="0" t="s">
        <v>506</v>
      </c>
      <c r="G174" s="0" t="n">
        <v>5097.1972</v>
      </c>
      <c r="H174" s="0" t="n">
        <v>423.8456</v>
      </c>
      <c r="I174" s="0" t="n">
        <v>1331.5503</v>
      </c>
      <c r="J174" s="0" t="n">
        <v>0.835157142857143</v>
      </c>
      <c r="K174" s="0" t="n">
        <v>0.0968</v>
      </c>
      <c r="L174" s="0" t="n">
        <v>276.3376</v>
      </c>
      <c r="M174" s="0" t="n">
        <v>270.5153</v>
      </c>
      <c r="N174" s="0" t="n">
        <v>415.1476</v>
      </c>
      <c r="O174" s="0" t="n">
        <v>342.4051</v>
      </c>
      <c r="P174" s="0" t="n">
        <v>279.7146</v>
      </c>
      <c r="Q174" s="0" t="n">
        <v>213.0631</v>
      </c>
      <c r="R174" s="0" t="n">
        <v>238.6814</v>
      </c>
      <c r="S174" s="0" t="n">
        <v>160.0505</v>
      </c>
      <c r="T174" s="0" t="n">
        <v>154.8099</v>
      </c>
      <c r="U174" s="0" t="n">
        <v>141.746</v>
      </c>
      <c r="V174" s="0" t="n">
        <v>129.0215</v>
      </c>
      <c r="W174" s="0" t="n">
        <v>118.8165</v>
      </c>
      <c r="X174" s="0" t="n">
        <v>116.3166</v>
      </c>
      <c r="Y174" s="0" t="n">
        <v>93.2368</v>
      </c>
      <c r="Z174" s="0" t="n">
        <v>93.5156</v>
      </c>
      <c r="AA174" s="0" t="n">
        <v>85.2708</v>
      </c>
      <c r="AB174" s="0" t="n">
        <v>81.3806</v>
      </c>
      <c r="AC174" s="0" t="n">
        <v>77.4239</v>
      </c>
      <c r="AD174" s="0" t="n">
        <v>75.532</v>
      </c>
      <c r="AE174" s="0" t="n">
        <v>75.388</v>
      </c>
      <c r="AF174" s="0" t="n">
        <v>82.0618</v>
      </c>
      <c r="AG174" s="0" t="n">
        <v>68.5266</v>
      </c>
      <c r="AH174" s="0" t="n">
        <v>70.9201</v>
      </c>
      <c r="AI174" s="0" t="n">
        <v>73.0909</v>
      </c>
      <c r="AJ174" s="0" t="n">
        <v>71.709</v>
      </c>
      <c r="AK174" s="0" t="n">
        <v>92.1961</v>
      </c>
      <c r="AL174" s="0" t="n">
        <v>88.2224</v>
      </c>
      <c r="AM174" s="0" t="n">
        <v>88.3629</v>
      </c>
      <c r="AN174" s="0" t="n">
        <v>90.6596</v>
      </c>
      <c r="AO174" s="0" t="n">
        <v>93.9298</v>
      </c>
      <c r="AP174" s="0" t="n">
        <v>92.8675</v>
      </c>
      <c r="AQ174" s="0" t="n">
        <v>91.2572</v>
      </c>
      <c r="AR174" s="0" t="n">
        <v>87.1853</v>
      </c>
      <c r="AS174" s="0" t="n">
        <v>82.8128</v>
      </c>
      <c r="AT174" s="0" t="n">
        <v>83.9063</v>
      </c>
      <c r="AU174" s="0" t="n">
        <v>65.2778</v>
      </c>
      <c r="AV174" s="0" t="n">
        <v>51.2009</v>
      </c>
      <c r="AW174" s="0" t="n">
        <v>44.8249</v>
      </c>
      <c r="AX174" s="0" t="n">
        <v>43.5351</v>
      </c>
      <c r="AY174" s="0" t="n">
        <v>33.2218</v>
      </c>
      <c r="AZ174" s="0" t="n">
        <v>21.8008</v>
      </c>
      <c r="BA174" s="0" t="n">
        <v>22.787</v>
      </c>
      <c r="BB174" s="0" t="n">
        <v>16.7045</v>
      </c>
      <c r="BC174" s="0" t="n">
        <v>15.1438</v>
      </c>
      <c r="BD174" s="0" t="n">
        <v>13.1668</v>
      </c>
      <c r="BE174" s="0" t="n">
        <v>10.8669</v>
      </c>
      <c r="BF174" s="0" t="n">
        <v>8.5652</v>
      </c>
      <c r="BG174" s="0" t="n">
        <v>10.2707</v>
      </c>
      <c r="BH174" s="0" t="n">
        <v>4.358</v>
      </c>
      <c r="BI174" s="0" t="n">
        <v>5.9671</v>
      </c>
      <c r="BJ174" s="0" t="n">
        <v>4.014</v>
      </c>
      <c r="BK174" s="0" t="n">
        <v>4.1212</v>
      </c>
      <c r="BL174" s="0" t="n">
        <v>3.29</v>
      </c>
      <c r="BM174" s="0" t="n">
        <v>2.9825</v>
      </c>
      <c r="BN174" s="0" t="n">
        <v>3.4968</v>
      </c>
      <c r="BO174" s="0" t="n">
        <v>2.2093</v>
      </c>
      <c r="BP174" s="0" t="n">
        <v>2.2161</v>
      </c>
      <c r="BQ174" s="0" t="n">
        <v>1.0522</v>
      </c>
      <c r="BR174" s="0" t="n">
        <v>1.4134</v>
      </c>
      <c r="BS174" s="0" t="n">
        <v>0.6765</v>
      </c>
      <c r="BT174" s="0" t="n">
        <v>0.6214</v>
      </c>
      <c r="BU174" s="0" t="n">
        <v>0.5152</v>
      </c>
      <c r="BV174" s="0" t="n">
        <v>0.2761</v>
      </c>
      <c r="BW174" s="0" t="n">
        <v>0.3439</v>
      </c>
      <c r="BX174" s="0" t="n">
        <v>0.6014</v>
      </c>
      <c r="BY174" s="0" t="n">
        <v>0.256</v>
      </c>
      <c r="BZ174" s="0" t="n">
        <v>0.9762</v>
      </c>
      <c r="CA174" s="0" t="n">
        <v>0.2055</v>
      </c>
      <c r="CB174" s="0" t="n">
        <v>0.1553</v>
      </c>
      <c r="CC174" s="0" t="n">
        <v>0.4743</v>
      </c>
      <c r="CD174" s="0" t="n">
        <v>0.5872</v>
      </c>
      <c r="CE174" s="0" t="n">
        <v>0.1584</v>
      </c>
      <c r="CF174" s="0" t="n">
        <v>0.3305</v>
      </c>
      <c r="CG174" s="0" t="n">
        <v>0.1151</v>
      </c>
      <c r="CH174" s="0" t="n">
        <v>0.1657</v>
      </c>
      <c r="CI174" s="0" t="n">
        <v>0.2566</v>
      </c>
      <c r="CJ174" s="0" t="n">
        <v>0.2143</v>
      </c>
      <c r="CK174" s="0" t="n">
        <v>0.1848</v>
      </c>
      <c r="CL174" s="0" t="n">
        <v>0.0407</v>
      </c>
      <c r="CM174" s="0" t="n">
        <v>0.197</v>
      </c>
      <c r="CN174" s="0" t="n">
        <v>0.0012</v>
      </c>
      <c r="CO174" s="0" t="n">
        <v>7.2663</v>
      </c>
      <c r="CP174" s="0" t="n">
        <v>10.53</v>
      </c>
      <c r="CQ174" s="0" t="n">
        <v>22.8693</v>
      </c>
      <c r="CR174" s="0" t="n">
        <v>23.8295</v>
      </c>
      <c r="CS174" s="0" t="n">
        <v>24.0742</v>
      </c>
      <c r="CT174" s="0" t="n">
        <v>21.7377</v>
      </c>
      <c r="CU174" s="0" t="n">
        <v>28.1733</v>
      </c>
      <c r="CV174" s="0" t="n">
        <v>21.3871</v>
      </c>
      <c r="CW174" s="0" t="n">
        <v>23.0183</v>
      </c>
      <c r="CX174" s="0" t="n">
        <v>23.3499</v>
      </c>
      <c r="CY174" s="0" t="n">
        <v>23.3352</v>
      </c>
      <c r="CZ174" s="0" t="n">
        <v>23.2649</v>
      </c>
      <c r="DA174" s="0" t="n">
        <v>24.6304</v>
      </c>
      <c r="DB174" s="0" t="n">
        <v>21.2268</v>
      </c>
      <c r="DC174" s="0" t="n">
        <v>22.8014</v>
      </c>
      <c r="DD174" s="0" t="n">
        <v>22.0559</v>
      </c>
      <c r="DE174" s="0" t="n">
        <v>22.3573</v>
      </c>
      <c r="DF174" s="0" t="n">
        <v>22.505</v>
      </c>
      <c r="DG174" s="0" t="n">
        <v>23.1218</v>
      </c>
      <c r="DH174" s="0" t="n">
        <v>24.2961</v>
      </c>
      <c r="DI174" s="0" t="n">
        <v>27.7125</v>
      </c>
      <c r="DJ174" s="0" t="n">
        <v>24.1989</v>
      </c>
      <c r="DK174" s="0" t="n">
        <v>26.1776</v>
      </c>
      <c r="DL174" s="0" t="n">
        <v>28.1432</v>
      </c>
      <c r="DM174" s="0" t="n">
        <v>28.734</v>
      </c>
      <c r="DN174" s="0" t="n">
        <v>38.3729</v>
      </c>
      <c r="DO174" s="0" t="n">
        <v>38.1618</v>
      </c>
      <c r="DP174" s="0" t="n">
        <v>39.544</v>
      </c>
      <c r="DQ174" s="0" t="n">
        <v>41.9855</v>
      </c>
      <c r="DR174" s="0" t="n">
        <v>44.9843</v>
      </c>
      <c r="DS174" s="0" t="n">
        <v>45.9961</v>
      </c>
      <c r="DT174" s="0" t="n">
        <v>46.6075</v>
      </c>
      <c r="DU174" s="0" t="n">
        <v>45.9075</v>
      </c>
      <c r="DV174" s="0" t="n">
        <v>44.8128</v>
      </c>
      <c r="DW174" s="0" t="n">
        <v>46.7934</v>
      </c>
      <c r="DX174" s="0" t="n">
        <v>37.436</v>
      </c>
      <c r="DY174" s="0" t="n">
        <v>30.1539</v>
      </c>
      <c r="DZ174" s="0" t="n">
        <v>27.0808</v>
      </c>
      <c r="EA174" s="0" t="n">
        <v>27.0018</v>
      </c>
      <c r="EB174" s="0" t="n">
        <v>21.145</v>
      </c>
      <c r="EC174" s="0" t="n">
        <v>14.1893</v>
      </c>
      <c r="ED174" s="0" t="n">
        <v>15.1942</v>
      </c>
      <c r="EE174" s="0" t="n">
        <v>11.42</v>
      </c>
      <c r="EF174" s="0" t="n">
        <v>10.5817</v>
      </c>
      <c r="EG174" s="0" t="n">
        <v>9.4083</v>
      </c>
      <c r="EH174" s="0" t="n">
        <v>7.9431</v>
      </c>
      <c r="EI174" s="0" t="n">
        <v>6.3855</v>
      </c>
      <c r="EJ174" s="0" t="n">
        <v>7.8181</v>
      </c>
      <c r="EK174" s="0" t="n">
        <v>3.3913</v>
      </c>
      <c r="EL174" s="0" t="n">
        <v>4.7332</v>
      </c>
      <c r="EM174" s="0" t="n">
        <v>3.2483</v>
      </c>
      <c r="EN174" s="0" t="n">
        <v>3.3999</v>
      </c>
      <c r="EO174" s="0" t="n">
        <v>2.7601</v>
      </c>
      <c r="EP174" s="0" t="n">
        <v>2.5537</v>
      </c>
      <c r="EQ174" s="0" t="n">
        <v>3.0449</v>
      </c>
      <c r="ER174" s="0" t="n">
        <v>2.014</v>
      </c>
      <c r="ES174" s="0" t="n">
        <v>2.0012</v>
      </c>
      <c r="ET174" s="0" t="n">
        <v>0.9656</v>
      </c>
      <c r="EU174" s="0" t="n">
        <v>1.321</v>
      </c>
      <c r="EV174" s="0" t="n">
        <v>0.6419</v>
      </c>
      <c r="EW174" s="0" t="n">
        <v>0.6005</v>
      </c>
      <c r="EX174" s="0" t="n">
        <v>0.5049</v>
      </c>
      <c r="EY174" s="0" t="n">
        <v>0.2747</v>
      </c>
      <c r="EZ174" s="0" t="n">
        <v>0.3483</v>
      </c>
      <c r="FA174" s="0" t="n">
        <v>0.6181</v>
      </c>
      <c r="FB174" s="0" t="n">
        <v>0.2667</v>
      </c>
      <c r="FC174" s="0" t="n">
        <v>1.0344</v>
      </c>
      <c r="FD174" s="0" t="n">
        <v>0.2203</v>
      </c>
      <c r="FE174" s="0" t="n">
        <v>0.1694</v>
      </c>
      <c r="FF174" s="0" t="n">
        <v>0.5232</v>
      </c>
      <c r="FG174" s="0" t="n">
        <v>0.6596</v>
      </c>
      <c r="FH174" s="0" t="n">
        <v>0.1804</v>
      </c>
      <c r="FI174" s="0" t="n">
        <v>0.3806</v>
      </c>
      <c r="FJ174" s="0" t="n">
        <v>0.1347</v>
      </c>
      <c r="FK174" s="0" t="n">
        <v>0.1964</v>
      </c>
      <c r="FL174" s="0" t="n">
        <v>0.3079</v>
      </c>
      <c r="FM174" s="0" t="n">
        <v>0.2598</v>
      </c>
      <c r="FN174" s="0" t="n">
        <v>0.2285</v>
      </c>
      <c r="FO174" s="0" t="n">
        <v>0.0508</v>
      </c>
      <c r="FP174" s="0" t="n">
        <v>0.2784</v>
      </c>
    </row>
    <row r="175" customFormat="false" ht="13.8" hidden="false" customHeight="false" outlineLevel="0" collapsed="false">
      <c r="A175" s="2" t="s">
        <v>507</v>
      </c>
      <c r="B175" s="0" t="s">
        <v>173</v>
      </c>
      <c r="C175" s="0" t="n">
        <v>13</v>
      </c>
      <c r="D175" s="0" t="s">
        <v>508</v>
      </c>
      <c r="F175" s="0" t="e">
        <f aca="false">VLOOKUP(A175,[1]ROOT!$A$1:$C$1048576,3,0)</f>
        <v>#N/A</v>
      </c>
      <c r="G175" s="0" t="n">
        <v>1335.5279</v>
      </c>
      <c r="H175" s="0" t="n">
        <v>104.4296</v>
      </c>
      <c r="I175" s="0" t="n">
        <v>328.0755</v>
      </c>
      <c r="J175" s="0" t="n">
        <v>0.7671</v>
      </c>
      <c r="K175" s="0" t="n">
        <v>0</v>
      </c>
      <c r="L175" s="0" t="n">
        <v>106.3079</v>
      </c>
      <c r="M175" s="0" t="n">
        <v>110.2335</v>
      </c>
      <c r="N175" s="0" t="n">
        <v>86.1151</v>
      </c>
      <c r="O175" s="0" t="n">
        <v>0.3289</v>
      </c>
      <c r="P175" s="0" t="n">
        <v>95.2073</v>
      </c>
      <c r="Q175" s="0" t="n">
        <v>55.666</v>
      </c>
      <c r="R175" s="0" t="n">
        <v>101.4958</v>
      </c>
      <c r="S175" s="0" t="n">
        <v>63.7947</v>
      </c>
      <c r="T175" s="0" t="n">
        <v>9.1686</v>
      </c>
      <c r="U175" s="0" t="n">
        <v>51.398</v>
      </c>
      <c r="V175" s="0" t="n">
        <v>53.5816</v>
      </c>
      <c r="W175" s="0" t="n">
        <v>30.7312</v>
      </c>
      <c r="X175" s="0" t="n">
        <v>31.6927</v>
      </c>
      <c r="Y175" s="0" t="n">
        <v>18.7586</v>
      </c>
      <c r="Z175" s="0" t="n">
        <v>19.1962</v>
      </c>
      <c r="AA175" s="0" t="n">
        <v>11.8466</v>
      </c>
      <c r="AB175" s="0" t="n">
        <v>25.7926</v>
      </c>
      <c r="AC175" s="0" t="n">
        <v>11.8504</v>
      </c>
      <c r="AD175" s="0" t="n">
        <v>27.8198</v>
      </c>
      <c r="AE175" s="0" t="n">
        <v>17.555</v>
      </c>
      <c r="AF175" s="0" t="n">
        <v>31.7832</v>
      </c>
      <c r="AG175" s="0" t="n">
        <v>12.2075</v>
      </c>
      <c r="AH175" s="0" t="n">
        <v>16.7011</v>
      </c>
      <c r="AI175" s="0" t="n">
        <v>25.3457</v>
      </c>
      <c r="AJ175" s="0" t="n">
        <v>6.4062</v>
      </c>
      <c r="AK175" s="0" t="n">
        <v>34.6461</v>
      </c>
      <c r="AL175" s="0" t="n">
        <v>29.557</v>
      </c>
      <c r="AM175" s="0" t="n">
        <v>14.7957</v>
      </c>
      <c r="AN175" s="0" t="n">
        <v>12.0644</v>
      </c>
      <c r="AO175" s="0" t="n">
        <v>38.0107</v>
      </c>
      <c r="AP175" s="0" t="n">
        <v>18.844</v>
      </c>
      <c r="AQ175" s="0" t="n">
        <v>24.844</v>
      </c>
      <c r="AR175" s="0" t="n">
        <v>15.9094</v>
      </c>
      <c r="AS175" s="0" t="n">
        <v>17.8342</v>
      </c>
      <c r="AT175" s="0" t="n">
        <v>25.9051</v>
      </c>
      <c r="AU175" s="0" t="n">
        <v>18.4062</v>
      </c>
      <c r="AV175" s="0" t="n">
        <v>1.4395</v>
      </c>
      <c r="AW175" s="0" t="n">
        <v>11.9566</v>
      </c>
      <c r="AX175" s="0" t="n">
        <v>12.281</v>
      </c>
      <c r="AY175" s="0" t="n">
        <v>6.8943</v>
      </c>
      <c r="AZ175" s="0" t="n">
        <v>6.4187</v>
      </c>
      <c r="BA175" s="0" t="n">
        <v>4.7857</v>
      </c>
      <c r="BB175" s="0" t="n">
        <v>5.6691</v>
      </c>
      <c r="BC175" s="0" t="n">
        <v>3.3531</v>
      </c>
      <c r="BD175" s="0" t="n">
        <v>1.2327</v>
      </c>
      <c r="BE175" s="0" t="n">
        <v>2.2542</v>
      </c>
      <c r="BF175" s="0" t="n">
        <v>0.302</v>
      </c>
      <c r="BG175" s="0" t="n">
        <v>1.3667</v>
      </c>
      <c r="BH175" s="0" t="n">
        <v>0.9622</v>
      </c>
      <c r="BI175" s="0" t="n">
        <v>0.8146</v>
      </c>
      <c r="BJ175" s="0" t="n">
        <v>0.8907</v>
      </c>
      <c r="BK175" s="0" t="n">
        <v>0.9547</v>
      </c>
      <c r="BL175" s="0" t="n">
        <v>0.2771</v>
      </c>
      <c r="BM175" s="0" t="n">
        <v>0.4363</v>
      </c>
      <c r="BN175" s="0" t="n">
        <v>0.2411</v>
      </c>
      <c r="BO175" s="0" t="n">
        <v>0.0878</v>
      </c>
      <c r="BP175" s="0" t="n">
        <v>0.1063</v>
      </c>
      <c r="BQ175" s="0" t="n">
        <v>0.0069</v>
      </c>
      <c r="BR175" s="0" t="n">
        <v>0</v>
      </c>
      <c r="BS175" s="0" t="n">
        <v>0.2169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0.2231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2.2741</v>
      </c>
      <c r="CP175" s="0" t="n">
        <v>4.6714</v>
      </c>
      <c r="CQ175" s="0" t="n">
        <v>5.2553</v>
      </c>
      <c r="CR175" s="0" t="n">
        <v>0.0228</v>
      </c>
      <c r="CS175" s="0" t="n">
        <v>7.9463</v>
      </c>
      <c r="CT175" s="0" t="n">
        <v>5.646</v>
      </c>
      <c r="CU175" s="0" t="n">
        <v>11.9269</v>
      </c>
      <c r="CV175" s="0" t="n">
        <v>8.8622</v>
      </c>
      <c r="CW175" s="0" t="n">
        <v>1.3257</v>
      </c>
      <c r="CX175" s="0" t="n">
        <v>8.3552</v>
      </c>
      <c r="CY175" s="0" t="n">
        <v>9.7936</v>
      </c>
      <c r="CZ175" s="0" t="n">
        <v>6.1031</v>
      </c>
      <c r="DA175" s="0" t="n">
        <v>6.6508</v>
      </c>
      <c r="DB175" s="0" t="n">
        <v>4.2637</v>
      </c>
      <c r="DC175" s="0" t="n">
        <v>4.6971</v>
      </c>
      <c r="DD175" s="0" t="n">
        <v>3.032</v>
      </c>
      <c r="DE175" s="0" t="n">
        <v>7.0724</v>
      </c>
      <c r="DF175" s="0" t="n">
        <v>3.4268</v>
      </c>
      <c r="DG175" s="0" t="n">
        <v>8.4481</v>
      </c>
      <c r="DH175" s="0" t="n">
        <v>5.6409</v>
      </c>
      <c r="DI175" s="0" t="n">
        <v>10.8084</v>
      </c>
      <c r="DJ175" s="0" t="n">
        <v>4.3288</v>
      </c>
      <c r="DK175" s="0" t="n">
        <v>6.1681</v>
      </c>
      <c r="DL175" s="0" t="n">
        <v>9.8942</v>
      </c>
      <c r="DM175" s="0" t="n">
        <v>2.5513</v>
      </c>
      <c r="DN175" s="0" t="n">
        <v>14.3812</v>
      </c>
      <c r="DO175" s="0" t="n">
        <v>12.8811</v>
      </c>
      <c r="DP175" s="0" t="n">
        <v>6.7156</v>
      </c>
      <c r="DQ175" s="0" t="n">
        <v>5.5531</v>
      </c>
      <c r="DR175" s="0" t="n">
        <v>18.1949</v>
      </c>
      <c r="DS175" s="0" t="n">
        <v>9.3556</v>
      </c>
      <c r="DT175" s="0" t="n">
        <v>12.696</v>
      </c>
      <c r="DU175" s="0" t="n">
        <v>8.3786</v>
      </c>
      <c r="DV175" s="0" t="n">
        <v>9.5808</v>
      </c>
      <c r="DW175" s="0" t="n">
        <v>14.4054</v>
      </c>
      <c r="DX175" s="0" t="n">
        <v>10.6254</v>
      </c>
      <c r="DY175" s="0" t="n">
        <v>0.853</v>
      </c>
      <c r="DZ175" s="0" t="n">
        <v>7.1599</v>
      </c>
      <c r="EA175" s="0" t="n">
        <v>7.6146</v>
      </c>
      <c r="EB175" s="0" t="n">
        <v>4.409</v>
      </c>
      <c r="EC175" s="0" t="n">
        <v>4.1666</v>
      </c>
      <c r="ED175" s="0" t="n">
        <v>3.1775</v>
      </c>
      <c r="EE175" s="0" t="n">
        <v>3.8705</v>
      </c>
      <c r="EF175" s="0" t="n">
        <v>2.3556</v>
      </c>
      <c r="EG175" s="0" t="n">
        <v>0.8818</v>
      </c>
      <c r="EH175" s="0" t="n">
        <v>1.6454</v>
      </c>
      <c r="EI175" s="0" t="n">
        <v>0.2246</v>
      </c>
      <c r="EJ175" s="0" t="n">
        <v>1.0388</v>
      </c>
      <c r="EK175" s="0" t="n">
        <v>0.7524</v>
      </c>
      <c r="EL175" s="0" t="n">
        <v>0.6488</v>
      </c>
      <c r="EM175" s="0" t="n">
        <v>0.7176</v>
      </c>
      <c r="EN175" s="0" t="n">
        <v>0.7871</v>
      </c>
      <c r="EO175" s="0" t="n">
        <v>0.234</v>
      </c>
      <c r="EP175" s="0" t="n">
        <v>0.3721</v>
      </c>
      <c r="EQ175" s="0" t="n">
        <v>0.2109</v>
      </c>
      <c r="ER175" s="0" t="n">
        <v>0.078</v>
      </c>
      <c r="ES175" s="0" t="n">
        <v>0.0956</v>
      </c>
      <c r="ET175" s="0" t="n">
        <v>0.0063</v>
      </c>
      <c r="EU175" s="0" t="n">
        <v>0</v>
      </c>
      <c r="EV175" s="0" t="n">
        <v>0.2077</v>
      </c>
      <c r="EW175" s="0" t="n">
        <v>0</v>
      </c>
      <c r="EX175" s="0" t="n">
        <v>0</v>
      </c>
      <c r="EY175" s="0" t="n">
        <v>0</v>
      </c>
      <c r="EZ175" s="0" t="n">
        <v>0</v>
      </c>
      <c r="FA175" s="0" t="n">
        <v>0.2313</v>
      </c>
      <c r="FB175" s="0" t="n">
        <v>0</v>
      </c>
      <c r="FC175" s="0" t="n">
        <v>0</v>
      </c>
      <c r="FD175" s="0" t="n">
        <v>0</v>
      </c>
      <c r="FE175" s="0" t="n">
        <v>0</v>
      </c>
      <c r="FF175" s="0" t="n">
        <v>0</v>
      </c>
      <c r="FG175" s="0" t="n">
        <v>0</v>
      </c>
      <c r="FH175" s="0" t="n">
        <v>0</v>
      </c>
      <c r="FI175" s="0" t="n">
        <v>0</v>
      </c>
      <c r="FJ175" s="0" t="n">
        <v>0</v>
      </c>
      <c r="FK175" s="0" t="n">
        <v>0</v>
      </c>
      <c r="FL175" s="0" t="n">
        <v>0</v>
      </c>
      <c r="FM175" s="0" t="n">
        <v>0</v>
      </c>
      <c r="FN175" s="0" t="n">
        <v>0</v>
      </c>
      <c r="FO175" s="0" t="n">
        <v>0</v>
      </c>
      <c r="FP175" s="0" t="n">
        <v>0</v>
      </c>
    </row>
    <row r="176" customFormat="false" ht="13.8" hidden="false" customHeight="false" outlineLevel="0" collapsed="false">
      <c r="A176" s="2" t="s">
        <v>509</v>
      </c>
      <c r="B176" s="0" t="s">
        <v>173</v>
      </c>
      <c r="C176" s="0" t="n">
        <v>184</v>
      </c>
      <c r="D176" s="0" t="s">
        <v>510</v>
      </c>
      <c r="F176" s="0" t="e">
        <f aca="false">VLOOKUP(A176,[1]ROOT!$A$1:$C$1048576,3,0)</f>
        <v>#N/A</v>
      </c>
      <c r="G176" s="0" t="n">
        <v>1471.09</v>
      </c>
      <c r="H176" s="0" t="n">
        <v>157.7588</v>
      </c>
      <c r="I176" s="0" t="n">
        <v>495.6137</v>
      </c>
      <c r="J176" s="0" t="n">
        <v>1.0846</v>
      </c>
      <c r="K176" s="0" t="n">
        <v>0</v>
      </c>
      <c r="L176" s="0" t="n">
        <v>6.6943</v>
      </c>
      <c r="M176" s="0" t="n">
        <v>12.0568</v>
      </c>
      <c r="N176" s="0" t="n">
        <v>63.5865</v>
      </c>
      <c r="O176" s="0" t="n">
        <v>71.3929</v>
      </c>
      <c r="P176" s="0" t="n">
        <v>61.0686</v>
      </c>
      <c r="Q176" s="0" t="n">
        <v>103.0793</v>
      </c>
      <c r="R176" s="0" t="n">
        <v>54.0283</v>
      </c>
      <c r="S176" s="0" t="n">
        <v>54.4038</v>
      </c>
      <c r="T176" s="0" t="n">
        <v>49.8939</v>
      </c>
      <c r="U176" s="0" t="n">
        <v>72.4584</v>
      </c>
      <c r="V176" s="0" t="n">
        <v>33.7255</v>
      </c>
      <c r="W176" s="0" t="n">
        <v>50.5215</v>
      </c>
      <c r="X176" s="0" t="n">
        <v>35.5731</v>
      </c>
      <c r="Y176" s="0" t="n">
        <v>25.9921</v>
      </c>
      <c r="Z176" s="0" t="n">
        <v>35.7876</v>
      </c>
      <c r="AA176" s="0" t="n">
        <v>39.0942</v>
      </c>
      <c r="AB176" s="0" t="n">
        <v>36.4611</v>
      </c>
      <c r="AC176" s="0" t="n">
        <v>23.2979</v>
      </c>
      <c r="AD176" s="0" t="n">
        <v>31.9335</v>
      </c>
      <c r="AE176" s="0" t="n">
        <v>26.1588</v>
      </c>
      <c r="AF176" s="0" t="n">
        <v>34.1397</v>
      </c>
      <c r="AG176" s="0" t="n">
        <v>15.3318</v>
      </c>
      <c r="AH176" s="0" t="n">
        <v>22.4032</v>
      </c>
      <c r="AI176" s="0" t="n">
        <v>24.6223</v>
      </c>
      <c r="AJ176" s="0" t="n">
        <v>19.3787</v>
      </c>
      <c r="AK176" s="0" t="n">
        <v>39.132</v>
      </c>
      <c r="AL176" s="0" t="n">
        <v>24.9853</v>
      </c>
      <c r="AM176" s="0" t="n">
        <v>35.232</v>
      </c>
      <c r="AN176" s="0" t="n">
        <v>43.4626</v>
      </c>
      <c r="AO176" s="0" t="n">
        <v>36.9477</v>
      </c>
      <c r="AP176" s="0" t="n">
        <v>28.2529</v>
      </c>
      <c r="AQ176" s="0" t="n">
        <v>32.9298</v>
      </c>
      <c r="AR176" s="0" t="n">
        <v>33.8663</v>
      </c>
      <c r="AS176" s="0" t="n">
        <v>24.164</v>
      </c>
      <c r="AT176" s="0" t="n">
        <v>29.344</v>
      </c>
      <c r="AU176" s="0" t="n">
        <v>27.5839</v>
      </c>
      <c r="AV176" s="0" t="n">
        <v>12.8901</v>
      </c>
      <c r="AW176" s="0" t="n">
        <v>17.7444</v>
      </c>
      <c r="AX176" s="0" t="n">
        <v>18.5383</v>
      </c>
      <c r="AY176" s="0" t="n">
        <v>9.1165</v>
      </c>
      <c r="AZ176" s="0" t="n">
        <v>12.7541</v>
      </c>
      <c r="BA176" s="0" t="n">
        <v>6.9177</v>
      </c>
      <c r="BB176" s="0" t="n">
        <v>7.5217</v>
      </c>
      <c r="BC176" s="0" t="n">
        <v>4.7618</v>
      </c>
      <c r="BD176" s="0" t="n">
        <v>2.1186</v>
      </c>
      <c r="BE176" s="0" t="n">
        <v>3.0753</v>
      </c>
      <c r="BF176" s="0" t="n">
        <v>1.6249</v>
      </c>
      <c r="BG176" s="0" t="n">
        <v>1.8817</v>
      </c>
      <c r="BH176" s="0" t="n">
        <v>1.6983</v>
      </c>
      <c r="BI176" s="0" t="n">
        <v>1.0194</v>
      </c>
      <c r="BJ176" s="0" t="n">
        <v>0.8527</v>
      </c>
      <c r="BK176" s="0" t="n">
        <v>1.558</v>
      </c>
      <c r="BL176" s="0" t="n">
        <v>1.458</v>
      </c>
      <c r="BM176" s="0" t="n">
        <v>0.5811</v>
      </c>
      <c r="BN176" s="0" t="n">
        <v>0.5911</v>
      </c>
      <c r="BO176" s="0" t="n">
        <v>0.3564</v>
      </c>
      <c r="BP176" s="0" t="n">
        <v>0.4542</v>
      </c>
      <c r="BQ176" s="0" t="n">
        <v>0.5073</v>
      </c>
      <c r="BR176" s="0" t="n">
        <v>0.7314</v>
      </c>
      <c r="BS176" s="0" t="n">
        <v>0.2538</v>
      </c>
      <c r="BT176" s="0" t="n">
        <v>0.4927</v>
      </c>
      <c r="BU176" s="0" t="n">
        <v>0.2035</v>
      </c>
      <c r="BV176" s="0" t="n">
        <v>0.4652</v>
      </c>
      <c r="BW176" s="0" t="n">
        <v>0.2349</v>
      </c>
      <c r="BX176" s="0" t="n">
        <v>0.0624</v>
      </c>
      <c r="BY176" s="0" t="n">
        <v>0.0587</v>
      </c>
      <c r="BZ176" s="0" t="n">
        <v>0.0127</v>
      </c>
      <c r="CA176" s="0" t="n">
        <v>0.0063</v>
      </c>
      <c r="CB176" s="0" t="n">
        <v>0.0132</v>
      </c>
      <c r="CC176" s="0" t="n">
        <v>0.1063</v>
      </c>
      <c r="CD176" s="0" t="n">
        <v>0.1575</v>
      </c>
      <c r="CE176" s="0" t="n">
        <v>0.0063</v>
      </c>
      <c r="CF176" s="0" t="n">
        <v>0.009</v>
      </c>
      <c r="CG176" s="0" t="n">
        <v>0.0063</v>
      </c>
      <c r="CH176" s="0" t="n">
        <v>0.0206</v>
      </c>
      <c r="CI176" s="0" t="n">
        <v>0.3632</v>
      </c>
      <c r="CJ176" s="0" t="n">
        <v>0</v>
      </c>
      <c r="CK176" s="0" t="n">
        <v>0</v>
      </c>
      <c r="CL176" s="0" t="n">
        <v>0</v>
      </c>
      <c r="CM176" s="0" t="n">
        <v>0.6088</v>
      </c>
      <c r="CN176" s="0" t="n">
        <v>0</v>
      </c>
      <c r="CO176" s="0" t="n">
        <v>0.185</v>
      </c>
      <c r="CP176" s="0" t="n">
        <v>0.4798</v>
      </c>
      <c r="CQ176" s="0" t="n">
        <v>3.5794</v>
      </c>
      <c r="CR176" s="0" t="n">
        <v>5.0726</v>
      </c>
      <c r="CS176" s="0" t="n">
        <v>5.124</v>
      </c>
      <c r="CT176" s="0" t="n">
        <v>10.3952</v>
      </c>
      <c r="CU176" s="0" t="n">
        <v>6.4374</v>
      </c>
      <c r="CV176" s="0" t="n">
        <v>7.2509</v>
      </c>
      <c r="CW176" s="0" t="n">
        <v>7.3419</v>
      </c>
      <c r="CX176" s="0" t="n">
        <v>12.0318</v>
      </c>
      <c r="CY176" s="0" t="n">
        <v>6.1194</v>
      </c>
      <c r="CZ176" s="0" t="n">
        <v>9.8994</v>
      </c>
      <c r="DA176" s="0" t="n">
        <v>7.6749</v>
      </c>
      <c r="DB176" s="0" t="n">
        <v>5.8907</v>
      </c>
      <c r="DC176" s="0" t="n">
        <v>8.6682</v>
      </c>
      <c r="DD176" s="0" t="n">
        <v>10.1013</v>
      </c>
      <c r="DE176" s="0" t="n">
        <v>10.0843</v>
      </c>
      <c r="DF176" s="0" t="n">
        <v>6.7841</v>
      </c>
      <c r="DG176" s="0" t="n">
        <v>9.7755</v>
      </c>
      <c r="DH176" s="0" t="n">
        <v>8.3881</v>
      </c>
      <c r="DI176" s="0" t="n">
        <v>11.5882</v>
      </c>
      <c r="DJ176" s="0" t="n">
        <v>5.4773</v>
      </c>
      <c r="DK176" s="0" t="n">
        <v>8.2381</v>
      </c>
      <c r="DL176" s="0" t="n">
        <v>9.506</v>
      </c>
      <c r="DM176" s="0" t="n">
        <v>7.7529</v>
      </c>
      <c r="DN176" s="0" t="n">
        <v>16.3181</v>
      </c>
      <c r="DO176" s="0" t="n">
        <v>10.8399</v>
      </c>
      <c r="DP176" s="0" t="n">
        <v>15.7142</v>
      </c>
      <c r="DQ176" s="0" t="n">
        <v>20.1158</v>
      </c>
      <c r="DR176" s="0" t="n">
        <v>17.7862</v>
      </c>
      <c r="DS176" s="0" t="n">
        <v>13.9275</v>
      </c>
      <c r="DT176" s="0" t="n">
        <v>16.7724</v>
      </c>
      <c r="DU176" s="0" t="n">
        <v>17.8431</v>
      </c>
      <c r="DV176" s="0" t="n">
        <v>13.0605</v>
      </c>
      <c r="DW176" s="0" t="n">
        <v>16.3013</v>
      </c>
      <c r="DX176" s="0" t="n">
        <v>15.8336</v>
      </c>
      <c r="DY176" s="0" t="n">
        <v>7.6193</v>
      </c>
      <c r="DZ176" s="0" t="n">
        <v>10.6924</v>
      </c>
      <c r="EA176" s="0" t="n">
        <v>11.5029</v>
      </c>
      <c r="EB176" s="0" t="n">
        <v>5.8134</v>
      </c>
      <c r="EC176" s="0" t="n">
        <v>8.3231</v>
      </c>
      <c r="ED176" s="0" t="n">
        <v>4.603</v>
      </c>
      <c r="EE176" s="0" t="n">
        <v>5.1265</v>
      </c>
      <c r="EF176" s="0" t="n">
        <v>3.3398</v>
      </c>
      <c r="EG176" s="0" t="n">
        <v>1.5152</v>
      </c>
      <c r="EH176" s="0" t="n">
        <v>2.241</v>
      </c>
      <c r="EI176" s="0" t="n">
        <v>1.2108</v>
      </c>
      <c r="EJ176" s="0" t="n">
        <v>1.4304</v>
      </c>
      <c r="EK176" s="0" t="n">
        <v>1.3181</v>
      </c>
      <c r="EL176" s="0" t="n">
        <v>0.8061</v>
      </c>
      <c r="EM176" s="0" t="n">
        <v>0.6887</v>
      </c>
      <c r="EN176" s="0" t="n">
        <v>1.2877</v>
      </c>
      <c r="EO176" s="0" t="n">
        <v>1.2315</v>
      </c>
      <c r="EP176" s="0" t="n">
        <v>0.4978</v>
      </c>
      <c r="EQ176" s="0" t="n">
        <v>0.5164</v>
      </c>
      <c r="ER176" s="0" t="n">
        <v>0.3163</v>
      </c>
      <c r="ES176" s="0" t="n">
        <v>0.4097</v>
      </c>
      <c r="ET176" s="0" t="n">
        <v>0.4655</v>
      </c>
      <c r="EU176" s="0" t="n">
        <v>0.6821</v>
      </c>
      <c r="EV176" s="0" t="n">
        <v>0.2414</v>
      </c>
      <c r="EW176" s="0" t="n">
        <v>0.4765</v>
      </c>
      <c r="EX176" s="0" t="n">
        <v>0.199</v>
      </c>
      <c r="EY176" s="0" t="n">
        <v>0.4639</v>
      </c>
      <c r="EZ176" s="0" t="n">
        <v>0.2391</v>
      </c>
      <c r="FA176" s="0" t="n">
        <v>0.0637</v>
      </c>
      <c r="FB176" s="0" t="n">
        <v>0.0614</v>
      </c>
      <c r="FC176" s="0" t="n">
        <v>0.0135</v>
      </c>
      <c r="FD176" s="0" t="n">
        <v>0.0068</v>
      </c>
      <c r="FE176" s="0" t="n">
        <v>0.0145</v>
      </c>
      <c r="FF176" s="0" t="n">
        <v>0.1177</v>
      </c>
      <c r="FG176" s="0" t="n">
        <v>0.2024</v>
      </c>
      <c r="FH176" s="0" t="n">
        <v>0.0072</v>
      </c>
      <c r="FI176" s="0" t="n">
        <v>0.0103</v>
      </c>
      <c r="FJ176" s="0" t="n">
        <v>0.0075</v>
      </c>
      <c r="FK176" s="0" t="n">
        <v>0.0244</v>
      </c>
      <c r="FL176" s="0" t="n">
        <v>0.435</v>
      </c>
      <c r="FM176" s="0" t="n">
        <v>0</v>
      </c>
      <c r="FN176" s="0" t="n">
        <v>0</v>
      </c>
      <c r="FO176" s="0" t="n">
        <v>0</v>
      </c>
      <c r="FP176" s="0" t="n">
        <v>0.8577</v>
      </c>
    </row>
    <row r="177" customFormat="false" ht="13.8" hidden="false" customHeight="false" outlineLevel="0" collapsed="false">
      <c r="A177" s="2" t="s">
        <v>511</v>
      </c>
      <c r="B177" s="0" t="s">
        <v>176</v>
      </c>
      <c r="C177" s="0" t="n">
        <v>387</v>
      </c>
      <c r="D177" s="0" t="s">
        <v>512</v>
      </c>
      <c r="F177" s="0" t="e">
        <f aca="false">VLOOKUP(A177,[1]ROOT!$A$1:$C$1048576,3,0)</f>
        <v>#N/A</v>
      </c>
      <c r="G177" s="0" t="n">
        <v>1155.5518</v>
      </c>
      <c r="H177" s="0" t="n">
        <v>99.4647</v>
      </c>
      <c r="I177" s="0" t="n">
        <v>312.4776</v>
      </c>
      <c r="J177" s="0" t="n">
        <v>0.86765</v>
      </c>
      <c r="K177" s="0" t="n">
        <v>0</v>
      </c>
      <c r="L177" s="0" t="n">
        <v>124.0438</v>
      </c>
      <c r="M177" s="0" t="n">
        <v>114.1224</v>
      </c>
      <c r="N177" s="0" t="n">
        <v>75.3086</v>
      </c>
      <c r="O177" s="0" t="n">
        <v>0.1717</v>
      </c>
      <c r="P177" s="0" t="n">
        <v>82.7305</v>
      </c>
      <c r="Q177" s="0" t="n">
        <v>31.3712</v>
      </c>
      <c r="R177" s="0" t="n">
        <v>49.484</v>
      </c>
      <c r="S177" s="0" t="n">
        <v>23.5691</v>
      </c>
      <c r="T177" s="0" t="n">
        <v>4.3426</v>
      </c>
      <c r="U177" s="0" t="n">
        <v>30.8405</v>
      </c>
      <c r="V177" s="0" t="n">
        <v>26.7875</v>
      </c>
      <c r="W177" s="0" t="n">
        <v>16.6447</v>
      </c>
      <c r="X177" s="0" t="n">
        <v>22.2626</v>
      </c>
      <c r="Y177" s="0" t="n">
        <v>17.062</v>
      </c>
      <c r="Z177" s="0" t="n">
        <v>18.2982</v>
      </c>
      <c r="AA177" s="0" t="n">
        <v>13.0408</v>
      </c>
      <c r="AB177" s="0" t="n">
        <v>29.4078</v>
      </c>
      <c r="AC177" s="0" t="n">
        <v>10.6537</v>
      </c>
      <c r="AD177" s="0" t="n">
        <v>32.5773</v>
      </c>
      <c r="AE177" s="0" t="n">
        <v>19.997</v>
      </c>
      <c r="AF177" s="0" t="n">
        <v>34.22</v>
      </c>
      <c r="AG177" s="0" t="n">
        <v>9.9993</v>
      </c>
      <c r="AH177" s="0" t="n">
        <v>25.7509</v>
      </c>
      <c r="AI177" s="0" t="n">
        <v>34.8751</v>
      </c>
      <c r="AJ177" s="0" t="n">
        <v>4.5337</v>
      </c>
      <c r="AK177" s="0" t="n">
        <v>38.7102</v>
      </c>
      <c r="AL177" s="0" t="n">
        <v>40.0126</v>
      </c>
      <c r="AM177" s="0" t="n">
        <v>20.0217</v>
      </c>
      <c r="AN177" s="0" t="n">
        <v>15.7529</v>
      </c>
      <c r="AO177" s="0" t="n">
        <v>30.4363</v>
      </c>
      <c r="AP177" s="0" t="n">
        <v>13.3824</v>
      </c>
      <c r="AQ177" s="0" t="n">
        <v>25.0147</v>
      </c>
      <c r="AR177" s="0" t="n">
        <v>15.2758</v>
      </c>
      <c r="AS177" s="0" t="n">
        <v>12.7922</v>
      </c>
      <c r="AT177" s="0" t="n">
        <v>16.4011</v>
      </c>
      <c r="AU177" s="0" t="n">
        <v>11.8559</v>
      </c>
      <c r="AV177" s="0" t="n">
        <v>1.398</v>
      </c>
      <c r="AW177" s="0" t="n">
        <v>8.0112</v>
      </c>
      <c r="AX177" s="0" t="n">
        <v>6.8519</v>
      </c>
      <c r="AY177" s="0" t="n">
        <v>2.1606</v>
      </c>
      <c r="AZ177" s="0" t="n">
        <v>6.8537</v>
      </c>
      <c r="BA177" s="0" t="n">
        <v>4.5346</v>
      </c>
      <c r="BB177" s="0" t="n">
        <v>4.1517</v>
      </c>
      <c r="BC177" s="0" t="n">
        <v>2.7269</v>
      </c>
      <c r="BD177" s="0" t="n">
        <v>1.6733</v>
      </c>
      <c r="BE177" s="0" t="n">
        <v>3.7564</v>
      </c>
      <c r="BF177" s="0" t="n">
        <v>0.565</v>
      </c>
      <c r="BG177" s="0" t="n">
        <v>1.8306</v>
      </c>
      <c r="BH177" s="0" t="n">
        <v>1.539</v>
      </c>
      <c r="BI177" s="0" t="n">
        <v>0.5788</v>
      </c>
      <c r="BJ177" s="0" t="n">
        <v>1.5655</v>
      </c>
      <c r="BK177" s="0" t="n">
        <v>1.4835</v>
      </c>
      <c r="BL177" s="0" t="n">
        <v>1.4906</v>
      </c>
      <c r="BM177" s="0" t="n">
        <v>1.5284</v>
      </c>
      <c r="BN177" s="0" t="n">
        <v>1.8533</v>
      </c>
      <c r="BO177" s="0" t="n">
        <v>0.0883</v>
      </c>
      <c r="BP177" s="0" t="n">
        <v>0.4018</v>
      </c>
      <c r="BQ177" s="0" t="n">
        <v>0.3969</v>
      </c>
      <c r="BR177" s="0" t="n">
        <v>0.2785</v>
      </c>
      <c r="BS177" s="0" t="n">
        <v>0.7719</v>
      </c>
      <c r="BT177" s="0" t="n">
        <v>0.728</v>
      </c>
      <c r="BU177" s="0" t="n">
        <v>0.5745</v>
      </c>
      <c r="BV177" s="0" t="n">
        <v>1.469</v>
      </c>
      <c r="BW177" s="0" t="n">
        <v>0.3209</v>
      </c>
      <c r="BX177" s="0" t="n">
        <v>0.4202</v>
      </c>
      <c r="BY177" s="0" t="n">
        <v>0.0407</v>
      </c>
      <c r="BZ177" s="0" t="n">
        <v>0.0676</v>
      </c>
      <c r="CA177" s="0" t="n">
        <v>1.069</v>
      </c>
      <c r="CB177" s="0" t="n">
        <v>0.3533</v>
      </c>
      <c r="CC177" s="0" t="n">
        <v>0.0227</v>
      </c>
      <c r="CD177" s="0" t="n">
        <v>0.1132</v>
      </c>
      <c r="CE177" s="0" t="n">
        <v>0.0343</v>
      </c>
      <c r="CF177" s="0" t="n">
        <v>0.0291</v>
      </c>
      <c r="CG177" s="0" t="n">
        <v>0.0206</v>
      </c>
      <c r="CH177" s="0" t="n">
        <v>0</v>
      </c>
      <c r="CI177" s="0" t="n">
        <v>0.0127</v>
      </c>
      <c r="CJ177" s="0" t="n">
        <v>0.4169</v>
      </c>
      <c r="CK177" s="0" t="n">
        <v>0.1719</v>
      </c>
      <c r="CL177" s="0" t="n">
        <v>0.0311</v>
      </c>
      <c r="CM177" s="0" t="n">
        <v>0.774</v>
      </c>
      <c r="CN177" s="0" t="n">
        <v>0</v>
      </c>
      <c r="CO177" s="0" t="n">
        <v>2.6586</v>
      </c>
      <c r="CP177" s="0" t="n">
        <v>4.8499</v>
      </c>
      <c r="CQ177" s="0" t="n">
        <v>4.6073</v>
      </c>
      <c r="CR177" s="0" t="n">
        <v>0.0118</v>
      </c>
      <c r="CS177" s="0" t="n">
        <v>6.9219</v>
      </c>
      <c r="CT177" s="0" t="n">
        <v>3.1884</v>
      </c>
      <c r="CU177" s="0" t="n">
        <v>5.7799</v>
      </c>
      <c r="CV177" s="0" t="n">
        <v>3.2715</v>
      </c>
      <c r="CW177" s="0" t="n">
        <v>0.6279</v>
      </c>
      <c r="CX177" s="0" t="n">
        <v>5.0196</v>
      </c>
      <c r="CY177" s="0" t="n">
        <v>4.902</v>
      </c>
      <c r="CZ177" s="0" t="n">
        <v>3.3034</v>
      </c>
      <c r="DA177" s="0" t="n">
        <v>4.6788</v>
      </c>
      <c r="DB177" s="0" t="n">
        <v>3.8803</v>
      </c>
      <c r="DC177" s="0" t="n">
        <v>4.4977</v>
      </c>
      <c r="DD177" s="0" t="n">
        <v>3.3287</v>
      </c>
      <c r="DE177" s="0" t="n">
        <v>8.0631</v>
      </c>
      <c r="DF177" s="0" t="n">
        <v>3.0808</v>
      </c>
      <c r="DG177" s="0" t="n">
        <v>9.9097</v>
      </c>
      <c r="DH177" s="0" t="n">
        <v>6.4394</v>
      </c>
      <c r="DI177" s="0" t="n">
        <v>11.6921</v>
      </c>
      <c r="DJ177" s="0" t="n">
        <v>3.5424</v>
      </c>
      <c r="DK177" s="0" t="n">
        <v>9.5084</v>
      </c>
      <c r="DL177" s="0" t="n">
        <v>13.6077</v>
      </c>
      <c r="DM177" s="0" t="n">
        <v>1.8031</v>
      </c>
      <c r="DN177" s="0" t="n">
        <v>16.0877</v>
      </c>
      <c r="DO177" s="0" t="n">
        <v>17.4435</v>
      </c>
      <c r="DP177" s="0" t="n">
        <v>9.0821</v>
      </c>
      <c r="DQ177" s="0" t="n">
        <v>7.2528</v>
      </c>
      <c r="DR177" s="0" t="n">
        <v>14.5778</v>
      </c>
      <c r="DS177" s="0" t="n">
        <v>6.6431</v>
      </c>
      <c r="DT177" s="0" t="n">
        <v>12.7712</v>
      </c>
      <c r="DU177" s="0" t="n">
        <v>8.0628</v>
      </c>
      <c r="DV177" s="0" t="n">
        <v>6.8708</v>
      </c>
      <c r="DW177" s="0" t="n">
        <v>9.1123</v>
      </c>
      <c r="DX177" s="0" t="n">
        <v>6.839</v>
      </c>
      <c r="DY177" s="0" t="n">
        <v>0.8283</v>
      </c>
      <c r="DZ177" s="0" t="n">
        <v>4.7977</v>
      </c>
      <c r="EA177" s="0" t="n">
        <v>4.2521</v>
      </c>
      <c r="EB177" s="0" t="n">
        <v>1.3818</v>
      </c>
      <c r="EC177" s="0" t="n">
        <v>4.4373</v>
      </c>
      <c r="ED177" s="0" t="n">
        <v>3.0115</v>
      </c>
      <c r="EE177" s="0" t="n">
        <v>2.831</v>
      </c>
      <c r="EF177" s="0" t="n">
        <v>1.9188</v>
      </c>
      <c r="EG177" s="0" t="n">
        <v>1.1967</v>
      </c>
      <c r="EH177" s="0" t="n">
        <v>2.7477</v>
      </c>
      <c r="EI177" s="0" t="n">
        <v>0.4202</v>
      </c>
      <c r="EJ177" s="0" t="n">
        <v>1.3944</v>
      </c>
      <c r="EK177" s="0" t="n">
        <v>1.2054</v>
      </c>
      <c r="EL177" s="0" t="n">
        <v>0.459</v>
      </c>
      <c r="EM177" s="0" t="n">
        <v>1.2614</v>
      </c>
      <c r="EN177" s="0" t="n">
        <v>1.2247</v>
      </c>
      <c r="EO177" s="0" t="n">
        <v>1.2589</v>
      </c>
      <c r="EP177" s="0" t="n">
        <v>1.3031</v>
      </c>
      <c r="EQ177" s="0" t="n">
        <v>1.6211</v>
      </c>
      <c r="ER177" s="0" t="n">
        <v>0.0784</v>
      </c>
      <c r="ES177" s="0" t="n">
        <v>0.3621</v>
      </c>
      <c r="ET177" s="0" t="n">
        <v>0.3658</v>
      </c>
      <c r="EU177" s="0" t="n">
        <v>0.2593</v>
      </c>
      <c r="EV177" s="0" t="n">
        <v>0.7304</v>
      </c>
      <c r="EW177" s="0" t="n">
        <v>0.7038</v>
      </c>
      <c r="EX177" s="0" t="n">
        <v>0.5671</v>
      </c>
      <c r="EY177" s="0" t="n">
        <v>1.4557</v>
      </c>
      <c r="EZ177" s="0" t="n">
        <v>0.3255</v>
      </c>
      <c r="FA177" s="0" t="n">
        <v>0.4355</v>
      </c>
      <c r="FB177" s="0" t="n">
        <v>0.0425</v>
      </c>
      <c r="FC177" s="0" t="n">
        <v>0.0717</v>
      </c>
      <c r="FD177" s="0" t="n">
        <v>1.1524</v>
      </c>
      <c r="FE177" s="0" t="n">
        <v>0.3868</v>
      </c>
      <c r="FF177" s="0" t="n">
        <v>0.0251</v>
      </c>
      <c r="FG177" s="0" t="n">
        <v>0.1276</v>
      </c>
      <c r="FH177" s="0" t="n">
        <v>0.039</v>
      </c>
      <c r="FI177" s="0" t="n">
        <v>0.0335</v>
      </c>
      <c r="FJ177" s="0" t="n">
        <v>0.0243</v>
      </c>
      <c r="FK177" s="0" t="n">
        <v>0</v>
      </c>
      <c r="FL177" s="0" t="n">
        <v>0.0152</v>
      </c>
      <c r="FM177" s="0" t="n">
        <v>0.5086</v>
      </c>
      <c r="FN177" s="0" t="n">
        <v>0.213</v>
      </c>
      <c r="FO177" s="0" t="n">
        <v>0.0387</v>
      </c>
      <c r="FP177" s="0" t="n">
        <v>0.996</v>
      </c>
    </row>
    <row r="178" customFormat="false" ht="13.8" hidden="false" customHeight="false" outlineLevel="0" collapsed="false">
      <c r="A178" s="2" t="s">
        <v>513</v>
      </c>
      <c r="B178" s="0" t="s">
        <v>176</v>
      </c>
      <c r="C178" s="0" t="n">
        <v>390</v>
      </c>
      <c r="D178" s="0" t="s">
        <v>514</v>
      </c>
      <c r="F178" s="0" t="e">
        <f aca="false">VLOOKUP(A178,[1]ROOT!$A$1:$C$1048576,3,0)</f>
        <v>#N/A</v>
      </c>
      <c r="G178" s="0" t="n">
        <v>736.9696</v>
      </c>
      <c r="H178" s="0" t="n">
        <v>56.3686</v>
      </c>
      <c r="I178" s="0" t="n">
        <v>177.0873</v>
      </c>
      <c r="J178" s="0" t="n">
        <v>0.7649</v>
      </c>
      <c r="K178" s="0" t="n">
        <v>0</v>
      </c>
      <c r="L178" s="0" t="n">
        <v>54.5687</v>
      </c>
      <c r="M178" s="0" t="n">
        <v>64.2365</v>
      </c>
      <c r="N178" s="0" t="n">
        <v>53.26</v>
      </c>
      <c r="O178" s="0" t="n">
        <v>0.1298</v>
      </c>
      <c r="P178" s="0" t="n">
        <v>67.0945</v>
      </c>
      <c r="Q178" s="0" t="n">
        <v>35.9308</v>
      </c>
      <c r="R178" s="0" t="n">
        <v>56.8519</v>
      </c>
      <c r="S178" s="0" t="n">
        <v>33.5908</v>
      </c>
      <c r="T178" s="0" t="n">
        <v>4.3799</v>
      </c>
      <c r="U178" s="0" t="n">
        <v>28.2107</v>
      </c>
      <c r="V178" s="0" t="n">
        <v>24.6127</v>
      </c>
      <c r="W178" s="0" t="n">
        <v>19.7689</v>
      </c>
      <c r="X178" s="0" t="n">
        <v>20.4655</v>
      </c>
      <c r="Y178" s="0" t="n">
        <v>14.6423</v>
      </c>
      <c r="Z178" s="0" t="n">
        <v>12.0664</v>
      </c>
      <c r="AA178" s="0" t="n">
        <v>7.5387</v>
      </c>
      <c r="AB178" s="0" t="n">
        <v>8.9469</v>
      </c>
      <c r="AC178" s="0" t="n">
        <v>3.3108</v>
      </c>
      <c r="AD178" s="0" t="n">
        <v>10.4526</v>
      </c>
      <c r="AE178" s="0" t="n">
        <v>5.2597</v>
      </c>
      <c r="AF178" s="0" t="n">
        <v>13.2352</v>
      </c>
      <c r="AG178" s="0" t="n">
        <v>6.112</v>
      </c>
      <c r="AH178" s="0" t="n">
        <v>12.4734</v>
      </c>
      <c r="AI178" s="0" t="n">
        <v>16.985</v>
      </c>
      <c r="AJ178" s="0" t="n">
        <v>4.0716</v>
      </c>
      <c r="AK178" s="0" t="n">
        <v>17.6382</v>
      </c>
      <c r="AL178" s="0" t="n">
        <v>12.82</v>
      </c>
      <c r="AM178" s="0" t="n">
        <v>9.0538</v>
      </c>
      <c r="AN178" s="0" t="n">
        <v>7.2603</v>
      </c>
      <c r="AO178" s="0" t="n">
        <v>16.7627</v>
      </c>
      <c r="AP178" s="0" t="n">
        <v>7.4675</v>
      </c>
      <c r="AQ178" s="0" t="n">
        <v>8.6287</v>
      </c>
      <c r="AR178" s="0" t="n">
        <v>9.3577</v>
      </c>
      <c r="AS178" s="0" t="n">
        <v>7.0482</v>
      </c>
      <c r="AT178" s="0" t="n">
        <v>10.1523</v>
      </c>
      <c r="AU178" s="0" t="n">
        <v>12.9116</v>
      </c>
      <c r="AV178" s="0" t="n">
        <v>0.886</v>
      </c>
      <c r="AW178" s="0" t="n">
        <v>6.8604</v>
      </c>
      <c r="AX178" s="0" t="n">
        <v>4.8602</v>
      </c>
      <c r="AY178" s="0" t="n">
        <v>4.5041</v>
      </c>
      <c r="AZ178" s="0" t="n">
        <v>3.7315</v>
      </c>
      <c r="BA178" s="0" t="n">
        <v>3.3841</v>
      </c>
      <c r="BB178" s="0" t="n">
        <v>3.3299</v>
      </c>
      <c r="BC178" s="0" t="n">
        <v>1.7942</v>
      </c>
      <c r="BD178" s="0" t="n">
        <v>1.8251</v>
      </c>
      <c r="BE178" s="0" t="n">
        <v>1.7919</v>
      </c>
      <c r="BF178" s="0" t="n">
        <v>0.4115</v>
      </c>
      <c r="BG178" s="0" t="n">
        <v>1.4994</v>
      </c>
      <c r="BH178" s="0" t="n">
        <v>0.6557</v>
      </c>
      <c r="BI178" s="0" t="n">
        <v>0.658</v>
      </c>
      <c r="BJ178" s="0" t="n">
        <v>0.201</v>
      </c>
      <c r="BK178" s="0" t="n">
        <v>1.3228</v>
      </c>
      <c r="BL178" s="0" t="n">
        <v>0.083</v>
      </c>
      <c r="BM178" s="0" t="n">
        <v>0.2506</v>
      </c>
      <c r="BN178" s="0" t="n">
        <v>0.3543</v>
      </c>
      <c r="BO178" s="0" t="n">
        <v>0.3343</v>
      </c>
      <c r="BP178" s="0" t="n">
        <v>0.1407</v>
      </c>
      <c r="BQ178" s="0" t="n">
        <v>0.0449</v>
      </c>
      <c r="BR178" s="0" t="n">
        <v>0.0069</v>
      </c>
      <c r="BS178" s="0" t="n">
        <v>0.0772</v>
      </c>
      <c r="BT178" s="0" t="n">
        <v>0.4018</v>
      </c>
      <c r="BU178" s="0" t="n">
        <v>0.0069</v>
      </c>
      <c r="BV178" s="0" t="n">
        <v>0.0492</v>
      </c>
      <c r="BW178" s="0" t="n">
        <v>0.036</v>
      </c>
      <c r="BX178" s="0" t="n">
        <v>0</v>
      </c>
      <c r="BY178" s="0" t="n">
        <v>0.0137</v>
      </c>
      <c r="BZ178" s="0" t="n">
        <v>0.0137</v>
      </c>
      <c r="CA178" s="0" t="n">
        <v>0.0137</v>
      </c>
      <c r="CB178" s="0" t="n">
        <v>0.0069</v>
      </c>
      <c r="CC178" s="0" t="n">
        <v>0.009</v>
      </c>
      <c r="CD178" s="0" t="n">
        <v>0.027</v>
      </c>
      <c r="CE178" s="0" t="n">
        <v>0.0206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</v>
      </c>
      <c r="CO178" s="0" t="n">
        <v>1.1671</v>
      </c>
      <c r="CP178" s="0" t="n">
        <v>2.7214</v>
      </c>
      <c r="CQ178" s="0" t="n">
        <v>3.252</v>
      </c>
      <c r="CR178" s="0" t="n">
        <v>0.009</v>
      </c>
      <c r="CS178" s="0" t="n">
        <v>5.5873</v>
      </c>
      <c r="CT178" s="0" t="n">
        <v>3.6361</v>
      </c>
      <c r="CU178" s="0" t="n">
        <v>6.6916</v>
      </c>
      <c r="CV178" s="0" t="n">
        <v>4.67</v>
      </c>
      <c r="CW178" s="0" t="n">
        <v>0.6333</v>
      </c>
      <c r="CX178" s="0" t="n">
        <v>4.5826</v>
      </c>
      <c r="CY178" s="0" t="n">
        <v>4.5069</v>
      </c>
      <c r="CZ178" s="0" t="n">
        <v>3.919</v>
      </c>
      <c r="DA178" s="0" t="n">
        <v>4.2988</v>
      </c>
      <c r="DB178" s="0" t="n">
        <v>3.3283</v>
      </c>
      <c r="DC178" s="0" t="n">
        <v>2.9584</v>
      </c>
      <c r="DD178" s="0" t="n">
        <v>1.9272</v>
      </c>
      <c r="DE178" s="0" t="n">
        <v>2.4446</v>
      </c>
      <c r="DF178" s="0" t="n">
        <v>0.9574</v>
      </c>
      <c r="DG178" s="0" t="n">
        <v>3.1852</v>
      </c>
      <c r="DH178" s="0" t="n">
        <v>1.6911</v>
      </c>
      <c r="DI178" s="0" t="n">
        <v>4.5039</v>
      </c>
      <c r="DJ178" s="0" t="n">
        <v>2.1652</v>
      </c>
      <c r="DK178" s="0" t="n">
        <v>4.6034</v>
      </c>
      <c r="DL178" s="0" t="n">
        <v>6.6267</v>
      </c>
      <c r="DM178" s="0" t="n">
        <v>1.6194</v>
      </c>
      <c r="DN178" s="0" t="n">
        <v>7.3361</v>
      </c>
      <c r="DO178" s="0" t="n">
        <v>5.5878</v>
      </c>
      <c r="DP178" s="0" t="n">
        <v>4.1114</v>
      </c>
      <c r="DQ178" s="0" t="n">
        <v>3.3389</v>
      </c>
      <c r="DR178" s="0" t="n">
        <v>8.0244</v>
      </c>
      <c r="DS178" s="0" t="n">
        <v>3.7072</v>
      </c>
      <c r="DT178" s="0" t="n">
        <v>4.4162</v>
      </c>
      <c r="DU178" s="0" t="n">
        <v>4.9308</v>
      </c>
      <c r="DV178" s="0" t="n">
        <v>3.7848</v>
      </c>
      <c r="DW178" s="0" t="n">
        <v>5.6397</v>
      </c>
      <c r="DX178" s="0" t="n">
        <v>7.4487</v>
      </c>
      <c r="DY178" s="0" t="n">
        <v>0.525</v>
      </c>
      <c r="DZ178" s="0" t="n">
        <v>4.1087</v>
      </c>
      <c r="EA178" s="0" t="n">
        <v>3.0149</v>
      </c>
      <c r="EB178" s="0" t="n">
        <v>2.879</v>
      </c>
      <c r="EC178" s="0" t="n">
        <v>2.4265</v>
      </c>
      <c r="ED178" s="0" t="n">
        <v>2.2492</v>
      </c>
      <c r="EE178" s="0" t="n">
        <v>2.2791</v>
      </c>
      <c r="EF178" s="0" t="n">
        <v>1.2592</v>
      </c>
      <c r="EG178" s="0" t="n">
        <v>1.3062</v>
      </c>
      <c r="EH178" s="0" t="n">
        <v>1.3175</v>
      </c>
      <c r="EI178" s="0" t="n">
        <v>0.306</v>
      </c>
      <c r="EJ178" s="0" t="n">
        <v>1.139</v>
      </c>
      <c r="EK178" s="0" t="n">
        <v>0.5125</v>
      </c>
      <c r="EL178" s="0" t="n">
        <v>0.5227</v>
      </c>
      <c r="EM178" s="0" t="n">
        <v>0.162</v>
      </c>
      <c r="EN178" s="0" t="n">
        <v>1.0872</v>
      </c>
      <c r="EO178" s="0" t="n">
        <v>0.0702</v>
      </c>
      <c r="EP178" s="0" t="n">
        <v>0.2136</v>
      </c>
      <c r="EQ178" s="0" t="n">
        <v>0.3105</v>
      </c>
      <c r="ER178" s="0" t="n">
        <v>0.2969</v>
      </c>
      <c r="ES178" s="0" t="n">
        <v>0.1275</v>
      </c>
      <c r="ET178" s="0" t="n">
        <v>0.0414</v>
      </c>
      <c r="EU178" s="0" t="n">
        <v>0.0064</v>
      </c>
      <c r="EV178" s="0" t="n">
        <v>0.0729</v>
      </c>
      <c r="EW178" s="0" t="n">
        <v>0.3887</v>
      </c>
      <c r="EX178" s="0" t="n">
        <v>0.0067</v>
      </c>
      <c r="EY178" s="0" t="n">
        <v>0.0491</v>
      </c>
      <c r="EZ178" s="0" t="n">
        <v>0.0365</v>
      </c>
      <c r="FA178" s="0" t="n">
        <v>0</v>
      </c>
      <c r="FB178" s="0" t="n">
        <v>0.0143</v>
      </c>
      <c r="FC178" s="0" t="n">
        <v>0.0146</v>
      </c>
      <c r="FD178" s="0" t="n">
        <v>0.0148</v>
      </c>
      <c r="FE178" s="0" t="n">
        <v>0.0075</v>
      </c>
      <c r="FF178" s="0" t="n">
        <v>0.0099</v>
      </c>
      <c r="FG178" s="0" t="n">
        <v>0.0302</v>
      </c>
      <c r="FH178" s="0" t="n">
        <v>0.0234</v>
      </c>
      <c r="FI178" s="0" t="n">
        <v>0</v>
      </c>
      <c r="FJ178" s="0" t="n">
        <v>0</v>
      </c>
      <c r="FK178" s="0" t="n">
        <v>0</v>
      </c>
      <c r="FL178" s="0" t="n">
        <v>0</v>
      </c>
      <c r="FM178" s="0" t="n">
        <v>0</v>
      </c>
      <c r="FN178" s="0" t="n">
        <v>0</v>
      </c>
      <c r="FO178" s="0" t="n">
        <v>0</v>
      </c>
      <c r="FP178" s="0" t="n">
        <v>0</v>
      </c>
    </row>
    <row r="179" customFormat="false" ht="13.8" hidden="false" customHeight="false" outlineLevel="0" collapsed="false">
      <c r="A179" s="2" t="s">
        <v>515</v>
      </c>
      <c r="B179" s="0" t="s">
        <v>173</v>
      </c>
      <c r="C179" s="0" t="n">
        <v>1</v>
      </c>
      <c r="D179" s="0" t="s">
        <v>516</v>
      </c>
      <c r="G179" s="0" t="n">
        <v>2625.4467</v>
      </c>
      <c r="H179" s="0" t="n">
        <v>170.9409</v>
      </c>
      <c r="I179" s="0" t="n">
        <v>537.0264</v>
      </c>
      <c r="J179" s="0" t="n">
        <v>0.580366666666667</v>
      </c>
      <c r="K179" s="0" t="n">
        <v>0.0254</v>
      </c>
      <c r="L179" s="0" t="n">
        <v>208.1978</v>
      </c>
      <c r="M179" s="0" t="n">
        <v>212.4462</v>
      </c>
      <c r="N179" s="0" t="n">
        <v>329.7107</v>
      </c>
      <c r="O179" s="0" t="n">
        <v>280.6824</v>
      </c>
      <c r="P179" s="0" t="n">
        <v>205.61</v>
      </c>
      <c r="Q179" s="0" t="n">
        <v>142.5193</v>
      </c>
      <c r="R179" s="0" t="n">
        <v>128.3623</v>
      </c>
      <c r="S179" s="0" t="n">
        <v>79.9685</v>
      </c>
      <c r="T179" s="0" t="n">
        <v>62.8779</v>
      </c>
      <c r="U179" s="0" t="n">
        <v>59.01</v>
      </c>
      <c r="V179" s="0" t="n">
        <v>46.5619</v>
      </c>
      <c r="W179" s="0" t="n">
        <v>43.6008</v>
      </c>
      <c r="X179" s="0" t="n">
        <v>41.052</v>
      </c>
      <c r="Y179" s="0" t="n">
        <v>37.2641</v>
      </c>
      <c r="Z179" s="0" t="n">
        <v>36.4396</v>
      </c>
      <c r="AA179" s="0" t="n">
        <v>28.8424</v>
      </c>
      <c r="AB179" s="0" t="n">
        <v>26.4315</v>
      </c>
      <c r="AC179" s="0" t="n">
        <v>28.7917</v>
      </c>
      <c r="AD179" s="0" t="n">
        <v>29.3569</v>
      </c>
      <c r="AE179" s="0" t="n">
        <v>28.5981</v>
      </c>
      <c r="AF179" s="0" t="n">
        <v>29.5905</v>
      </c>
      <c r="AG179" s="0" t="n">
        <v>28.2226</v>
      </c>
      <c r="AH179" s="0" t="n">
        <v>28.6661</v>
      </c>
      <c r="AI179" s="0" t="n">
        <v>29.1281</v>
      </c>
      <c r="AJ179" s="0" t="n">
        <v>32.9119</v>
      </c>
      <c r="AK179" s="0" t="n">
        <v>28.6267</v>
      </c>
      <c r="AL179" s="0" t="n">
        <v>24.8968</v>
      </c>
      <c r="AM179" s="0" t="n">
        <v>25.9489</v>
      </c>
      <c r="AN179" s="0" t="n">
        <v>22.7918</v>
      </c>
      <c r="AO179" s="0" t="n">
        <v>25.6114</v>
      </c>
      <c r="AP179" s="0" t="n">
        <v>26.9321</v>
      </c>
      <c r="AQ179" s="0" t="n">
        <v>26.4621</v>
      </c>
      <c r="AR179" s="0" t="n">
        <v>31.0975</v>
      </c>
      <c r="AS179" s="0" t="n">
        <v>26.5718</v>
      </c>
      <c r="AT179" s="0" t="n">
        <v>27.6957</v>
      </c>
      <c r="AU179" s="0" t="n">
        <v>19.6892</v>
      </c>
      <c r="AV179" s="0" t="n">
        <v>19.34</v>
      </c>
      <c r="AW179" s="0" t="n">
        <v>12.6149</v>
      </c>
      <c r="AX179" s="0" t="n">
        <v>12.0103</v>
      </c>
      <c r="AY179" s="0" t="n">
        <v>10.1728</v>
      </c>
      <c r="AZ179" s="0" t="n">
        <v>11.2525</v>
      </c>
      <c r="BA179" s="0" t="n">
        <v>10.0351</v>
      </c>
      <c r="BB179" s="0" t="n">
        <v>8.1801</v>
      </c>
      <c r="BC179" s="0" t="n">
        <v>5.6704</v>
      </c>
      <c r="BD179" s="0" t="n">
        <v>5.2771</v>
      </c>
      <c r="BE179" s="0" t="n">
        <v>4.4253</v>
      </c>
      <c r="BF179" s="0" t="n">
        <v>4.8902</v>
      </c>
      <c r="BG179" s="0" t="n">
        <v>4.2381</v>
      </c>
      <c r="BH179" s="0" t="n">
        <v>2.3097</v>
      </c>
      <c r="BI179" s="0" t="n">
        <v>2.5336</v>
      </c>
      <c r="BJ179" s="0" t="n">
        <v>2.8177</v>
      </c>
      <c r="BK179" s="0" t="n">
        <v>1.0887</v>
      </c>
      <c r="BL179" s="0" t="n">
        <v>2.0334</v>
      </c>
      <c r="BM179" s="0" t="n">
        <v>1.2612</v>
      </c>
      <c r="BN179" s="0" t="n">
        <v>1.6401</v>
      </c>
      <c r="BO179" s="0" t="n">
        <v>1.0216</v>
      </c>
      <c r="BP179" s="0" t="n">
        <v>0.7346</v>
      </c>
      <c r="BQ179" s="0" t="n">
        <v>0.4073</v>
      </c>
      <c r="BR179" s="0" t="n">
        <v>1.3027</v>
      </c>
      <c r="BS179" s="0" t="n">
        <v>0.7169</v>
      </c>
      <c r="BT179" s="0" t="n">
        <v>1.6677</v>
      </c>
      <c r="BU179" s="0" t="n">
        <v>0.2878</v>
      </c>
      <c r="BV179" s="0" t="n">
        <v>0.3168</v>
      </c>
      <c r="BW179" s="0" t="n">
        <v>0.2818</v>
      </c>
      <c r="BX179" s="0" t="n">
        <v>0.5001</v>
      </c>
      <c r="BY179" s="0" t="n">
        <v>0.2888</v>
      </c>
      <c r="BZ179" s="0" t="n">
        <v>0.2918</v>
      </c>
      <c r="CA179" s="0" t="n">
        <v>0.4575</v>
      </c>
      <c r="CB179" s="0" t="n">
        <v>0.2512</v>
      </c>
      <c r="CC179" s="0" t="n">
        <v>0.0745</v>
      </c>
      <c r="CD179" s="0" t="n">
        <v>0.0264</v>
      </c>
      <c r="CE179" s="0" t="n">
        <v>0.4242</v>
      </c>
      <c r="CF179" s="0" t="n">
        <v>0.209</v>
      </c>
      <c r="CG179" s="0" t="n">
        <v>0.027</v>
      </c>
      <c r="CH179" s="0" t="n">
        <v>0.1969</v>
      </c>
      <c r="CI179" s="0" t="n">
        <v>0.1884</v>
      </c>
      <c r="CJ179" s="0" t="n">
        <v>0.0862</v>
      </c>
      <c r="CK179" s="0" t="n">
        <v>0.5612</v>
      </c>
      <c r="CL179" s="0" t="n">
        <v>0.0069</v>
      </c>
      <c r="CM179" s="0" t="n">
        <v>1.0214</v>
      </c>
      <c r="CN179" s="0" t="n">
        <v>0.0003</v>
      </c>
      <c r="CO179" s="0" t="n">
        <v>5.4469</v>
      </c>
      <c r="CP179" s="0" t="n">
        <v>8.2913</v>
      </c>
      <c r="CQ179" s="0" t="n">
        <v>18.1677</v>
      </c>
      <c r="CR179" s="0" t="n">
        <v>19.537</v>
      </c>
      <c r="CS179" s="0" t="n">
        <v>17.6401</v>
      </c>
      <c r="CT179" s="0" t="n">
        <v>14.508</v>
      </c>
      <c r="CU179" s="0" t="n">
        <v>15.1269</v>
      </c>
      <c r="CV179" s="0" t="n">
        <v>10.671</v>
      </c>
      <c r="CW179" s="0" t="n">
        <v>9.3614</v>
      </c>
      <c r="CX179" s="0" t="n">
        <v>9.6974</v>
      </c>
      <c r="CY179" s="0" t="n">
        <v>8.4311</v>
      </c>
      <c r="CZ179" s="0" t="n">
        <v>8.5664</v>
      </c>
      <c r="DA179" s="0" t="n">
        <v>8.7027</v>
      </c>
      <c r="DB179" s="0" t="n">
        <v>8.4882</v>
      </c>
      <c r="DC179" s="0" t="n">
        <v>8.8733</v>
      </c>
      <c r="DD179" s="0" t="n">
        <v>7.4658</v>
      </c>
      <c r="DE179" s="0" t="n">
        <v>7.2569</v>
      </c>
      <c r="DF179" s="0" t="n">
        <v>8.3839</v>
      </c>
      <c r="DG179" s="0" t="n">
        <v>8.9981</v>
      </c>
      <c r="DH179" s="0" t="n">
        <v>9.2178</v>
      </c>
      <c r="DI179" s="0" t="n">
        <v>10.0064</v>
      </c>
      <c r="DJ179" s="0" t="n">
        <v>9.9831</v>
      </c>
      <c r="DK179" s="0" t="n">
        <v>10.579</v>
      </c>
      <c r="DL179" s="0" t="n">
        <v>11.2187</v>
      </c>
      <c r="DM179" s="0" t="n">
        <v>13.1701</v>
      </c>
      <c r="DN179" s="0" t="n">
        <v>11.9003</v>
      </c>
      <c r="DO179" s="0" t="n">
        <v>10.7734</v>
      </c>
      <c r="DP179" s="0" t="n">
        <v>11.622</v>
      </c>
      <c r="DQ179" s="0" t="n">
        <v>10.5566</v>
      </c>
      <c r="DR179" s="0" t="n">
        <v>12.2734</v>
      </c>
      <c r="DS179" s="0" t="n">
        <v>13.3322</v>
      </c>
      <c r="DT179" s="0" t="n">
        <v>13.5104</v>
      </c>
      <c r="DU179" s="0" t="n">
        <v>16.3724</v>
      </c>
      <c r="DV179" s="0" t="n">
        <v>14.3802</v>
      </c>
      <c r="DW179" s="0" t="n">
        <v>15.4504</v>
      </c>
      <c r="DX179" s="0" t="n">
        <v>11.3015</v>
      </c>
      <c r="DY179" s="0" t="n">
        <v>11.3918</v>
      </c>
      <c r="DZ179" s="0" t="n">
        <v>7.6186</v>
      </c>
      <c r="EA179" s="0" t="n">
        <v>7.4476</v>
      </c>
      <c r="EB179" s="0" t="n">
        <v>6.4705</v>
      </c>
      <c r="EC179" s="0" t="n">
        <v>7.3385</v>
      </c>
      <c r="ED179" s="0" t="n">
        <v>6.6894</v>
      </c>
      <c r="EE179" s="0" t="n">
        <v>5.5797</v>
      </c>
      <c r="EF179" s="0" t="n">
        <v>3.9589</v>
      </c>
      <c r="EG179" s="0" t="n">
        <v>3.7684</v>
      </c>
      <c r="EH179" s="0" t="n">
        <v>3.2354</v>
      </c>
      <c r="EI179" s="0" t="n">
        <v>3.6431</v>
      </c>
      <c r="EJ179" s="0" t="n">
        <v>3.2306</v>
      </c>
      <c r="EK179" s="0" t="n">
        <v>1.7986</v>
      </c>
      <c r="EL179" s="0" t="n">
        <v>2.0091</v>
      </c>
      <c r="EM179" s="0" t="n">
        <v>2.2785</v>
      </c>
      <c r="EN179" s="0" t="n">
        <v>0.898</v>
      </c>
      <c r="EO179" s="0" t="n">
        <v>1.7073</v>
      </c>
      <c r="EP179" s="0" t="n">
        <v>1.078</v>
      </c>
      <c r="EQ179" s="0" t="n">
        <v>1.4281</v>
      </c>
      <c r="ER179" s="0" t="n">
        <v>0.9075</v>
      </c>
      <c r="ES179" s="0" t="n">
        <v>0.6619</v>
      </c>
      <c r="ET179" s="0" t="n">
        <v>0.3745</v>
      </c>
      <c r="EU179" s="0" t="n">
        <v>1.2141</v>
      </c>
      <c r="EV179" s="0" t="n">
        <v>0.6833</v>
      </c>
      <c r="EW179" s="0" t="n">
        <v>1.6695</v>
      </c>
      <c r="EX179" s="0" t="n">
        <v>0.2833</v>
      </c>
      <c r="EY179" s="0" t="n">
        <v>0.3159</v>
      </c>
      <c r="EZ179" s="0" t="n">
        <v>0.2852</v>
      </c>
      <c r="FA179" s="0" t="n">
        <v>0.5133</v>
      </c>
      <c r="FB179" s="0" t="n">
        <v>0.3008</v>
      </c>
      <c r="FC179" s="0" t="n">
        <v>0.3082</v>
      </c>
      <c r="FD179" s="0" t="n">
        <v>0.4919</v>
      </c>
      <c r="FE179" s="0" t="n">
        <v>0.2737</v>
      </c>
      <c r="FF179" s="0" t="n">
        <v>0.0824</v>
      </c>
      <c r="FG179" s="0" t="n">
        <v>0.0297</v>
      </c>
      <c r="FH179" s="0" t="n">
        <v>0.4849</v>
      </c>
      <c r="FI179" s="0" t="n">
        <v>0.2409</v>
      </c>
      <c r="FJ179" s="0" t="n">
        <v>0.0317</v>
      </c>
      <c r="FK179" s="0" t="n">
        <v>0.2346</v>
      </c>
      <c r="FL179" s="0" t="n">
        <v>0.2257</v>
      </c>
      <c r="FM179" s="0" t="n">
        <v>0.1048</v>
      </c>
      <c r="FN179" s="0" t="n">
        <v>0.6915</v>
      </c>
      <c r="FO179" s="0" t="n">
        <v>0.0086</v>
      </c>
      <c r="FP179" s="0" t="n">
        <v>1.3604</v>
      </c>
    </row>
    <row r="180" customFormat="false" ht="13.8" hidden="false" customHeight="false" outlineLevel="0" collapsed="false">
      <c r="A180" s="2" t="s">
        <v>517</v>
      </c>
      <c r="B180" s="0" t="s">
        <v>176</v>
      </c>
      <c r="C180" s="0" t="n">
        <v>225</v>
      </c>
      <c r="D180" s="0" t="s">
        <v>518</v>
      </c>
      <c r="G180" s="0" t="n">
        <v>3268.3338</v>
      </c>
      <c r="H180" s="0" t="n">
        <v>165.8436</v>
      </c>
      <c r="I180" s="0" t="n">
        <v>521.0129</v>
      </c>
      <c r="J180" s="0" t="n">
        <v>0.525575</v>
      </c>
      <c r="K180" s="0" t="n">
        <v>0.0049</v>
      </c>
      <c r="L180" s="0" t="n">
        <v>247.9836</v>
      </c>
      <c r="M180" s="0" t="n">
        <v>249.4757</v>
      </c>
      <c r="N180" s="0" t="n">
        <v>411.9395</v>
      </c>
      <c r="O180" s="0" t="n">
        <v>383.0327</v>
      </c>
      <c r="P180" s="0" t="n">
        <v>293.3496</v>
      </c>
      <c r="Q180" s="0" t="n">
        <v>209.8024</v>
      </c>
      <c r="R180" s="0" t="n">
        <v>197.6592</v>
      </c>
      <c r="S180" s="0" t="n">
        <v>127.2041</v>
      </c>
      <c r="T180" s="0" t="n">
        <v>108.2768</v>
      </c>
      <c r="U180" s="0" t="n">
        <v>99.1082</v>
      </c>
      <c r="V180" s="0" t="n">
        <v>90.7186</v>
      </c>
      <c r="W180" s="0" t="n">
        <v>63.9894</v>
      </c>
      <c r="X180" s="0" t="n">
        <v>60.9699</v>
      </c>
      <c r="Y180" s="0" t="n">
        <v>47.5208</v>
      </c>
      <c r="Z180" s="0" t="n">
        <v>44.536</v>
      </c>
      <c r="AA180" s="0" t="n">
        <v>48.0181</v>
      </c>
      <c r="AB180" s="0" t="n">
        <v>48.6089</v>
      </c>
      <c r="AC180" s="0" t="n">
        <v>47.3825</v>
      </c>
      <c r="AD180" s="0" t="n">
        <v>50.5114</v>
      </c>
      <c r="AE180" s="0" t="n">
        <v>42.6049</v>
      </c>
      <c r="AF180" s="0" t="n">
        <v>47.11</v>
      </c>
      <c r="AG180" s="0" t="n">
        <v>41.1063</v>
      </c>
      <c r="AH180" s="0" t="n">
        <v>34.3802</v>
      </c>
      <c r="AI180" s="0" t="n">
        <v>25.5472</v>
      </c>
      <c r="AJ180" s="0" t="n">
        <v>24.4729</v>
      </c>
      <c r="AK180" s="0" t="n">
        <v>26.2418</v>
      </c>
      <c r="AL180" s="0" t="n">
        <v>25.0272</v>
      </c>
      <c r="AM180" s="0" t="n">
        <v>21.1558</v>
      </c>
      <c r="AN180" s="0" t="n">
        <v>17.7541</v>
      </c>
      <c r="AO180" s="0" t="n">
        <v>18.5919</v>
      </c>
      <c r="AP180" s="0" t="n">
        <v>16.4307</v>
      </c>
      <c r="AQ180" s="0" t="n">
        <v>14.9522</v>
      </c>
      <c r="AR180" s="0" t="n">
        <v>11.8252</v>
      </c>
      <c r="AS180" s="0" t="n">
        <v>7.5417</v>
      </c>
      <c r="AT180" s="0" t="n">
        <v>6.2413</v>
      </c>
      <c r="AU180" s="0" t="n">
        <v>6.8002</v>
      </c>
      <c r="AV180" s="0" t="n">
        <v>5.544</v>
      </c>
      <c r="AW180" s="0" t="n">
        <v>10.0436</v>
      </c>
      <c r="AX180" s="0" t="n">
        <v>9.9948</v>
      </c>
      <c r="AY180" s="0" t="n">
        <v>8.5993</v>
      </c>
      <c r="AZ180" s="0" t="n">
        <v>5.5708</v>
      </c>
      <c r="BA180" s="0" t="n">
        <v>3.912</v>
      </c>
      <c r="BB180" s="0" t="n">
        <v>1.6283</v>
      </c>
      <c r="BC180" s="0" t="n">
        <v>1.6438</v>
      </c>
      <c r="BD180" s="0" t="n">
        <v>0.6152</v>
      </c>
      <c r="BE180" s="0" t="n">
        <v>0.441</v>
      </c>
      <c r="BF180" s="0" t="n">
        <v>0.0612</v>
      </c>
      <c r="BG180" s="0" t="n">
        <v>0.3587</v>
      </c>
      <c r="BH180" s="0" t="n">
        <v>0.1905</v>
      </c>
      <c r="BI180" s="0" t="n">
        <v>0.0264</v>
      </c>
      <c r="BJ180" s="0" t="n">
        <v>0.0296</v>
      </c>
      <c r="BK180" s="0" t="n">
        <v>0.1357</v>
      </c>
      <c r="BL180" s="0" t="n">
        <v>0.1683</v>
      </c>
      <c r="BM180" s="0" t="n">
        <v>0.1498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0</v>
      </c>
      <c r="CN180" s="0" t="n">
        <v>0.0001</v>
      </c>
      <c r="CO180" s="0" t="n">
        <v>6.5205</v>
      </c>
      <c r="CP180" s="0" t="n">
        <v>9.7103</v>
      </c>
      <c r="CQ180" s="0" t="n">
        <v>22.7146</v>
      </c>
      <c r="CR180" s="0" t="n">
        <v>26.7208</v>
      </c>
      <c r="CS180" s="0" t="n">
        <v>25.1526</v>
      </c>
      <c r="CT180" s="0" t="n">
        <v>21.3567</v>
      </c>
      <c r="CU180" s="0" t="n">
        <v>23.3136</v>
      </c>
      <c r="CV180" s="0" t="n">
        <v>16.9722</v>
      </c>
      <c r="CW180" s="0" t="n">
        <v>16.1308</v>
      </c>
      <c r="CX180" s="0" t="n">
        <v>16.3288</v>
      </c>
      <c r="CY180" s="0" t="n">
        <v>16.3898</v>
      </c>
      <c r="CZ180" s="0" t="n">
        <v>12.5517</v>
      </c>
      <c r="DA180" s="0" t="n">
        <v>12.8935</v>
      </c>
      <c r="DB180" s="0" t="n">
        <v>10.8078</v>
      </c>
      <c r="DC180" s="0" t="n">
        <v>10.8617</v>
      </c>
      <c r="DD180" s="0" t="n">
        <v>12.4303</v>
      </c>
      <c r="DE180" s="0" t="n">
        <v>13.3543</v>
      </c>
      <c r="DF180" s="0" t="n">
        <v>13.7728</v>
      </c>
      <c r="DG180" s="0" t="n">
        <v>15.474</v>
      </c>
      <c r="DH180" s="0" t="n">
        <v>13.7118</v>
      </c>
      <c r="DI180" s="0" t="n">
        <v>15.9367</v>
      </c>
      <c r="DJ180" s="0" t="n">
        <v>14.4999</v>
      </c>
      <c r="DK180" s="0" t="n">
        <v>12.6904</v>
      </c>
      <c r="DL180" s="0" t="n">
        <v>9.8336</v>
      </c>
      <c r="DM180" s="0" t="n">
        <v>9.797</v>
      </c>
      <c r="DN180" s="0" t="n">
        <v>10.9122</v>
      </c>
      <c r="DO180" s="0" t="n">
        <v>10.8272</v>
      </c>
      <c r="DP180" s="0" t="n">
        <v>9.4612</v>
      </c>
      <c r="DQ180" s="0" t="n">
        <v>8.2107</v>
      </c>
      <c r="DR180" s="0" t="n">
        <v>8.9064</v>
      </c>
      <c r="DS180" s="0" t="n">
        <v>8.131</v>
      </c>
      <c r="DT180" s="0" t="n">
        <v>7.6255</v>
      </c>
      <c r="DU180" s="0" t="n">
        <v>6.2192</v>
      </c>
      <c r="DV180" s="0" t="n">
        <v>4.0826</v>
      </c>
      <c r="DW180" s="0" t="n">
        <v>3.4798</v>
      </c>
      <c r="DX180" s="0" t="n">
        <v>3.8982</v>
      </c>
      <c r="DY180" s="0" t="n">
        <v>3.2629</v>
      </c>
      <c r="DZ180" s="0" t="n">
        <v>6.0718</v>
      </c>
      <c r="EA180" s="0" t="n">
        <v>6.1931</v>
      </c>
      <c r="EB180" s="0" t="n">
        <v>5.4717</v>
      </c>
      <c r="EC180" s="0" t="n">
        <v>3.6297</v>
      </c>
      <c r="ED180" s="0" t="n">
        <v>2.6094</v>
      </c>
      <c r="EE180" s="0" t="n">
        <v>1.1093</v>
      </c>
      <c r="EF180" s="0" t="n">
        <v>1.1502</v>
      </c>
      <c r="EG180" s="0" t="n">
        <v>0.4412</v>
      </c>
      <c r="EH180" s="0" t="n">
        <v>0.3228</v>
      </c>
      <c r="EI180" s="0" t="n">
        <v>0.0455</v>
      </c>
      <c r="EJ180" s="0" t="n">
        <v>0.2722</v>
      </c>
      <c r="EK180" s="0" t="n">
        <v>0.1483</v>
      </c>
      <c r="EL180" s="0" t="n">
        <v>0.0209</v>
      </c>
      <c r="EM180" s="0" t="n">
        <v>0.024</v>
      </c>
      <c r="EN180" s="0" t="n">
        <v>0.1126</v>
      </c>
      <c r="EO180" s="0" t="n">
        <v>0.141</v>
      </c>
      <c r="EP180" s="0" t="n">
        <v>0.1285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0</v>
      </c>
      <c r="EY180" s="0" t="n">
        <v>0</v>
      </c>
      <c r="EZ180" s="0" t="n">
        <v>0</v>
      </c>
      <c r="FA180" s="0" t="n">
        <v>0</v>
      </c>
      <c r="FB180" s="0" t="n">
        <v>0</v>
      </c>
      <c r="FC180" s="0" t="n">
        <v>0</v>
      </c>
      <c r="FD180" s="0" t="n">
        <v>0</v>
      </c>
      <c r="FE180" s="0" t="n">
        <v>0</v>
      </c>
      <c r="FF180" s="0" t="n">
        <v>0</v>
      </c>
      <c r="FG180" s="0" t="n">
        <v>0</v>
      </c>
      <c r="FH180" s="0" t="n">
        <v>0</v>
      </c>
      <c r="FI180" s="0" t="n">
        <v>0</v>
      </c>
      <c r="FJ180" s="0" t="n">
        <v>0</v>
      </c>
      <c r="FK180" s="0" t="n">
        <v>0</v>
      </c>
      <c r="FL180" s="0" t="n">
        <v>0</v>
      </c>
      <c r="FM180" s="0" t="n">
        <v>0</v>
      </c>
      <c r="FN180" s="0" t="n">
        <v>0</v>
      </c>
      <c r="FO180" s="0" t="n">
        <v>0</v>
      </c>
      <c r="FP180" s="0" t="n">
        <v>0</v>
      </c>
    </row>
    <row r="181" customFormat="false" ht="13.8" hidden="false" customHeight="false" outlineLevel="0" collapsed="false">
      <c r="A181" s="2" t="s">
        <v>519</v>
      </c>
      <c r="B181" s="0" t="s">
        <v>176</v>
      </c>
      <c r="C181" s="0" t="n">
        <v>315</v>
      </c>
      <c r="D181" s="0" t="s">
        <v>520</v>
      </c>
      <c r="G181" s="0" t="n">
        <v>2526.2563</v>
      </c>
      <c r="H181" s="0" t="n">
        <v>146.7992</v>
      </c>
      <c r="I181" s="0" t="n">
        <v>461.1832</v>
      </c>
      <c r="J181" s="0" t="n">
        <v>0.6197</v>
      </c>
      <c r="K181" s="0" t="n">
        <v>0.0006</v>
      </c>
      <c r="L181" s="0" t="n">
        <v>310.4114</v>
      </c>
      <c r="M181" s="0" t="n">
        <v>277.2333</v>
      </c>
      <c r="N181" s="0" t="n">
        <v>350.4789</v>
      </c>
      <c r="O181" s="0" t="n">
        <v>243.9534</v>
      </c>
      <c r="P181" s="0" t="n">
        <v>191.8095</v>
      </c>
      <c r="Q181" s="0" t="n">
        <v>119.1086</v>
      </c>
      <c r="R181" s="0" t="n">
        <v>107.3745</v>
      </c>
      <c r="S181" s="0" t="n">
        <v>65.7421</v>
      </c>
      <c r="T181" s="0" t="n">
        <v>43.8514</v>
      </c>
      <c r="U181" s="0" t="n">
        <v>37.8043</v>
      </c>
      <c r="V181" s="0" t="n">
        <v>43.4571</v>
      </c>
      <c r="W181" s="0" t="n">
        <v>37.0354</v>
      </c>
      <c r="X181" s="0" t="n">
        <v>40.462</v>
      </c>
      <c r="Y181" s="0" t="n">
        <v>34.7804</v>
      </c>
      <c r="Z181" s="0" t="n">
        <v>28.9739</v>
      </c>
      <c r="AA181" s="0" t="n">
        <v>21.623</v>
      </c>
      <c r="AB181" s="0" t="n">
        <v>16.6806</v>
      </c>
      <c r="AC181" s="0" t="n">
        <v>18.3279</v>
      </c>
      <c r="AD181" s="0" t="n">
        <v>18.4511</v>
      </c>
      <c r="AE181" s="0" t="n">
        <v>22.7087</v>
      </c>
      <c r="AF181" s="0" t="n">
        <v>21.9112</v>
      </c>
      <c r="AG181" s="0" t="n">
        <v>20.7045</v>
      </c>
      <c r="AH181" s="0" t="n">
        <v>19.5765</v>
      </c>
      <c r="AI181" s="0" t="n">
        <v>23.9458</v>
      </c>
      <c r="AJ181" s="0" t="n">
        <v>24.3176</v>
      </c>
      <c r="AK181" s="0" t="n">
        <v>25.8458</v>
      </c>
      <c r="AL181" s="0" t="n">
        <v>22.9545</v>
      </c>
      <c r="AM181" s="0" t="n">
        <v>26.1251</v>
      </c>
      <c r="AN181" s="0" t="n">
        <v>24.3475</v>
      </c>
      <c r="AO181" s="0" t="n">
        <v>29.73</v>
      </c>
      <c r="AP181" s="0" t="n">
        <v>25.8958</v>
      </c>
      <c r="AQ181" s="0" t="n">
        <v>25.7679</v>
      </c>
      <c r="AR181" s="0" t="n">
        <v>25.6318</v>
      </c>
      <c r="AS181" s="0" t="n">
        <v>26.1354</v>
      </c>
      <c r="AT181" s="0" t="n">
        <v>30.4802</v>
      </c>
      <c r="AU181" s="0" t="n">
        <v>22.5905</v>
      </c>
      <c r="AV181" s="0" t="n">
        <v>19.9726</v>
      </c>
      <c r="AW181" s="0" t="n">
        <v>13.5676</v>
      </c>
      <c r="AX181" s="0" t="n">
        <v>12.8645</v>
      </c>
      <c r="AY181" s="0" t="n">
        <v>9.0014</v>
      </c>
      <c r="AZ181" s="0" t="n">
        <v>6.9324</v>
      </c>
      <c r="BA181" s="0" t="n">
        <v>6.2369</v>
      </c>
      <c r="BB181" s="0" t="n">
        <v>2.8382</v>
      </c>
      <c r="BC181" s="0" t="n">
        <v>3.803</v>
      </c>
      <c r="BD181" s="0" t="n">
        <v>3.5806</v>
      </c>
      <c r="BE181" s="0" t="n">
        <v>2.8401</v>
      </c>
      <c r="BF181" s="0" t="n">
        <v>2.9083</v>
      </c>
      <c r="BG181" s="0" t="n">
        <v>2.6319</v>
      </c>
      <c r="BH181" s="0" t="n">
        <v>1.0795</v>
      </c>
      <c r="BI181" s="0" t="n">
        <v>1.5157</v>
      </c>
      <c r="BJ181" s="0" t="n">
        <v>0.9827</v>
      </c>
      <c r="BK181" s="0" t="n">
        <v>1.6137</v>
      </c>
      <c r="BL181" s="0" t="n">
        <v>1.0677</v>
      </c>
      <c r="BM181" s="0" t="n">
        <v>0.7087</v>
      </c>
      <c r="BN181" s="0" t="n">
        <v>0.4451</v>
      </c>
      <c r="BO181" s="0" t="n">
        <v>0.7829</v>
      </c>
      <c r="BP181" s="0" t="n">
        <v>0.2989</v>
      </c>
      <c r="BQ181" s="0" t="n">
        <v>0.4952</v>
      </c>
      <c r="BR181" s="0" t="n">
        <v>0.3624</v>
      </c>
      <c r="BS181" s="0" t="n">
        <v>0.2757</v>
      </c>
      <c r="BT181" s="0" t="n">
        <v>0.2872</v>
      </c>
      <c r="BU181" s="0" t="n">
        <v>0.3009</v>
      </c>
      <c r="BV181" s="0" t="n">
        <v>0.182</v>
      </c>
      <c r="BW181" s="0" t="n">
        <v>0.1717</v>
      </c>
      <c r="BX181" s="0" t="n">
        <v>0.4446</v>
      </c>
      <c r="BY181" s="0" t="n">
        <v>0.3264</v>
      </c>
      <c r="BZ181" s="0" t="n">
        <v>0.4924</v>
      </c>
      <c r="CA181" s="0" t="n">
        <v>0.0296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  <c r="CL181" s="0" t="n">
        <v>0</v>
      </c>
      <c r="CM181" s="0" t="n">
        <v>0</v>
      </c>
      <c r="CN181" s="0" t="n">
        <v>0</v>
      </c>
      <c r="CO181" s="0" t="n">
        <v>7.915</v>
      </c>
      <c r="CP181" s="0" t="n">
        <v>10.9934</v>
      </c>
      <c r="CQ181" s="0" t="n">
        <v>19.3231</v>
      </c>
      <c r="CR181" s="0" t="n">
        <v>17.001</v>
      </c>
      <c r="CS181" s="0" t="n">
        <v>16.4363</v>
      </c>
      <c r="CT181" s="0" t="n">
        <v>12.1107</v>
      </c>
      <c r="CU181" s="0" t="n">
        <v>12.616</v>
      </c>
      <c r="CV181" s="0" t="n">
        <v>8.7489</v>
      </c>
      <c r="CW181" s="0" t="n">
        <v>6.5131</v>
      </c>
      <c r="CX181" s="0" t="n">
        <v>6.2264</v>
      </c>
      <c r="CY181" s="0" t="n">
        <v>7.846</v>
      </c>
      <c r="CZ181" s="0" t="n">
        <v>7.2712</v>
      </c>
      <c r="DA181" s="0" t="n">
        <v>8.579</v>
      </c>
      <c r="DB181" s="0" t="n">
        <v>7.914</v>
      </c>
      <c r="DC181" s="0" t="n">
        <v>7.0561</v>
      </c>
      <c r="DD181" s="0" t="n">
        <v>5.5963</v>
      </c>
      <c r="DE181" s="0" t="n">
        <v>4.5874</v>
      </c>
      <c r="DF181" s="0" t="n">
        <v>5.3249</v>
      </c>
      <c r="DG181" s="0" t="n">
        <v>5.6471</v>
      </c>
      <c r="DH181" s="0" t="n">
        <v>7.3169</v>
      </c>
      <c r="DI181" s="0" t="n">
        <v>7.4005</v>
      </c>
      <c r="DJ181" s="0" t="n">
        <v>7.3045</v>
      </c>
      <c r="DK181" s="0" t="n">
        <v>7.2303</v>
      </c>
      <c r="DL181" s="0" t="n">
        <v>9.2329</v>
      </c>
      <c r="DM181" s="0" t="n">
        <v>9.7355</v>
      </c>
      <c r="DN181" s="0" t="n">
        <v>10.7475</v>
      </c>
      <c r="DO181" s="0" t="n">
        <v>9.9243</v>
      </c>
      <c r="DP181" s="0" t="n">
        <v>11.6913</v>
      </c>
      <c r="DQ181" s="0" t="n">
        <v>11.2813</v>
      </c>
      <c r="DR181" s="0" t="n">
        <v>14.2361</v>
      </c>
      <c r="DS181" s="0" t="n">
        <v>12.7985</v>
      </c>
      <c r="DT181" s="0" t="n">
        <v>13.1517</v>
      </c>
      <c r="DU181" s="0" t="n">
        <v>13.5057</v>
      </c>
      <c r="DV181" s="0" t="n">
        <v>14.1442</v>
      </c>
      <c r="DW181" s="0" t="n">
        <v>16.981</v>
      </c>
      <c r="DX181" s="0" t="n">
        <v>12.9644</v>
      </c>
      <c r="DY181" s="0" t="n">
        <v>11.7547</v>
      </c>
      <c r="DZ181" s="0" t="n">
        <v>8.1935</v>
      </c>
      <c r="EA181" s="0" t="n">
        <v>7.9761</v>
      </c>
      <c r="EB181" s="0" t="n">
        <v>5.7311</v>
      </c>
      <c r="EC181" s="0" t="n">
        <v>4.5199</v>
      </c>
      <c r="ED181" s="0" t="n">
        <v>4.1704</v>
      </c>
      <c r="EE181" s="0" t="n">
        <v>1.9333</v>
      </c>
      <c r="EF181" s="0" t="n">
        <v>2.6515</v>
      </c>
      <c r="EG181" s="0" t="n">
        <v>2.5546</v>
      </c>
      <c r="EH181" s="0" t="n">
        <v>2.0748</v>
      </c>
      <c r="EI181" s="0" t="n">
        <v>2.1687</v>
      </c>
      <c r="EJ181" s="0" t="n">
        <v>2.0011</v>
      </c>
      <c r="EK181" s="0" t="n">
        <v>0.8403</v>
      </c>
      <c r="EL181" s="0" t="n">
        <v>1.1994</v>
      </c>
      <c r="EM181" s="0" t="n">
        <v>0.7932</v>
      </c>
      <c r="EN181" s="0" t="n">
        <v>1.3298</v>
      </c>
      <c r="EO181" s="0" t="n">
        <v>0.8952</v>
      </c>
      <c r="EP181" s="0" t="n">
        <v>0.6061</v>
      </c>
      <c r="EQ181" s="0" t="n">
        <v>0.3876</v>
      </c>
      <c r="ER181" s="0" t="n">
        <v>0.6919</v>
      </c>
      <c r="ES181" s="0" t="n">
        <v>0.269</v>
      </c>
      <c r="ET181" s="0" t="n">
        <v>0.4548</v>
      </c>
      <c r="EU181" s="0" t="n">
        <v>0.3377</v>
      </c>
      <c r="EV181" s="0" t="n">
        <v>0.2632</v>
      </c>
      <c r="EW181" s="0" t="n">
        <v>0.2768</v>
      </c>
      <c r="EX181" s="0" t="n">
        <v>0.2949</v>
      </c>
      <c r="EY181" s="0" t="n">
        <v>0.1818</v>
      </c>
      <c r="EZ181" s="0" t="n">
        <v>0.1739</v>
      </c>
      <c r="FA181" s="0" t="n">
        <v>0.4575</v>
      </c>
      <c r="FB181" s="0" t="n">
        <v>0.3397</v>
      </c>
      <c r="FC181" s="0" t="n">
        <v>0.5213</v>
      </c>
      <c r="FD181" s="0" t="n">
        <v>0.0318</v>
      </c>
      <c r="FE181" s="0" t="n">
        <v>0</v>
      </c>
      <c r="FF181" s="0" t="n">
        <v>0</v>
      </c>
      <c r="FG181" s="0" t="n">
        <v>0</v>
      </c>
      <c r="FH181" s="0" t="n">
        <v>0</v>
      </c>
      <c r="FI181" s="0" t="n">
        <v>0</v>
      </c>
      <c r="FJ181" s="0" t="n">
        <v>0</v>
      </c>
      <c r="FK181" s="0" t="n">
        <v>0</v>
      </c>
      <c r="FL181" s="0" t="n">
        <v>0</v>
      </c>
      <c r="FM181" s="0" t="n">
        <v>0</v>
      </c>
      <c r="FN181" s="0" t="n">
        <v>0</v>
      </c>
      <c r="FO181" s="0" t="n">
        <v>0</v>
      </c>
      <c r="FP181" s="0" t="n">
        <v>0</v>
      </c>
    </row>
    <row r="182" customFormat="false" ht="13.8" hidden="false" customHeight="false" outlineLevel="0" collapsed="false">
      <c r="A182" s="2" t="s">
        <v>521</v>
      </c>
      <c r="B182" s="0" t="s">
        <v>176</v>
      </c>
      <c r="C182" s="0" t="n">
        <v>365</v>
      </c>
      <c r="D182" s="0" t="s">
        <v>522</v>
      </c>
      <c r="E182" s="0" t="e">
        <f aca="false">VLOOKUP(A182,[1]RHIZOMES!$A$1:$B$1048576,2,0)</f>
        <v>#N/A</v>
      </c>
      <c r="F182" s="0" t="e">
        <f aca="false">VLOOKUP(A182,[1]ROOT!$A$1:$C$1048576,3,0)</f>
        <v>#N/A</v>
      </c>
      <c r="G182" s="0" t="n">
        <v>4419.2567</v>
      </c>
      <c r="H182" s="0" t="n">
        <v>311.9166</v>
      </c>
      <c r="I182" s="0" t="n">
        <v>979.9149</v>
      </c>
      <c r="J182" s="0" t="n">
        <v>0.6925</v>
      </c>
      <c r="K182" s="0" t="n">
        <v>0</v>
      </c>
      <c r="L182" s="0" t="n">
        <v>455.0904</v>
      </c>
      <c r="M182" s="0" t="n">
        <v>626.2037</v>
      </c>
      <c r="N182" s="0" t="n">
        <v>445.8027</v>
      </c>
      <c r="O182" s="0" t="n">
        <v>1.5274</v>
      </c>
      <c r="P182" s="0" t="n">
        <v>405.1873</v>
      </c>
      <c r="Q182" s="0" t="n">
        <v>151.7301</v>
      </c>
      <c r="R182" s="0" t="n">
        <v>215.9309</v>
      </c>
      <c r="S182" s="0" t="n">
        <v>131.7612</v>
      </c>
      <c r="T182" s="0" t="n">
        <v>26.4049</v>
      </c>
      <c r="U182" s="0" t="n">
        <v>133.5781</v>
      </c>
      <c r="V182" s="0" t="n">
        <v>107.7063</v>
      </c>
      <c r="W182" s="0" t="n">
        <v>67.0981</v>
      </c>
      <c r="X182" s="0" t="n">
        <v>93.4263</v>
      </c>
      <c r="Y182" s="0" t="n">
        <v>77.1402</v>
      </c>
      <c r="Z182" s="0" t="n">
        <v>77.086</v>
      </c>
      <c r="AA182" s="0" t="n">
        <v>44.5117</v>
      </c>
      <c r="AB182" s="0" t="n">
        <v>80.05</v>
      </c>
      <c r="AC182" s="0" t="n">
        <v>36.8364</v>
      </c>
      <c r="AD182" s="0" t="n">
        <v>88.3769</v>
      </c>
      <c r="AE182" s="0" t="n">
        <v>50.6679</v>
      </c>
      <c r="AF182" s="0" t="n">
        <v>79.4449</v>
      </c>
      <c r="AG182" s="0" t="n">
        <v>38.6034</v>
      </c>
      <c r="AH182" s="0" t="n">
        <v>51.4673</v>
      </c>
      <c r="AI182" s="0" t="n">
        <v>79.3824</v>
      </c>
      <c r="AJ182" s="0" t="n">
        <v>18.8804</v>
      </c>
      <c r="AK182" s="0" t="n">
        <v>77.1415</v>
      </c>
      <c r="AL182" s="0" t="n">
        <v>72.6766</v>
      </c>
      <c r="AM182" s="0" t="n">
        <v>41.458</v>
      </c>
      <c r="AN182" s="0" t="n">
        <v>28.647</v>
      </c>
      <c r="AO182" s="0" t="n">
        <v>67.7495</v>
      </c>
      <c r="AP182" s="0" t="n">
        <v>47.8662</v>
      </c>
      <c r="AQ182" s="0" t="n">
        <v>57.1956</v>
      </c>
      <c r="AR182" s="0" t="n">
        <v>35.3546</v>
      </c>
      <c r="AS182" s="0" t="n">
        <v>56.6446</v>
      </c>
      <c r="AT182" s="0" t="n">
        <v>64.2329</v>
      </c>
      <c r="AU182" s="0" t="n">
        <v>51.6917</v>
      </c>
      <c r="AV182" s="0" t="n">
        <v>3.1268</v>
      </c>
      <c r="AW182" s="0" t="n">
        <v>37.6047</v>
      </c>
      <c r="AX182" s="0" t="n">
        <v>35.4375</v>
      </c>
      <c r="AY182" s="0" t="n">
        <v>23.7084</v>
      </c>
      <c r="AZ182" s="0" t="n">
        <v>19.6351</v>
      </c>
      <c r="BA182" s="0" t="n">
        <v>17.9415</v>
      </c>
      <c r="BB182" s="0" t="n">
        <v>24.4467</v>
      </c>
      <c r="BC182" s="0" t="n">
        <v>13.5103</v>
      </c>
      <c r="BD182" s="0" t="n">
        <v>9.6001</v>
      </c>
      <c r="BE182" s="0" t="n">
        <v>12.3531</v>
      </c>
      <c r="BF182" s="0" t="n">
        <v>2.9286</v>
      </c>
      <c r="BG182" s="0" t="n">
        <v>9.1938</v>
      </c>
      <c r="BH182" s="0" t="n">
        <v>4.0798</v>
      </c>
      <c r="BI182" s="0" t="n">
        <v>1.1528</v>
      </c>
      <c r="BJ182" s="0" t="n">
        <v>3.1201</v>
      </c>
      <c r="BK182" s="0" t="n">
        <v>1.4589</v>
      </c>
      <c r="BL182" s="0" t="n">
        <v>1.5001</v>
      </c>
      <c r="BM182" s="0" t="n">
        <v>1.3377</v>
      </c>
      <c r="BN182" s="0" t="n">
        <v>2.8145</v>
      </c>
      <c r="BO182" s="0" t="n">
        <v>0.349</v>
      </c>
      <c r="BP182" s="0" t="n">
        <v>1.691</v>
      </c>
      <c r="BQ182" s="0" t="n">
        <v>0.2643</v>
      </c>
      <c r="BR182" s="0" t="n">
        <v>0.1465</v>
      </c>
      <c r="BS182" s="0" t="n">
        <v>0.5774</v>
      </c>
      <c r="BT182" s="0" t="n">
        <v>0.7845</v>
      </c>
      <c r="BU182" s="0" t="n">
        <v>0</v>
      </c>
      <c r="BV182" s="0" t="n">
        <v>0.7067</v>
      </c>
      <c r="BW182" s="0" t="n">
        <v>0.6106</v>
      </c>
      <c r="BX182" s="0" t="n">
        <v>0.8669</v>
      </c>
      <c r="BY182" s="0" t="n">
        <v>0.1396</v>
      </c>
      <c r="BZ182" s="0" t="n">
        <v>0.2603</v>
      </c>
      <c r="CA182" s="0" t="n">
        <v>0.1976</v>
      </c>
      <c r="CB182" s="0" t="n">
        <v>0.44</v>
      </c>
      <c r="CC182" s="0" t="n">
        <v>0.1147</v>
      </c>
      <c r="CD182" s="0" t="n">
        <v>0</v>
      </c>
      <c r="CE182" s="0" t="n">
        <v>0</v>
      </c>
      <c r="CF182" s="0" t="n">
        <v>0.0561</v>
      </c>
      <c r="CG182" s="0" t="n">
        <v>0.1475</v>
      </c>
      <c r="CH182" s="0" t="n">
        <v>0.027</v>
      </c>
      <c r="CI182" s="0" t="n">
        <v>0</v>
      </c>
      <c r="CJ182" s="0" t="n">
        <v>0.0069</v>
      </c>
      <c r="CK182" s="0" t="n">
        <v>0.0465</v>
      </c>
      <c r="CL182" s="0" t="n">
        <v>0.0069</v>
      </c>
      <c r="CM182" s="0" t="n">
        <v>0.3225</v>
      </c>
      <c r="CN182" s="0" t="n">
        <v>0</v>
      </c>
      <c r="CO182" s="0" t="n">
        <v>9.7849</v>
      </c>
      <c r="CP182" s="0" t="n">
        <v>26.6845</v>
      </c>
      <c r="CQ182" s="0" t="n">
        <v>27.2255</v>
      </c>
      <c r="CR182" s="0" t="n">
        <v>0.1056</v>
      </c>
      <c r="CS182" s="0" t="n">
        <v>33.7599</v>
      </c>
      <c r="CT182" s="0" t="n">
        <v>15.4184</v>
      </c>
      <c r="CU182" s="0" t="n">
        <v>25.2535</v>
      </c>
      <c r="CV182" s="0" t="n">
        <v>18.2919</v>
      </c>
      <c r="CW182" s="0" t="n">
        <v>3.8177</v>
      </c>
      <c r="CX182" s="0" t="n">
        <v>21.7033</v>
      </c>
      <c r="CY182" s="0" t="n">
        <v>19.6905</v>
      </c>
      <c r="CZ182" s="0" t="n">
        <v>13.3284</v>
      </c>
      <c r="DA182" s="0" t="n">
        <v>19.6599</v>
      </c>
      <c r="DB182" s="0" t="n">
        <v>17.5323</v>
      </c>
      <c r="DC182" s="0" t="n">
        <v>18.9008</v>
      </c>
      <c r="DD182" s="0" t="n">
        <v>11.3928</v>
      </c>
      <c r="DE182" s="0" t="n">
        <v>21.9299</v>
      </c>
      <c r="DF182" s="0" t="n">
        <v>10.6521</v>
      </c>
      <c r="DG182" s="0" t="n">
        <v>26.867</v>
      </c>
      <c r="DH182" s="0" t="n">
        <v>16.2663</v>
      </c>
      <c r="DI182" s="0" t="n">
        <v>26.9452</v>
      </c>
      <c r="DJ182" s="0" t="n">
        <v>13.6989</v>
      </c>
      <c r="DK182" s="0" t="n">
        <v>19.04</v>
      </c>
      <c r="DL182" s="0" t="n">
        <v>30.8882</v>
      </c>
      <c r="DM182" s="0" t="n">
        <v>7.5223</v>
      </c>
      <c r="DN182" s="0" t="n">
        <v>32.0623</v>
      </c>
      <c r="DO182" s="0" t="n">
        <v>31.6676</v>
      </c>
      <c r="DP182" s="0" t="n">
        <v>18.8247</v>
      </c>
      <c r="DQ182" s="0" t="n">
        <v>13.1725</v>
      </c>
      <c r="DR182" s="0" t="n">
        <v>32.3941</v>
      </c>
      <c r="DS182" s="0" t="n">
        <v>23.7695</v>
      </c>
      <c r="DT182" s="0" t="n">
        <v>29.3298</v>
      </c>
      <c r="DU182" s="0" t="n">
        <v>18.5942</v>
      </c>
      <c r="DV182" s="0" t="n">
        <v>30.439</v>
      </c>
      <c r="DW182" s="0" t="n">
        <v>35.7534</v>
      </c>
      <c r="DX182" s="0" t="n">
        <v>29.8475</v>
      </c>
      <c r="DY182" s="0" t="n">
        <v>1.8528</v>
      </c>
      <c r="DZ182" s="0" t="n">
        <v>22.5161</v>
      </c>
      <c r="EA182" s="0" t="n">
        <v>21.9601</v>
      </c>
      <c r="EB182" s="0" t="n">
        <v>15.1575</v>
      </c>
      <c r="EC182" s="0" t="n">
        <v>12.8193</v>
      </c>
      <c r="ED182" s="0" t="n">
        <v>11.9074</v>
      </c>
      <c r="EE182" s="0" t="n">
        <v>16.6652</v>
      </c>
      <c r="EF182" s="0" t="n">
        <v>9.4684</v>
      </c>
      <c r="EG182" s="0" t="n">
        <v>6.8867</v>
      </c>
      <c r="EH182" s="0" t="n">
        <v>9.0492</v>
      </c>
      <c r="EI182" s="0" t="n">
        <v>2.1777</v>
      </c>
      <c r="EJ182" s="0" t="n">
        <v>6.9961</v>
      </c>
      <c r="EK182" s="0" t="n">
        <v>3.19</v>
      </c>
      <c r="EL182" s="0" t="n">
        <v>0.9181</v>
      </c>
      <c r="EM182" s="0" t="n">
        <v>2.5137</v>
      </c>
      <c r="EN182" s="0" t="n">
        <v>1.2043</v>
      </c>
      <c r="EO182" s="0" t="n">
        <v>1.2698</v>
      </c>
      <c r="EP182" s="0" t="n">
        <v>1.1437</v>
      </c>
      <c r="EQ182" s="0" t="n">
        <v>2.4542</v>
      </c>
      <c r="ER182" s="0" t="n">
        <v>0.3099</v>
      </c>
      <c r="ES182" s="0" t="n">
        <v>1.5256</v>
      </c>
      <c r="ET182" s="0" t="n">
        <v>0.2434</v>
      </c>
      <c r="EU182" s="0" t="n">
        <v>0.1364</v>
      </c>
      <c r="EV182" s="0" t="n">
        <v>0.5462</v>
      </c>
      <c r="EW182" s="0" t="n">
        <v>0.7596</v>
      </c>
      <c r="EX182" s="0" t="n">
        <v>0</v>
      </c>
      <c r="EY182" s="0" t="n">
        <v>0.702</v>
      </c>
      <c r="EZ182" s="0" t="n">
        <v>0.6187</v>
      </c>
      <c r="FA182" s="0" t="n">
        <v>0.8956</v>
      </c>
      <c r="FB182" s="0" t="n">
        <v>0.1458</v>
      </c>
      <c r="FC182" s="0" t="n">
        <v>0.2744</v>
      </c>
      <c r="FD182" s="0" t="n">
        <v>0.2139</v>
      </c>
      <c r="FE182" s="0" t="n">
        <v>0.4816</v>
      </c>
      <c r="FF182" s="0" t="n">
        <v>0.1268</v>
      </c>
      <c r="FG182" s="0" t="n">
        <v>0</v>
      </c>
      <c r="FH182" s="0" t="n">
        <v>0</v>
      </c>
      <c r="FI182" s="0" t="n">
        <v>0.0648</v>
      </c>
      <c r="FJ182" s="0" t="n">
        <v>0.1733</v>
      </c>
      <c r="FK182" s="0" t="n">
        <v>0.032</v>
      </c>
      <c r="FL182" s="0" t="n">
        <v>0</v>
      </c>
      <c r="FM182" s="0" t="n">
        <v>0.0083</v>
      </c>
      <c r="FN182" s="0" t="n">
        <v>0.0577</v>
      </c>
      <c r="FO182" s="0" t="n">
        <v>0.0086</v>
      </c>
      <c r="FP182" s="0" t="n">
        <v>0.416</v>
      </c>
    </row>
    <row r="183" customFormat="false" ht="13.8" hidden="false" customHeight="false" outlineLevel="0" collapsed="false">
      <c r="A183" s="2" t="s">
        <v>523</v>
      </c>
      <c r="B183" s="0" t="s">
        <v>173</v>
      </c>
      <c r="C183" s="0" t="n">
        <v>90</v>
      </c>
      <c r="D183" s="0" t="s">
        <v>524</v>
      </c>
      <c r="G183" s="0" t="n">
        <v>2956.17</v>
      </c>
      <c r="H183" s="0" t="n">
        <v>193.4455</v>
      </c>
      <c r="I183" s="0" t="n">
        <v>607.7269</v>
      </c>
      <c r="J183" s="0" t="n">
        <v>0.65395</v>
      </c>
      <c r="K183" s="0" t="n">
        <v>0.033</v>
      </c>
      <c r="L183" s="0" t="n">
        <v>296.6837</v>
      </c>
      <c r="M183" s="0" t="n">
        <v>234.2804</v>
      </c>
      <c r="N183" s="0" t="n">
        <v>316.5085</v>
      </c>
      <c r="O183" s="0" t="n">
        <v>280.4982</v>
      </c>
      <c r="P183" s="0" t="n">
        <v>225.9046</v>
      </c>
      <c r="Q183" s="0" t="n">
        <v>150.2491</v>
      </c>
      <c r="R183" s="0" t="n">
        <v>144.1141</v>
      </c>
      <c r="S183" s="0" t="n">
        <v>91.4177</v>
      </c>
      <c r="T183" s="0" t="n">
        <v>77.2636</v>
      </c>
      <c r="U183" s="0" t="n">
        <v>69.021</v>
      </c>
      <c r="V183" s="0" t="n">
        <v>61.3485</v>
      </c>
      <c r="W183" s="0" t="n">
        <v>53.1715</v>
      </c>
      <c r="X183" s="0" t="n">
        <v>51.4398</v>
      </c>
      <c r="Y183" s="0" t="n">
        <v>44.4215</v>
      </c>
      <c r="Z183" s="0" t="n">
        <v>39.5909</v>
      </c>
      <c r="AA183" s="0" t="n">
        <v>32.7062</v>
      </c>
      <c r="AB183" s="0" t="n">
        <v>30.6124</v>
      </c>
      <c r="AC183" s="0" t="n">
        <v>35.9582</v>
      </c>
      <c r="AD183" s="0" t="n">
        <v>37.1784</v>
      </c>
      <c r="AE183" s="0" t="n">
        <v>33.7571</v>
      </c>
      <c r="AF183" s="0" t="n">
        <v>33.5031</v>
      </c>
      <c r="AG183" s="0" t="n">
        <v>32.1756</v>
      </c>
      <c r="AH183" s="0" t="n">
        <v>33.0812</v>
      </c>
      <c r="AI183" s="0" t="n">
        <v>33.1633</v>
      </c>
      <c r="AJ183" s="0" t="n">
        <v>31.8272</v>
      </c>
      <c r="AK183" s="0" t="n">
        <v>27.9017</v>
      </c>
      <c r="AL183" s="0" t="n">
        <v>26.2805</v>
      </c>
      <c r="AM183" s="0" t="n">
        <v>23.8467</v>
      </c>
      <c r="AN183" s="0" t="n">
        <v>22.2626</v>
      </c>
      <c r="AO183" s="0" t="n">
        <v>26.4506</v>
      </c>
      <c r="AP183" s="0" t="n">
        <v>26.9983</v>
      </c>
      <c r="AQ183" s="0" t="n">
        <v>25.919</v>
      </c>
      <c r="AR183" s="0" t="n">
        <v>29.2314</v>
      </c>
      <c r="AS183" s="0" t="n">
        <v>27.2763</v>
      </c>
      <c r="AT183" s="0" t="n">
        <v>29.2565</v>
      </c>
      <c r="AU183" s="0" t="n">
        <v>24.8169</v>
      </c>
      <c r="AV183" s="0" t="n">
        <v>24.5865</v>
      </c>
      <c r="AW183" s="0" t="n">
        <v>23.0909</v>
      </c>
      <c r="AX183" s="0" t="n">
        <v>25.2334</v>
      </c>
      <c r="AY183" s="0" t="n">
        <v>25.5085</v>
      </c>
      <c r="AZ183" s="0" t="n">
        <v>18.1029</v>
      </c>
      <c r="BA183" s="0" t="n">
        <v>15.92</v>
      </c>
      <c r="BB183" s="0" t="n">
        <v>18.4289</v>
      </c>
      <c r="BC183" s="0" t="n">
        <v>11.0805</v>
      </c>
      <c r="BD183" s="0" t="n">
        <v>8.0565</v>
      </c>
      <c r="BE183" s="0" t="n">
        <v>3.6361</v>
      </c>
      <c r="BF183" s="0" t="n">
        <v>4.0419</v>
      </c>
      <c r="BG183" s="0" t="n">
        <v>2.5137</v>
      </c>
      <c r="BH183" s="0" t="n">
        <v>2.9698</v>
      </c>
      <c r="BI183" s="0" t="n">
        <v>0.9886</v>
      </c>
      <c r="BJ183" s="0" t="n">
        <v>1.7434</v>
      </c>
      <c r="BK183" s="0" t="n">
        <v>1.4817</v>
      </c>
      <c r="BL183" s="0" t="n">
        <v>1.8474</v>
      </c>
      <c r="BM183" s="0" t="n">
        <v>0.7749</v>
      </c>
      <c r="BN183" s="0" t="n">
        <v>1.3077</v>
      </c>
      <c r="BO183" s="0" t="n">
        <v>0.748</v>
      </c>
      <c r="BP183" s="0" t="n">
        <v>0.6439</v>
      </c>
      <c r="BQ183" s="0" t="n">
        <v>0.2878</v>
      </c>
      <c r="BR183" s="0" t="n">
        <v>0.7339</v>
      </c>
      <c r="BS183" s="0" t="n">
        <v>0.1774</v>
      </c>
      <c r="BT183" s="0" t="n">
        <v>0.2075</v>
      </c>
      <c r="BU183" s="0" t="n">
        <v>0.3934</v>
      </c>
      <c r="BV183" s="0" t="n">
        <v>0.1879</v>
      </c>
      <c r="BW183" s="0" t="n">
        <v>0.0771</v>
      </c>
      <c r="BX183" s="0" t="n">
        <v>0.0338</v>
      </c>
      <c r="BY183" s="0" t="n">
        <v>0</v>
      </c>
      <c r="BZ183" s="0" t="n">
        <v>0</v>
      </c>
      <c r="CA183" s="0" t="n">
        <v>0</v>
      </c>
      <c r="CB183" s="0" t="n">
        <v>0.0422</v>
      </c>
      <c r="CC183" s="0" t="n">
        <v>0</v>
      </c>
      <c r="CD183" s="0" t="n">
        <v>0</v>
      </c>
      <c r="CE183" s="0" t="n">
        <v>0</v>
      </c>
      <c r="CF183" s="0" t="n">
        <v>0.1341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0</v>
      </c>
      <c r="CN183" s="0" t="n">
        <v>0.0004</v>
      </c>
      <c r="CO183" s="0" t="n">
        <v>7.5122</v>
      </c>
      <c r="CP183" s="0" t="n">
        <v>9.2103</v>
      </c>
      <c r="CQ183" s="0" t="n">
        <v>17.4852</v>
      </c>
      <c r="CR183" s="0" t="n">
        <v>19.6056</v>
      </c>
      <c r="CS183" s="0" t="n">
        <v>19.3486</v>
      </c>
      <c r="CT183" s="0" t="n">
        <v>15.3182</v>
      </c>
      <c r="CU183" s="0" t="n">
        <v>16.9661</v>
      </c>
      <c r="CV183" s="0" t="n">
        <v>12.1724</v>
      </c>
      <c r="CW183" s="0" t="n">
        <v>11.499</v>
      </c>
      <c r="CX183" s="0" t="n">
        <v>11.3626</v>
      </c>
      <c r="CY183" s="0" t="n">
        <v>11.0874</v>
      </c>
      <c r="CZ183" s="0" t="n">
        <v>10.423</v>
      </c>
      <c r="DA183" s="0" t="n">
        <v>10.8962</v>
      </c>
      <c r="DB183" s="0" t="n">
        <v>10.1057</v>
      </c>
      <c r="DC183" s="0" t="n">
        <v>9.6576</v>
      </c>
      <c r="DD183" s="0" t="n">
        <v>8.4604</v>
      </c>
      <c r="DE183" s="0" t="n">
        <v>8.4073</v>
      </c>
      <c r="DF183" s="0" t="n">
        <v>10.4581</v>
      </c>
      <c r="DG183" s="0" t="n">
        <v>11.3921</v>
      </c>
      <c r="DH183" s="0" t="n">
        <v>10.8589</v>
      </c>
      <c r="DI183" s="0" t="n">
        <v>11.3318</v>
      </c>
      <c r="DJ183" s="0" t="n">
        <v>11.3506</v>
      </c>
      <c r="DK183" s="0" t="n">
        <v>12.2033</v>
      </c>
      <c r="DL183" s="0" t="n">
        <v>12.7667</v>
      </c>
      <c r="DM183" s="0" t="n">
        <v>12.7436</v>
      </c>
      <c r="DN183" s="0" t="n">
        <v>11.589</v>
      </c>
      <c r="DO183" s="0" t="n">
        <v>11.3515</v>
      </c>
      <c r="DP183" s="0" t="n">
        <v>10.672</v>
      </c>
      <c r="DQ183" s="0" t="n">
        <v>10.305</v>
      </c>
      <c r="DR183" s="0" t="n">
        <v>12.6629</v>
      </c>
      <c r="DS183" s="0" t="n">
        <v>13.3541</v>
      </c>
      <c r="DT183" s="0" t="n">
        <v>13.2415</v>
      </c>
      <c r="DU183" s="0" t="n">
        <v>15.3821</v>
      </c>
      <c r="DV183" s="0" t="n">
        <v>14.7824</v>
      </c>
      <c r="DW183" s="0" t="n">
        <v>16.2988</v>
      </c>
      <c r="DX183" s="0" t="n">
        <v>14.2393</v>
      </c>
      <c r="DY183" s="0" t="n">
        <v>14.4843</v>
      </c>
      <c r="DZ183" s="0" t="n">
        <v>13.9611</v>
      </c>
      <c r="EA183" s="0" t="n">
        <v>15.6268</v>
      </c>
      <c r="EB183" s="0" t="n">
        <v>16.2284</v>
      </c>
      <c r="EC183" s="0" t="n">
        <v>11.7954</v>
      </c>
      <c r="ED183" s="0" t="n">
        <v>10.6355</v>
      </c>
      <c r="EE183" s="0" t="n">
        <v>12.5825</v>
      </c>
      <c r="EF183" s="0" t="n">
        <v>7.7472</v>
      </c>
      <c r="EG183" s="0" t="n">
        <v>5.7513</v>
      </c>
      <c r="EH183" s="0" t="n">
        <v>2.655</v>
      </c>
      <c r="EI183" s="0" t="n">
        <v>3.0105</v>
      </c>
      <c r="EJ183" s="0" t="n">
        <v>1.9123</v>
      </c>
      <c r="EK183" s="0" t="n">
        <v>2.3049</v>
      </c>
      <c r="EL183" s="0" t="n">
        <v>0.7838</v>
      </c>
      <c r="EM183" s="0" t="n">
        <v>1.406</v>
      </c>
      <c r="EN183" s="0" t="n">
        <v>1.2213</v>
      </c>
      <c r="EO183" s="0" t="n">
        <v>1.5533</v>
      </c>
      <c r="EP183" s="0" t="n">
        <v>0.6629</v>
      </c>
      <c r="EQ183" s="0" t="n">
        <v>1.1363</v>
      </c>
      <c r="ER183" s="0" t="n">
        <v>0.6626</v>
      </c>
      <c r="ES183" s="0" t="n">
        <v>0.5823</v>
      </c>
      <c r="ET183" s="0" t="n">
        <v>0.2647</v>
      </c>
      <c r="EU183" s="0" t="n">
        <v>0.6883</v>
      </c>
      <c r="EV183" s="0" t="n">
        <v>0.1689</v>
      </c>
      <c r="EW183" s="0" t="n">
        <v>0.2009</v>
      </c>
      <c r="EX183" s="0" t="n">
        <v>0.3869</v>
      </c>
      <c r="EY183" s="0" t="n">
        <v>0.1881</v>
      </c>
      <c r="EZ183" s="0" t="n">
        <v>0.0785</v>
      </c>
      <c r="FA183" s="0" t="n">
        <v>0.0347</v>
      </c>
      <c r="FB183" s="0" t="n">
        <v>0</v>
      </c>
      <c r="FC183" s="0" t="n">
        <v>0</v>
      </c>
      <c r="FD183" s="0" t="n">
        <v>0</v>
      </c>
      <c r="FE183" s="0" t="n">
        <v>0.0464</v>
      </c>
      <c r="FF183" s="0" t="n">
        <v>0</v>
      </c>
      <c r="FG183" s="0" t="n">
        <v>0</v>
      </c>
      <c r="FH183" s="0" t="n">
        <v>0</v>
      </c>
      <c r="FI183" s="0" t="n">
        <v>0.154</v>
      </c>
      <c r="FJ183" s="0" t="n">
        <v>0</v>
      </c>
      <c r="FK183" s="0" t="n">
        <v>0</v>
      </c>
      <c r="FL183" s="0" t="n">
        <v>0</v>
      </c>
      <c r="FM183" s="0" t="n">
        <v>0</v>
      </c>
      <c r="FN183" s="0" t="n">
        <v>0</v>
      </c>
      <c r="FO183" s="0" t="n">
        <v>0</v>
      </c>
      <c r="FP183" s="0" t="n">
        <v>0</v>
      </c>
    </row>
    <row r="184" customFormat="false" ht="13.8" hidden="false" customHeight="false" outlineLevel="0" collapsed="false">
      <c r="A184" s="2" t="s">
        <v>525</v>
      </c>
      <c r="B184" s="0" t="s">
        <v>176</v>
      </c>
      <c r="C184" s="0" t="n">
        <v>233</v>
      </c>
      <c r="D184" s="0" t="s">
        <v>526</v>
      </c>
      <c r="G184" s="0" t="n">
        <v>2800.6706</v>
      </c>
      <c r="H184" s="0" t="n">
        <v>163.8177</v>
      </c>
      <c r="I184" s="0" t="n">
        <v>514.6484</v>
      </c>
      <c r="J184" s="0" t="n">
        <v>0.59945</v>
      </c>
      <c r="K184" s="0" t="n">
        <v>0.5582</v>
      </c>
      <c r="L184" s="0" t="n">
        <v>218.7457</v>
      </c>
      <c r="M184" s="0" t="n">
        <v>232.5592</v>
      </c>
      <c r="N184" s="0" t="n">
        <v>404.3828</v>
      </c>
      <c r="O184" s="0" t="n">
        <v>350.9152</v>
      </c>
      <c r="P184" s="0" t="n">
        <v>240.7533</v>
      </c>
      <c r="Q184" s="0" t="n">
        <v>153.0001</v>
      </c>
      <c r="R184" s="0" t="n">
        <v>141.5524</v>
      </c>
      <c r="S184" s="0" t="n">
        <v>82.2852</v>
      </c>
      <c r="T184" s="0" t="n">
        <v>64.1824</v>
      </c>
      <c r="U184" s="0" t="n">
        <v>58.595</v>
      </c>
      <c r="V184" s="0" t="n">
        <v>51.7177</v>
      </c>
      <c r="W184" s="0" t="n">
        <v>42.1494</v>
      </c>
      <c r="X184" s="0" t="n">
        <v>40.1971</v>
      </c>
      <c r="Y184" s="0" t="n">
        <v>34.7809</v>
      </c>
      <c r="Z184" s="0" t="n">
        <v>26.7348</v>
      </c>
      <c r="AA184" s="0" t="n">
        <v>24.8083</v>
      </c>
      <c r="AB184" s="0" t="n">
        <v>20.6839</v>
      </c>
      <c r="AC184" s="0" t="n">
        <v>18.1736</v>
      </c>
      <c r="AD184" s="0" t="n">
        <v>21.7381</v>
      </c>
      <c r="AE184" s="0" t="n">
        <v>27.4419</v>
      </c>
      <c r="AF184" s="0" t="n">
        <v>31.646</v>
      </c>
      <c r="AG184" s="0" t="n">
        <v>31.9147</v>
      </c>
      <c r="AH184" s="0" t="n">
        <v>32.046</v>
      </c>
      <c r="AI184" s="0" t="n">
        <v>33.2822</v>
      </c>
      <c r="AJ184" s="0" t="n">
        <v>33.7389</v>
      </c>
      <c r="AK184" s="0" t="n">
        <v>35.4329</v>
      </c>
      <c r="AL184" s="0" t="n">
        <v>29.243</v>
      </c>
      <c r="AM184" s="0" t="n">
        <v>29.1149</v>
      </c>
      <c r="AN184" s="0" t="n">
        <v>25.7919</v>
      </c>
      <c r="AO184" s="0" t="n">
        <v>25.8339</v>
      </c>
      <c r="AP184" s="0" t="n">
        <v>30.6883</v>
      </c>
      <c r="AQ184" s="0" t="n">
        <v>23.9487</v>
      </c>
      <c r="AR184" s="0" t="n">
        <v>24.7853</v>
      </c>
      <c r="AS184" s="0" t="n">
        <v>24.2166</v>
      </c>
      <c r="AT184" s="0" t="n">
        <v>25.6682</v>
      </c>
      <c r="AU184" s="0" t="n">
        <v>20.4187</v>
      </c>
      <c r="AV184" s="0" t="n">
        <v>11.7793</v>
      </c>
      <c r="AW184" s="0" t="n">
        <v>9.5539</v>
      </c>
      <c r="AX184" s="0" t="n">
        <v>9.9417</v>
      </c>
      <c r="AY184" s="0" t="n">
        <v>8.8615</v>
      </c>
      <c r="AZ184" s="0" t="n">
        <v>6.9606</v>
      </c>
      <c r="BA184" s="0" t="n">
        <v>4.5555</v>
      </c>
      <c r="BB184" s="0" t="n">
        <v>3.1261</v>
      </c>
      <c r="BC184" s="0" t="n">
        <v>3.9465</v>
      </c>
      <c r="BD184" s="0" t="n">
        <v>3.5448</v>
      </c>
      <c r="BE184" s="0" t="n">
        <v>2.376</v>
      </c>
      <c r="BF184" s="0" t="n">
        <v>2.2869</v>
      </c>
      <c r="BG184" s="0" t="n">
        <v>2.2587</v>
      </c>
      <c r="BH184" s="0" t="n">
        <v>2.3396</v>
      </c>
      <c r="BI184" s="0" t="n">
        <v>1.6925</v>
      </c>
      <c r="BJ184" s="0" t="n">
        <v>1.2708</v>
      </c>
      <c r="BK184" s="0" t="n">
        <v>0.8761</v>
      </c>
      <c r="BL184" s="0" t="n">
        <v>0.8957</v>
      </c>
      <c r="BM184" s="0" t="n">
        <v>0.929</v>
      </c>
      <c r="BN184" s="0" t="n">
        <v>0.9927</v>
      </c>
      <c r="BO184" s="0" t="n">
        <v>0.4712</v>
      </c>
      <c r="BP184" s="0" t="n">
        <v>0.3971</v>
      </c>
      <c r="BQ184" s="0" t="n">
        <v>0.8603</v>
      </c>
      <c r="BR184" s="0" t="n">
        <v>0.4764</v>
      </c>
      <c r="BS184" s="0" t="n">
        <v>0.0692</v>
      </c>
      <c r="BT184" s="0" t="n">
        <v>0.5892</v>
      </c>
      <c r="BU184" s="0" t="n">
        <v>0.8433</v>
      </c>
      <c r="BV184" s="0" t="n">
        <v>0.4375</v>
      </c>
      <c r="BW184" s="0" t="n">
        <v>0.4958</v>
      </c>
      <c r="BX184" s="0" t="n">
        <v>0.0645</v>
      </c>
      <c r="BY184" s="0" t="n">
        <v>0.3997</v>
      </c>
      <c r="BZ184" s="0" t="n">
        <v>0.0592</v>
      </c>
      <c r="CA184" s="0" t="n">
        <v>0.2561</v>
      </c>
      <c r="CB184" s="0" t="n">
        <v>0.1862</v>
      </c>
      <c r="CC184" s="0" t="n">
        <v>0.0201</v>
      </c>
      <c r="CD184" s="0" t="n">
        <v>0.0852</v>
      </c>
      <c r="CE184" s="0" t="n">
        <v>0.2221</v>
      </c>
      <c r="CF184" s="0" t="n">
        <v>0.1739</v>
      </c>
      <c r="CG184" s="0" t="n">
        <v>0.1598</v>
      </c>
      <c r="CH184" s="0" t="n">
        <v>0</v>
      </c>
      <c r="CI184" s="0" t="n">
        <v>0.0201</v>
      </c>
      <c r="CJ184" s="0" t="n">
        <v>0.1111</v>
      </c>
      <c r="CK184" s="0" t="n">
        <v>0</v>
      </c>
      <c r="CL184" s="0" t="n">
        <v>0.3448</v>
      </c>
      <c r="CM184" s="0" t="n">
        <v>0.5606</v>
      </c>
      <c r="CN184" s="0" t="n">
        <v>0.0066</v>
      </c>
      <c r="CO184" s="0" t="n">
        <v>5.7423</v>
      </c>
      <c r="CP184" s="0" t="n">
        <v>9.0396</v>
      </c>
      <c r="CQ184" s="0" t="n">
        <v>22.3384</v>
      </c>
      <c r="CR184" s="0" t="n">
        <v>24.4493</v>
      </c>
      <c r="CS184" s="0" t="n">
        <v>20.6444</v>
      </c>
      <c r="CT184" s="0" t="n">
        <v>15.5652</v>
      </c>
      <c r="CU184" s="0" t="n">
        <v>16.6967</v>
      </c>
      <c r="CV184" s="0" t="n">
        <v>10.9812</v>
      </c>
      <c r="CW184" s="0" t="n">
        <v>9.544</v>
      </c>
      <c r="CX184" s="0" t="n">
        <v>9.651</v>
      </c>
      <c r="CY184" s="0" t="n">
        <v>9.3412</v>
      </c>
      <c r="CZ184" s="0" t="n">
        <v>8.2611</v>
      </c>
      <c r="DA184" s="0" t="n">
        <v>8.5205</v>
      </c>
      <c r="DB184" s="0" t="n">
        <v>7.9182</v>
      </c>
      <c r="DC184" s="0" t="n">
        <v>6.505</v>
      </c>
      <c r="DD184" s="0" t="n">
        <v>6.4194</v>
      </c>
      <c r="DE184" s="0" t="n">
        <v>5.6762</v>
      </c>
      <c r="DF184" s="0" t="n">
        <v>5.2846</v>
      </c>
      <c r="DG184" s="0" t="n">
        <v>6.6604</v>
      </c>
      <c r="DH184" s="0" t="n">
        <v>8.8418</v>
      </c>
      <c r="DI184" s="0" t="n">
        <v>10.7089</v>
      </c>
      <c r="DJ184" s="0" t="n">
        <v>11.2713</v>
      </c>
      <c r="DK184" s="0" t="n">
        <v>11.8334</v>
      </c>
      <c r="DL184" s="0" t="n">
        <v>12.8307</v>
      </c>
      <c r="DM184" s="0" t="n">
        <v>13.5034</v>
      </c>
      <c r="DN184" s="0" t="n">
        <v>14.735</v>
      </c>
      <c r="DO184" s="0" t="n">
        <v>12.6558</v>
      </c>
      <c r="DP184" s="0" t="n">
        <v>13.0361</v>
      </c>
      <c r="DQ184" s="0" t="n">
        <v>11.9502</v>
      </c>
      <c r="DR184" s="0" t="n">
        <v>12.3773</v>
      </c>
      <c r="DS184" s="0" t="n">
        <v>15.2045</v>
      </c>
      <c r="DT184" s="0" t="n">
        <v>12.2318</v>
      </c>
      <c r="DU184" s="0" t="n">
        <v>13.036</v>
      </c>
      <c r="DV184" s="0" t="n">
        <v>13.1083</v>
      </c>
      <c r="DW184" s="0" t="n">
        <v>14.2979</v>
      </c>
      <c r="DX184" s="0" t="n">
        <v>11.71</v>
      </c>
      <c r="DY184" s="0" t="n">
        <v>6.9356</v>
      </c>
      <c r="DZ184" s="0" t="n">
        <v>5.7745</v>
      </c>
      <c r="EA184" s="0" t="n">
        <v>6.1607</v>
      </c>
      <c r="EB184" s="0" t="n">
        <v>5.6455</v>
      </c>
      <c r="EC184" s="0" t="n">
        <v>4.5297</v>
      </c>
      <c r="ED184" s="0" t="n">
        <v>3.039</v>
      </c>
      <c r="EE184" s="0" t="n">
        <v>2.1322</v>
      </c>
      <c r="EF184" s="0" t="n">
        <v>2.7573</v>
      </c>
      <c r="EG184" s="0" t="n">
        <v>2.5361</v>
      </c>
      <c r="EH184" s="0" t="n">
        <v>1.7361</v>
      </c>
      <c r="EI184" s="0" t="n">
        <v>1.7003</v>
      </c>
      <c r="EJ184" s="0" t="n">
        <v>1.7169</v>
      </c>
      <c r="EK184" s="0" t="n">
        <v>1.8185</v>
      </c>
      <c r="EL184" s="0" t="n">
        <v>1.3441</v>
      </c>
      <c r="EM184" s="0" t="n">
        <v>1.0242</v>
      </c>
      <c r="EN184" s="0" t="n">
        <v>0.7229</v>
      </c>
      <c r="EO184" s="0" t="n">
        <v>0.7521</v>
      </c>
      <c r="EP184" s="0" t="n">
        <v>0.796</v>
      </c>
      <c r="EQ184" s="0" t="n">
        <v>0.8682</v>
      </c>
      <c r="ER184" s="0" t="n">
        <v>0.4184</v>
      </c>
      <c r="ES184" s="0" t="n">
        <v>0.3585</v>
      </c>
      <c r="ET184" s="0" t="n">
        <v>0.7925</v>
      </c>
      <c r="EU184" s="0" t="n">
        <v>0.4457</v>
      </c>
      <c r="EV184" s="0" t="n">
        <v>0.0662</v>
      </c>
      <c r="EW184" s="0" t="n">
        <v>0.5705</v>
      </c>
      <c r="EX184" s="0" t="n">
        <v>0.8263</v>
      </c>
      <c r="EY184" s="0" t="n">
        <v>0.4357</v>
      </c>
      <c r="EZ184" s="0" t="n">
        <v>0.5025</v>
      </c>
      <c r="FA184" s="0" t="n">
        <v>0.0668</v>
      </c>
      <c r="FB184" s="0" t="n">
        <v>0.4165</v>
      </c>
      <c r="FC184" s="0" t="n">
        <v>0.0628</v>
      </c>
      <c r="FD184" s="0" t="n">
        <v>0.309</v>
      </c>
      <c r="FE184" s="0" t="n">
        <v>0.2016</v>
      </c>
      <c r="FF184" s="0" t="n">
        <v>0.0223</v>
      </c>
      <c r="FG184" s="0" t="n">
        <v>0.095</v>
      </c>
      <c r="FH184" s="0" t="n">
        <v>0.2524</v>
      </c>
      <c r="FI184" s="0" t="n">
        <v>0.2005</v>
      </c>
      <c r="FJ184" s="0" t="n">
        <v>0.1862</v>
      </c>
      <c r="FK184" s="0" t="n">
        <v>0</v>
      </c>
      <c r="FL184" s="0" t="n">
        <v>0.0241</v>
      </c>
      <c r="FM184" s="0" t="n">
        <v>0.1346</v>
      </c>
      <c r="FN184" s="0" t="n">
        <v>0</v>
      </c>
      <c r="FO184" s="0" t="n">
        <v>0.4295</v>
      </c>
      <c r="FP184" s="0" t="n">
        <v>0.7402</v>
      </c>
    </row>
    <row r="185" customFormat="false" ht="13.8" hidden="false" customHeight="false" outlineLevel="0" collapsed="false">
      <c r="A185" s="2" t="s">
        <v>527</v>
      </c>
      <c r="B185" s="0" t="s">
        <v>176</v>
      </c>
      <c r="C185" s="0" t="n">
        <v>251</v>
      </c>
      <c r="D185" s="0" t="s">
        <v>528</v>
      </c>
      <c r="F185" s="0" t="e">
        <f aca="false">VLOOKUP(A185,[1]ROOT!$A$1:$C$1048576,3,0)</f>
        <v>#N/A</v>
      </c>
      <c r="G185" s="0" t="n">
        <v>3138.9857</v>
      </c>
      <c r="H185" s="0" t="n">
        <v>201.893</v>
      </c>
      <c r="I185" s="0" t="n">
        <v>634.2654</v>
      </c>
      <c r="J185" s="0" t="n">
        <v>0.598475</v>
      </c>
      <c r="K185" s="0" t="n">
        <v>0</v>
      </c>
      <c r="L185" s="0" t="n">
        <v>318.2874</v>
      </c>
      <c r="M185" s="0" t="n">
        <v>484.5538</v>
      </c>
      <c r="N185" s="0" t="n">
        <v>380.3857</v>
      </c>
      <c r="O185" s="0" t="n">
        <v>0.4639</v>
      </c>
      <c r="P185" s="0" t="n">
        <v>359.13</v>
      </c>
      <c r="Q185" s="0" t="n">
        <v>125.1376</v>
      </c>
      <c r="R185" s="0" t="n">
        <v>176.3971</v>
      </c>
      <c r="S185" s="0" t="n">
        <v>88.4058</v>
      </c>
      <c r="T185" s="0" t="n">
        <v>13.7008</v>
      </c>
      <c r="U185" s="0" t="n">
        <v>78.7579</v>
      </c>
      <c r="V185" s="0" t="n">
        <v>59.8973</v>
      </c>
      <c r="W185" s="0" t="n">
        <v>35.3929</v>
      </c>
      <c r="X185" s="0" t="n">
        <v>40.4004</v>
      </c>
      <c r="Y185" s="0" t="n">
        <v>35.8379</v>
      </c>
      <c r="Z185" s="0" t="n">
        <v>35.5316</v>
      </c>
      <c r="AA185" s="0" t="n">
        <v>32.6714</v>
      </c>
      <c r="AB185" s="0" t="n">
        <v>49.5026</v>
      </c>
      <c r="AC185" s="0" t="n">
        <v>19.6651</v>
      </c>
      <c r="AD185" s="0" t="n">
        <v>57.68</v>
      </c>
      <c r="AE185" s="0" t="n">
        <v>32.2933</v>
      </c>
      <c r="AF185" s="0" t="n">
        <v>52.1606</v>
      </c>
      <c r="AG185" s="0" t="n">
        <v>22.8623</v>
      </c>
      <c r="AH185" s="0" t="n">
        <v>35.9846</v>
      </c>
      <c r="AI185" s="0" t="n">
        <v>40.1459</v>
      </c>
      <c r="AJ185" s="0" t="n">
        <v>9.5292</v>
      </c>
      <c r="AK185" s="0" t="n">
        <v>54.9631</v>
      </c>
      <c r="AL185" s="0" t="n">
        <v>49.433</v>
      </c>
      <c r="AM185" s="0" t="n">
        <v>29.2921</v>
      </c>
      <c r="AN185" s="0" t="n">
        <v>21.7006</v>
      </c>
      <c r="AO185" s="0" t="n">
        <v>60.7999</v>
      </c>
      <c r="AP185" s="0" t="n">
        <v>33.6121</v>
      </c>
      <c r="AQ185" s="0" t="n">
        <v>47.3547</v>
      </c>
      <c r="AR185" s="0" t="n">
        <v>32.195</v>
      </c>
      <c r="AS185" s="0" t="n">
        <v>36.25</v>
      </c>
      <c r="AT185" s="0" t="n">
        <v>41.7171</v>
      </c>
      <c r="AU185" s="0" t="n">
        <v>30.0836</v>
      </c>
      <c r="AV185" s="0" t="n">
        <v>3.9075</v>
      </c>
      <c r="AW185" s="0" t="n">
        <v>19.2582</v>
      </c>
      <c r="AX185" s="0" t="n">
        <v>19.9323</v>
      </c>
      <c r="AY185" s="0" t="n">
        <v>11.5782</v>
      </c>
      <c r="AZ185" s="0" t="n">
        <v>12.43</v>
      </c>
      <c r="BA185" s="0" t="n">
        <v>7.3823</v>
      </c>
      <c r="BB185" s="0" t="n">
        <v>9.1423</v>
      </c>
      <c r="BC185" s="0" t="n">
        <v>5.5628</v>
      </c>
      <c r="BD185" s="0" t="n">
        <v>3.0009</v>
      </c>
      <c r="BE185" s="0" t="n">
        <v>4.1806</v>
      </c>
      <c r="BF185" s="0" t="n">
        <v>1.1884</v>
      </c>
      <c r="BG185" s="0" t="n">
        <v>2.6001</v>
      </c>
      <c r="BH185" s="0" t="n">
        <v>2.0204</v>
      </c>
      <c r="BI185" s="0" t="n">
        <v>0.3126</v>
      </c>
      <c r="BJ185" s="0" t="n">
        <v>0.8102</v>
      </c>
      <c r="BK185" s="0" t="n">
        <v>1.5805</v>
      </c>
      <c r="BL185" s="0" t="n">
        <v>0.7731</v>
      </c>
      <c r="BM185" s="0" t="n">
        <v>0.2062</v>
      </c>
      <c r="BN185" s="0" t="n">
        <v>1.5277</v>
      </c>
      <c r="BO185" s="0" t="n">
        <v>0.4015</v>
      </c>
      <c r="BP185" s="0" t="n">
        <v>0.5677</v>
      </c>
      <c r="BQ185" s="0" t="n">
        <v>0.774</v>
      </c>
      <c r="BR185" s="0" t="n">
        <v>0.2466</v>
      </c>
      <c r="BS185" s="0" t="n">
        <v>1.4201</v>
      </c>
      <c r="BT185" s="0" t="n">
        <v>0.3887</v>
      </c>
      <c r="BU185" s="0" t="n">
        <v>0.1491</v>
      </c>
      <c r="BV185" s="0" t="n">
        <v>0.3871</v>
      </c>
      <c r="BW185" s="0" t="n">
        <v>0.4644</v>
      </c>
      <c r="BX185" s="0" t="n">
        <v>0.3935</v>
      </c>
      <c r="BY185" s="0" t="n">
        <v>0.0127</v>
      </c>
      <c r="BZ185" s="0" t="n">
        <v>0.4517</v>
      </c>
      <c r="CA185" s="0" t="n">
        <v>0.1914</v>
      </c>
      <c r="CB185" s="0" t="n">
        <v>0.1762</v>
      </c>
      <c r="CC185" s="0" t="n">
        <v>0.2919</v>
      </c>
      <c r="CD185" s="0" t="n">
        <v>0.7156</v>
      </c>
      <c r="CE185" s="0" t="n">
        <v>0.0492</v>
      </c>
      <c r="CF185" s="0" t="n">
        <v>0.5238</v>
      </c>
      <c r="CG185" s="0" t="n">
        <v>0.1529</v>
      </c>
      <c r="CH185" s="0" t="n">
        <v>0.0159</v>
      </c>
      <c r="CI185" s="0" t="n">
        <v>0.1884</v>
      </c>
      <c r="CJ185" s="0" t="n">
        <v>0.1661</v>
      </c>
      <c r="CK185" s="0" t="n">
        <v>0.0318</v>
      </c>
      <c r="CL185" s="0" t="n">
        <v>0</v>
      </c>
      <c r="CM185" s="0" t="n">
        <v>0.2376</v>
      </c>
      <c r="CN185" s="0" t="n">
        <v>0</v>
      </c>
      <c r="CO185" s="0" t="n">
        <v>6.8432</v>
      </c>
      <c r="CP185" s="0" t="n">
        <v>20.6573</v>
      </c>
      <c r="CQ185" s="0" t="n">
        <v>23.2288</v>
      </c>
      <c r="CR185" s="0" t="n">
        <v>0.0321</v>
      </c>
      <c r="CS185" s="0" t="n">
        <v>29.922</v>
      </c>
      <c r="CT185" s="0" t="n">
        <v>12.7099</v>
      </c>
      <c r="CU185" s="0" t="n">
        <v>20.5942</v>
      </c>
      <c r="CV185" s="0" t="n">
        <v>12.2797</v>
      </c>
      <c r="CW185" s="0" t="n">
        <v>1.9809</v>
      </c>
      <c r="CX185" s="0" t="n">
        <v>12.7875</v>
      </c>
      <c r="CY185" s="0" t="n">
        <v>10.9634</v>
      </c>
      <c r="CZ185" s="0" t="n">
        <v>7.0136</v>
      </c>
      <c r="DA185" s="0" t="n">
        <v>8.4642</v>
      </c>
      <c r="DB185" s="0" t="n">
        <v>8.1446</v>
      </c>
      <c r="DC185" s="0" t="n">
        <v>8.7399</v>
      </c>
      <c r="DD185" s="0" t="n">
        <v>8.345</v>
      </c>
      <c r="DE185" s="0" t="n">
        <v>13.5662</v>
      </c>
      <c r="DF185" s="0" t="n">
        <v>5.6866</v>
      </c>
      <c r="DG185" s="0" t="n">
        <v>17.5494</v>
      </c>
      <c r="DH185" s="0" t="n">
        <v>10.3739</v>
      </c>
      <c r="DI185" s="0" t="n">
        <v>17.7324</v>
      </c>
      <c r="DJ185" s="0" t="n">
        <v>8.1102</v>
      </c>
      <c r="DK185" s="0" t="n">
        <v>13.2917</v>
      </c>
      <c r="DL185" s="0" t="n">
        <v>15.6383</v>
      </c>
      <c r="DM185" s="0" t="n">
        <v>3.792</v>
      </c>
      <c r="DN185" s="0" t="n">
        <v>22.8938</v>
      </c>
      <c r="DO185" s="0" t="n">
        <v>21.5577</v>
      </c>
      <c r="DP185" s="0" t="n">
        <v>13.2954</v>
      </c>
      <c r="DQ185" s="0" t="n">
        <v>9.9847</v>
      </c>
      <c r="DR185" s="0" t="n">
        <v>29.0729</v>
      </c>
      <c r="DS185" s="0" t="n">
        <v>16.6892</v>
      </c>
      <c r="DT185" s="0" t="n">
        <v>24.2467</v>
      </c>
      <c r="DU185" s="0" t="n">
        <v>16.9332</v>
      </c>
      <c r="DV185" s="0" t="n">
        <v>19.4801</v>
      </c>
      <c r="DW185" s="0" t="n">
        <v>23.2258</v>
      </c>
      <c r="DX185" s="0" t="n">
        <v>17.3688</v>
      </c>
      <c r="DY185" s="0" t="n">
        <v>2.3153</v>
      </c>
      <c r="DZ185" s="0" t="n">
        <v>11.5317</v>
      </c>
      <c r="EA185" s="0" t="n">
        <v>12.3543</v>
      </c>
      <c r="EB185" s="0" t="n">
        <v>7.402</v>
      </c>
      <c r="EC185" s="0" t="n">
        <v>8.0869</v>
      </c>
      <c r="ED185" s="0" t="n">
        <v>4.9053</v>
      </c>
      <c r="EE185" s="0" t="n">
        <v>6.2417</v>
      </c>
      <c r="EF185" s="0" t="n">
        <v>3.9014</v>
      </c>
      <c r="EG185" s="0" t="n">
        <v>2.1504</v>
      </c>
      <c r="EH185" s="0" t="n">
        <v>3.0522</v>
      </c>
      <c r="EI185" s="0" t="n">
        <v>0.8836</v>
      </c>
      <c r="EJ185" s="0" t="n">
        <v>1.9789</v>
      </c>
      <c r="EK185" s="0" t="n">
        <v>1.5812</v>
      </c>
      <c r="EL185" s="0" t="n">
        <v>0.2485</v>
      </c>
      <c r="EM185" s="0" t="n">
        <v>0.653</v>
      </c>
      <c r="EN185" s="0" t="n">
        <v>1.3048</v>
      </c>
      <c r="EO185" s="0" t="n">
        <v>0.6517</v>
      </c>
      <c r="EP185" s="0" t="n">
        <v>0.1762</v>
      </c>
      <c r="EQ185" s="0" t="n">
        <v>1.3319</v>
      </c>
      <c r="ER185" s="0" t="n">
        <v>0.3566</v>
      </c>
      <c r="ES185" s="0" t="n">
        <v>0.511</v>
      </c>
      <c r="ET185" s="0" t="n">
        <v>0.7125</v>
      </c>
      <c r="EU185" s="0" t="n">
        <v>0.2303</v>
      </c>
      <c r="EV185" s="0" t="n">
        <v>1.351</v>
      </c>
      <c r="EW185" s="0" t="n">
        <v>0.3762</v>
      </c>
      <c r="EX185" s="0" t="n">
        <v>0.1467</v>
      </c>
      <c r="EY185" s="0" t="n">
        <v>0.3843</v>
      </c>
      <c r="EZ185" s="0" t="n">
        <v>0.4709</v>
      </c>
      <c r="FA185" s="0" t="n">
        <v>0.4067</v>
      </c>
      <c r="FB185" s="0" t="n">
        <v>0.0132</v>
      </c>
      <c r="FC185" s="0" t="n">
        <v>0.4781</v>
      </c>
      <c r="FD185" s="0" t="n">
        <v>0.2066</v>
      </c>
      <c r="FE185" s="0" t="n">
        <v>0.193</v>
      </c>
      <c r="FF185" s="0" t="n">
        <v>0.3225</v>
      </c>
      <c r="FG185" s="0" t="n">
        <v>0.8019</v>
      </c>
      <c r="FH185" s="0" t="n">
        <v>0.0558</v>
      </c>
      <c r="FI185" s="0" t="n">
        <v>0.6055</v>
      </c>
      <c r="FJ185" s="0" t="n">
        <v>0.1797</v>
      </c>
      <c r="FK185" s="0" t="n">
        <v>0.0188</v>
      </c>
      <c r="FL185" s="0" t="n">
        <v>0.2256</v>
      </c>
      <c r="FM185" s="0" t="n">
        <v>0.2026</v>
      </c>
      <c r="FN185" s="0" t="n">
        <v>0.0393</v>
      </c>
      <c r="FO185" s="0" t="n">
        <v>0</v>
      </c>
      <c r="FP185" s="0" t="n">
        <v>0.3074</v>
      </c>
    </row>
    <row r="186" customFormat="false" ht="13.8" hidden="false" customHeight="false" outlineLevel="0" collapsed="false">
      <c r="A186" s="2" t="s">
        <v>529</v>
      </c>
      <c r="B186" s="0" t="s">
        <v>173</v>
      </c>
      <c r="C186" s="0" t="n">
        <v>137</v>
      </c>
      <c r="D186" s="0" t="s">
        <v>530</v>
      </c>
      <c r="F186" s="0" t="e">
        <f aca="false">VLOOKUP(A186,[1]ROOT!$A$1:$C$1048576,3,0)</f>
        <v>#N/A</v>
      </c>
      <c r="G186" s="0" t="n">
        <v>1682.6568</v>
      </c>
      <c r="H186" s="0" t="n">
        <v>97.4997</v>
      </c>
      <c r="I186" s="0" t="n">
        <v>306.3043</v>
      </c>
      <c r="J186" s="0" t="n">
        <v>0.613866666666667</v>
      </c>
      <c r="K186" s="0" t="n">
        <v>0</v>
      </c>
      <c r="L186" s="0" t="n">
        <v>195.613</v>
      </c>
      <c r="M186" s="0" t="n">
        <v>262.6376</v>
      </c>
      <c r="N186" s="0" t="n">
        <v>207.7557</v>
      </c>
      <c r="O186" s="0" t="n">
        <v>0.4121</v>
      </c>
      <c r="P186" s="0" t="n">
        <v>218.8055</v>
      </c>
      <c r="Q186" s="0" t="n">
        <v>81.9412</v>
      </c>
      <c r="R186" s="0" t="n">
        <v>136.1471</v>
      </c>
      <c r="S186" s="0" t="n">
        <v>65.3541</v>
      </c>
      <c r="T186" s="0" t="n">
        <v>12.0868</v>
      </c>
      <c r="U186" s="0" t="n">
        <v>54.699</v>
      </c>
      <c r="V186" s="0" t="n">
        <v>34.4688</v>
      </c>
      <c r="W186" s="0" t="n">
        <v>13.7059</v>
      </c>
      <c r="X186" s="0" t="n">
        <v>17.3298</v>
      </c>
      <c r="Y186" s="0" t="n">
        <v>15.8346</v>
      </c>
      <c r="Z186" s="0" t="n">
        <v>11.136</v>
      </c>
      <c r="AA186" s="0" t="n">
        <v>7.9349</v>
      </c>
      <c r="AB186" s="0" t="n">
        <v>17.122</v>
      </c>
      <c r="AC186" s="0" t="n">
        <v>5.2777</v>
      </c>
      <c r="AD186" s="0" t="n">
        <v>18.6276</v>
      </c>
      <c r="AE186" s="0" t="n">
        <v>9.3699</v>
      </c>
      <c r="AF186" s="0" t="n">
        <v>20.1677</v>
      </c>
      <c r="AG186" s="0" t="n">
        <v>5.3796</v>
      </c>
      <c r="AH186" s="0" t="n">
        <v>13.8933</v>
      </c>
      <c r="AI186" s="0" t="n">
        <v>14.276</v>
      </c>
      <c r="AJ186" s="0" t="n">
        <v>1.491</v>
      </c>
      <c r="AK186" s="0" t="n">
        <v>16.9788</v>
      </c>
      <c r="AL186" s="0" t="n">
        <v>14.0977</v>
      </c>
      <c r="AM186" s="0" t="n">
        <v>6.4346</v>
      </c>
      <c r="AN186" s="0" t="n">
        <v>6.1723</v>
      </c>
      <c r="AO186" s="0" t="n">
        <v>15.7719</v>
      </c>
      <c r="AP186" s="0" t="n">
        <v>5.9149</v>
      </c>
      <c r="AQ186" s="0" t="n">
        <v>17.1013</v>
      </c>
      <c r="AR186" s="0" t="n">
        <v>19.5413</v>
      </c>
      <c r="AS186" s="0" t="n">
        <v>8.1946</v>
      </c>
      <c r="AT186" s="0" t="n">
        <v>22.8301</v>
      </c>
      <c r="AU186" s="0" t="n">
        <v>19.1747</v>
      </c>
      <c r="AV186" s="0" t="n">
        <v>1.1869</v>
      </c>
      <c r="AW186" s="0" t="n">
        <v>14.4937</v>
      </c>
      <c r="AX186" s="0" t="n">
        <v>13.3345</v>
      </c>
      <c r="AY186" s="0" t="n">
        <v>3.1188</v>
      </c>
      <c r="AZ186" s="0" t="n">
        <v>14.017</v>
      </c>
      <c r="BA186" s="0" t="n">
        <v>10.3343</v>
      </c>
      <c r="BB186" s="0" t="n">
        <v>8.6519</v>
      </c>
      <c r="BC186" s="0" t="n">
        <v>3.6531</v>
      </c>
      <c r="BD186" s="0" t="n">
        <v>3.0476</v>
      </c>
      <c r="BE186" s="0" t="n">
        <v>4.4523</v>
      </c>
      <c r="BF186" s="0" t="n">
        <v>0.6573</v>
      </c>
      <c r="BG186" s="0" t="n">
        <v>1.7089</v>
      </c>
      <c r="BH186" s="0" t="n">
        <v>1.2954</v>
      </c>
      <c r="BI186" s="0" t="n">
        <v>0.6546</v>
      </c>
      <c r="BJ186" s="0" t="n">
        <v>1.7718</v>
      </c>
      <c r="BK186" s="0" t="n">
        <v>0.9614</v>
      </c>
      <c r="BL186" s="0" t="n">
        <v>1.0504</v>
      </c>
      <c r="BM186" s="0" t="n">
        <v>0.7513</v>
      </c>
      <c r="BN186" s="0" t="n">
        <v>0.7376</v>
      </c>
      <c r="BO186" s="0" t="n">
        <v>0.5985</v>
      </c>
      <c r="BP186" s="0" t="n">
        <v>0.2611</v>
      </c>
      <c r="BQ186" s="0" t="n">
        <v>0.2068</v>
      </c>
      <c r="BR186" s="0" t="n">
        <v>0.2829</v>
      </c>
      <c r="BS186" s="0" t="n">
        <v>0.4639</v>
      </c>
      <c r="BT186" s="0" t="n">
        <v>0.1291</v>
      </c>
      <c r="BU186" s="0" t="n">
        <v>0.0634</v>
      </c>
      <c r="BV186" s="0" t="n">
        <v>0</v>
      </c>
      <c r="BW186" s="0" t="n">
        <v>0.0725</v>
      </c>
      <c r="BX186" s="0" t="n">
        <v>0</v>
      </c>
      <c r="BY186" s="0" t="n">
        <v>0</v>
      </c>
      <c r="BZ186" s="0" t="n">
        <v>0</v>
      </c>
      <c r="CA186" s="0" t="n">
        <v>0.3345</v>
      </c>
      <c r="CB186" s="0" t="n">
        <v>0</v>
      </c>
      <c r="CC186" s="0" t="n">
        <v>0.0254</v>
      </c>
      <c r="CD186" s="0" t="n">
        <v>0.0724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0.0137</v>
      </c>
      <c r="CK186" s="0" t="n">
        <v>0</v>
      </c>
      <c r="CL186" s="0" t="n">
        <v>0</v>
      </c>
      <c r="CM186" s="0" t="n">
        <v>0.1353</v>
      </c>
      <c r="CN186" s="0" t="n">
        <v>0</v>
      </c>
      <c r="CO186" s="0" t="n">
        <v>4.2011</v>
      </c>
      <c r="CP186" s="0" t="n">
        <v>11.2332</v>
      </c>
      <c r="CQ186" s="0" t="n">
        <v>12.7067</v>
      </c>
      <c r="CR186" s="0" t="n">
        <v>0.0285</v>
      </c>
      <c r="CS186" s="0" t="n">
        <v>18.2865</v>
      </c>
      <c r="CT186" s="0" t="n">
        <v>8.3318</v>
      </c>
      <c r="CU186" s="0" t="n">
        <v>15.8723</v>
      </c>
      <c r="CV186" s="0" t="n">
        <v>9.0671</v>
      </c>
      <c r="CW186" s="0" t="n">
        <v>1.7475</v>
      </c>
      <c r="CX186" s="0" t="n">
        <v>8.8739</v>
      </c>
      <c r="CY186" s="0" t="n">
        <v>6.3013</v>
      </c>
      <c r="CZ186" s="0" t="n">
        <v>2.7168</v>
      </c>
      <c r="DA186" s="0" t="n">
        <v>3.6237</v>
      </c>
      <c r="DB186" s="0" t="n">
        <v>3.5973</v>
      </c>
      <c r="DC186" s="0" t="n">
        <v>2.7384</v>
      </c>
      <c r="DD186" s="0" t="n">
        <v>2.0214</v>
      </c>
      <c r="DE186" s="0" t="n">
        <v>4.7026</v>
      </c>
      <c r="DF186" s="0" t="n">
        <v>1.526</v>
      </c>
      <c r="DG186" s="0" t="n">
        <v>5.6599</v>
      </c>
      <c r="DH186" s="0" t="n">
        <v>3.0183</v>
      </c>
      <c r="DI186" s="0" t="n">
        <v>6.9019</v>
      </c>
      <c r="DJ186" s="0" t="n">
        <v>1.9006</v>
      </c>
      <c r="DK186" s="0" t="n">
        <v>5.127</v>
      </c>
      <c r="DL186" s="0" t="n">
        <v>5.5616</v>
      </c>
      <c r="DM186" s="0" t="n">
        <v>0.5923</v>
      </c>
      <c r="DN186" s="0" t="n">
        <v>7.0569</v>
      </c>
      <c r="DO186" s="0" t="n">
        <v>6.1532</v>
      </c>
      <c r="DP186" s="0" t="n">
        <v>2.9169</v>
      </c>
      <c r="DQ186" s="0" t="n">
        <v>2.8409</v>
      </c>
      <c r="DR186" s="0" t="n">
        <v>7.5565</v>
      </c>
      <c r="DS186" s="0" t="n">
        <v>2.9409</v>
      </c>
      <c r="DT186" s="0" t="n">
        <v>8.7105</v>
      </c>
      <c r="DU186" s="0" t="n">
        <v>10.3315</v>
      </c>
      <c r="DV186" s="0" t="n">
        <v>4.4003</v>
      </c>
      <c r="DW186" s="0" t="n">
        <v>12.6647</v>
      </c>
      <c r="DX186" s="0" t="n">
        <v>11.0525</v>
      </c>
      <c r="DY186" s="0" t="n">
        <v>0.7033</v>
      </c>
      <c r="DZ186" s="0" t="n">
        <v>8.6807</v>
      </c>
      <c r="EA186" s="0" t="n">
        <v>8.2749</v>
      </c>
      <c r="EB186" s="0" t="n">
        <v>1.9949</v>
      </c>
      <c r="EC186" s="0" t="n">
        <v>9.0595</v>
      </c>
      <c r="ED186" s="0" t="n">
        <v>6.8863</v>
      </c>
      <c r="EE186" s="0" t="n">
        <v>5.9177</v>
      </c>
      <c r="EF186" s="0" t="n">
        <v>2.5707</v>
      </c>
      <c r="EG186" s="0" t="n">
        <v>2.1792</v>
      </c>
      <c r="EH186" s="0" t="n">
        <v>3.2643</v>
      </c>
      <c r="EI186" s="0" t="n">
        <v>0.4887</v>
      </c>
      <c r="EJ186" s="0" t="n">
        <v>1.3001</v>
      </c>
      <c r="EK186" s="0" t="n">
        <v>1.0147</v>
      </c>
      <c r="EL186" s="0" t="n">
        <v>0.5196</v>
      </c>
      <c r="EM186" s="0" t="n">
        <v>1.4281</v>
      </c>
      <c r="EN186" s="0" t="n">
        <v>0.7925</v>
      </c>
      <c r="EO186" s="0" t="n">
        <v>0.8893</v>
      </c>
      <c r="EP186" s="0" t="n">
        <v>0.6421</v>
      </c>
      <c r="EQ186" s="0" t="n">
        <v>0.6434</v>
      </c>
      <c r="ER186" s="0" t="n">
        <v>0.5315</v>
      </c>
      <c r="ES186" s="0" t="n">
        <v>0.2356</v>
      </c>
      <c r="ET186" s="0" t="n">
        <v>0.1903</v>
      </c>
      <c r="EU186" s="0" t="n">
        <v>0.2636</v>
      </c>
      <c r="EV186" s="0" t="n">
        <v>0.4405</v>
      </c>
      <c r="EW186" s="0" t="n">
        <v>0.1251</v>
      </c>
      <c r="EX186" s="0" t="n">
        <v>0.062</v>
      </c>
      <c r="EY186" s="0" t="n">
        <v>0</v>
      </c>
      <c r="EZ186" s="0" t="n">
        <v>0.0736</v>
      </c>
      <c r="FA186" s="0" t="n">
        <v>0</v>
      </c>
      <c r="FB186" s="0" t="n">
        <v>0</v>
      </c>
      <c r="FC186" s="0" t="n">
        <v>0</v>
      </c>
      <c r="FD186" s="0" t="n">
        <v>0.3587</v>
      </c>
      <c r="FE186" s="0" t="n">
        <v>0</v>
      </c>
      <c r="FF186" s="0" t="n">
        <v>0.0281</v>
      </c>
      <c r="FG186" s="0" t="n">
        <v>0.0818</v>
      </c>
      <c r="FH186" s="0" t="n">
        <v>0</v>
      </c>
      <c r="FI186" s="0" t="n">
        <v>0</v>
      </c>
      <c r="FJ186" s="0" t="n">
        <v>0</v>
      </c>
      <c r="FK186" s="0" t="n">
        <v>0</v>
      </c>
      <c r="FL186" s="0" t="n">
        <v>0</v>
      </c>
      <c r="FM186" s="0" t="n">
        <v>0.0167</v>
      </c>
      <c r="FN186" s="0" t="n">
        <v>0</v>
      </c>
      <c r="FO186" s="0" t="n">
        <v>0</v>
      </c>
      <c r="FP186" s="0" t="n">
        <v>0.1758</v>
      </c>
    </row>
    <row r="187" customFormat="false" ht="13.8" hidden="false" customHeight="false" outlineLevel="0" collapsed="false">
      <c r="A187" s="2" t="s">
        <v>531</v>
      </c>
      <c r="B187" s="0" t="s">
        <v>176</v>
      </c>
      <c r="C187" s="0" t="n">
        <v>393</v>
      </c>
      <c r="D187" s="0" t="s">
        <v>532</v>
      </c>
      <c r="F187" s="0" t="e">
        <f aca="false">VLOOKUP(A187,[1]ROOT!$A$1:$C$1048576,3,0)</f>
        <v>#N/A</v>
      </c>
      <c r="G187" s="0" t="n">
        <v>3118.0156</v>
      </c>
      <c r="H187" s="0" t="n">
        <v>145.5844</v>
      </c>
      <c r="I187" s="0" t="n">
        <v>457.3668</v>
      </c>
      <c r="J187" s="0" t="n">
        <v>0.42735</v>
      </c>
      <c r="K187" s="0" t="n">
        <v>0</v>
      </c>
      <c r="L187" s="0" t="n">
        <v>338.2886</v>
      </c>
      <c r="M187" s="0" t="n">
        <v>645.405</v>
      </c>
      <c r="N187" s="0" t="n">
        <v>600.7284</v>
      </c>
      <c r="O187" s="0" t="n">
        <v>0.5765</v>
      </c>
      <c r="P187" s="0" t="n">
        <v>469.5833</v>
      </c>
      <c r="Q187" s="0" t="n">
        <v>129.0743</v>
      </c>
      <c r="R187" s="0" t="n">
        <v>144.3114</v>
      </c>
      <c r="S187" s="0" t="n">
        <v>65.2189</v>
      </c>
      <c r="T187" s="0" t="n">
        <v>9.1774</v>
      </c>
      <c r="U187" s="0" t="n">
        <v>49.3564</v>
      </c>
      <c r="V187" s="0" t="n">
        <v>35.1264</v>
      </c>
      <c r="W187" s="0" t="n">
        <v>22.8938</v>
      </c>
      <c r="X187" s="0" t="n">
        <v>31.3666</v>
      </c>
      <c r="Y187" s="0" t="n">
        <v>19.3586</v>
      </c>
      <c r="Z187" s="0" t="n">
        <v>22.8945</v>
      </c>
      <c r="AA187" s="0" t="n">
        <v>15.9728</v>
      </c>
      <c r="AB187" s="0" t="n">
        <v>33.882</v>
      </c>
      <c r="AC187" s="0" t="n">
        <v>13.2889</v>
      </c>
      <c r="AD187" s="0" t="n">
        <v>34.0549</v>
      </c>
      <c r="AE187" s="0" t="n">
        <v>19.439</v>
      </c>
      <c r="AF187" s="0" t="n">
        <v>27.3307</v>
      </c>
      <c r="AG187" s="0" t="n">
        <v>14.9383</v>
      </c>
      <c r="AH187" s="0" t="n">
        <v>23.7081</v>
      </c>
      <c r="AI187" s="0" t="n">
        <v>31.5677</v>
      </c>
      <c r="AJ187" s="0" t="n">
        <v>9.6588</v>
      </c>
      <c r="AK187" s="0" t="n">
        <v>27.659</v>
      </c>
      <c r="AL187" s="0" t="n">
        <v>29.963</v>
      </c>
      <c r="AM187" s="0" t="n">
        <v>16.4831</v>
      </c>
      <c r="AN187" s="0" t="n">
        <v>11.4727</v>
      </c>
      <c r="AO187" s="0" t="n">
        <v>25.577</v>
      </c>
      <c r="AP187" s="0" t="n">
        <v>21.8047</v>
      </c>
      <c r="AQ187" s="0" t="n">
        <v>20.0106</v>
      </c>
      <c r="AR187" s="0" t="n">
        <v>14.7699</v>
      </c>
      <c r="AS187" s="0" t="n">
        <v>23.3029</v>
      </c>
      <c r="AT187" s="0" t="n">
        <v>28.1753</v>
      </c>
      <c r="AU187" s="0" t="n">
        <v>25.6396</v>
      </c>
      <c r="AV187" s="0" t="n">
        <v>1.1544</v>
      </c>
      <c r="AW187" s="0" t="n">
        <v>14.972</v>
      </c>
      <c r="AX187" s="0" t="n">
        <v>16.9031</v>
      </c>
      <c r="AY187" s="0" t="n">
        <v>9.5855</v>
      </c>
      <c r="AZ187" s="0" t="n">
        <v>3.078</v>
      </c>
      <c r="BA187" s="0" t="n">
        <v>2.9623</v>
      </c>
      <c r="BB187" s="0" t="n">
        <v>3.9433</v>
      </c>
      <c r="BC187" s="0" t="n">
        <v>2.8595</v>
      </c>
      <c r="BD187" s="0" t="n">
        <v>2.0443</v>
      </c>
      <c r="BE187" s="0" t="n">
        <v>0.9382</v>
      </c>
      <c r="BF187" s="0" t="n">
        <v>0.3963</v>
      </c>
      <c r="BG187" s="0" t="n">
        <v>1.8612</v>
      </c>
      <c r="BH187" s="0" t="n">
        <v>0.5501</v>
      </c>
      <c r="BI187" s="0" t="n">
        <v>0.3516</v>
      </c>
      <c r="BJ187" s="0" t="n">
        <v>0.4549</v>
      </c>
      <c r="BK187" s="0" t="n">
        <v>0.4575</v>
      </c>
      <c r="BL187" s="0" t="n">
        <v>0.6987</v>
      </c>
      <c r="BM187" s="0" t="n">
        <v>0.0815</v>
      </c>
      <c r="BN187" s="0" t="n">
        <v>1.2082</v>
      </c>
      <c r="BO187" s="0" t="n">
        <v>0.0407</v>
      </c>
      <c r="BP187" s="0" t="n">
        <v>0.1348</v>
      </c>
      <c r="BQ187" s="0" t="n">
        <v>0.1793</v>
      </c>
      <c r="BR187" s="0" t="n">
        <v>0.1073</v>
      </c>
      <c r="BS187" s="0" t="n">
        <v>0.2193</v>
      </c>
      <c r="BT187" s="0" t="n">
        <v>0.1015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0.0344</v>
      </c>
      <c r="CA187" s="0" t="n">
        <v>0.0069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  <c r="CL187" s="0" t="n">
        <v>0</v>
      </c>
      <c r="CM187" s="0" t="n">
        <v>0</v>
      </c>
      <c r="CN187" s="0" t="n">
        <v>0</v>
      </c>
      <c r="CO187" s="0" t="n">
        <v>7.3169</v>
      </c>
      <c r="CP187" s="0" t="n">
        <v>27.7782</v>
      </c>
      <c r="CQ187" s="0" t="n">
        <v>36.6895</v>
      </c>
      <c r="CR187" s="0" t="n">
        <v>0.0398</v>
      </c>
      <c r="CS187" s="0" t="n">
        <v>38.9419</v>
      </c>
      <c r="CT187" s="0" t="n">
        <v>13.0987</v>
      </c>
      <c r="CU187" s="0" t="n">
        <v>16.8182</v>
      </c>
      <c r="CV187" s="0" t="n">
        <v>9.0472</v>
      </c>
      <c r="CW187" s="0" t="n">
        <v>1.327</v>
      </c>
      <c r="CX187" s="0" t="n">
        <v>8.012</v>
      </c>
      <c r="CY187" s="0" t="n">
        <v>6.4206</v>
      </c>
      <c r="CZ187" s="0" t="n">
        <v>4.5528</v>
      </c>
      <c r="DA187" s="0" t="n">
        <v>6.6251</v>
      </c>
      <c r="DB187" s="0" t="n">
        <v>4.3978</v>
      </c>
      <c r="DC187" s="0" t="n">
        <v>5.6105</v>
      </c>
      <c r="DD187" s="0" t="n">
        <v>4.0965</v>
      </c>
      <c r="DE187" s="0" t="n">
        <v>9.2873</v>
      </c>
      <c r="DF187" s="0" t="n">
        <v>3.8427</v>
      </c>
      <c r="DG187" s="0" t="n">
        <v>10.3612</v>
      </c>
      <c r="DH187" s="0" t="n">
        <v>6.2464</v>
      </c>
      <c r="DI187" s="0" t="n">
        <v>9.2781</v>
      </c>
      <c r="DJ187" s="0" t="n">
        <v>5.3129</v>
      </c>
      <c r="DK187" s="0" t="n">
        <v>8.77</v>
      </c>
      <c r="DL187" s="0" t="n">
        <v>12.2563</v>
      </c>
      <c r="DM187" s="0" t="n">
        <v>3.8504</v>
      </c>
      <c r="DN187" s="0" t="n">
        <v>11.4849</v>
      </c>
      <c r="DO187" s="0" t="n">
        <v>13.064</v>
      </c>
      <c r="DP187" s="0" t="n">
        <v>7.4855</v>
      </c>
      <c r="DQ187" s="0" t="n">
        <v>5.2736</v>
      </c>
      <c r="DR187" s="0" t="n">
        <v>12.2156</v>
      </c>
      <c r="DS187" s="0" t="n">
        <v>10.8327</v>
      </c>
      <c r="DT187" s="0" t="n">
        <v>10.2797</v>
      </c>
      <c r="DU187" s="0" t="n">
        <v>7.7481</v>
      </c>
      <c r="DV187" s="0" t="n">
        <v>12.5259</v>
      </c>
      <c r="DW187" s="0" t="n">
        <v>15.6994</v>
      </c>
      <c r="DX187" s="0" t="n">
        <v>14.8096</v>
      </c>
      <c r="DY187" s="0" t="n">
        <v>0.684</v>
      </c>
      <c r="DZ187" s="0" t="n">
        <v>8.9645</v>
      </c>
      <c r="EA187" s="0" t="n">
        <v>10.4668</v>
      </c>
      <c r="EB187" s="0" t="n">
        <v>6.1245</v>
      </c>
      <c r="EC187" s="0" t="n">
        <v>2.0148</v>
      </c>
      <c r="ED187" s="0" t="n">
        <v>1.9634</v>
      </c>
      <c r="EE187" s="0" t="n">
        <v>2.6912</v>
      </c>
      <c r="EF187" s="0" t="n">
        <v>2.0033</v>
      </c>
      <c r="EG187" s="0" t="n">
        <v>1.4647</v>
      </c>
      <c r="EH187" s="0" t="n">
        <v>0.6871</v>
      </c>
      <c r="EI187" s="0" t="n">
        <v>0.2946</v>
      </c>
      <c r="EJ187" s="0" t="n">
        <v>1.4143</v>
      </c>
      <c r="EK187" s="0" t="n">
        <v>0.4292</v>
      </c>
      <c r="EL187" s="0" t="n">
        <v>0.2795</v>
      </c>
      <c r="EM187" s="0" t="n">
        <v>0.3666</v>
      </c>
      <c r="EN187" s="0" t="n">
        <v>0.378</v>
      </c>
      <c r="EO187" s="0" t="n">
        <v>0.5915</v>
      </c>
      <c r="EP187" s="0" t="n">
        <v>0.0697</v>
      </c>
      <c r="EQ187" s="0" t="n">
        <v>1.0561</v>
      </c>
      <c r="ER187" s="0" t="n">
        <v>0.0362</v>
      </c>
      <c r="ES187" s="0" t="n">
        <v>0.1215</v>
      </c>
      <c r="ET187" s="0" t="n">
        <v>0.1648</v>
      </c>
      <c r="EU187" s="0" t="n">
        <v>0.1</v>
      </c>
      <c r="EV187" s="0" t="n">
        <v>0.2084</v>
      </c>
      <c r="EW187" s="0" t="n">
        <v>0.0983</v>
      </c>
      <c r="EX187" s="0" t="n">
        <v>0</v>
      </c>
      <c r="EY187" s="0" t="n">
        <v>0</v>
      </c>
      <c r="EZ187" s="0" t="n">
        <v>0</v>
      </c>
      <c r="FA187" s="0" t="n">
        <v>0</v>
      </c>
      <c r="FB187" s="0" t="n">
        <v>0</v>
      </c>
      <c r="FC187" s="0" t="n">
        <v>0.0363</v>
      </c>
      <c r="FD187" s="0" t="n">
        <v>0.0074</v>
      </c>
      <c r="FE187" s="0" t="n">
        <v>0</v>
      </c>
      <c r="FF187" s="0" t="n">
        <v>0</v>
      </c>
      <c r="FG187" s="0" t="n">
        <v>0</v>
      </c>
      <c r="FH187" s="0" t="n">
        <v>0</v>
      </c>
      <c r="FI187" s="0" t="n">
        <v>0</v>
      </c>
      <c r="FJ187" s="0" t="n">
        <v>0</v>
      </c>
      <c r="FK187" s="0" t="n">
        <v>0</v>
      </c>
      <c r="FL187" s="0" t="n">
        <v>0</v>
      </c>
      <c r="FM187" s="0" t="n">
        <v>0</v>
      </c>
      <c r="FN187" s="0" t="n">
        <v>0</v>
      </c>
      <c r="FO187" s="0" t="n">
        <v>0</v>
      </c>
      <c r="FP187" s="0" t="n">
        <v>0</v>
      </c>
    </row>
    <row r="188" customFormat="false" ht="13.8" hidden="false" customHeight="false" outlineLevel="0" collapsed="false">
      <c r="A188" s="2" t="s">
        <v>533</v>
      </c>
      <c r="B188" s="0" t="s">
        <v>173</v>
      </c>
      <c r="C188" s="0" t="n">
        <v>135</v>
      </c>
      <c r="D188" s="0" t="s">
        <v>534</v>
      </c>
      <c r="E188" s="0" t="e">
        <f aca="false">VLOOKUP(A188,[1]RHIZOMES!$A$1:$B$1048576,2,0)</f>
        <v>#N/A</v>
      </c>
      <c r="F188" s="0" t="e">
        <f aca="false">VLOOKUP(A188,[1]ROOT!$A$1:$C$1048576,3,0)</f>
        <v>#N/A</v>
      </c>
      <c r="G188" s="0" t="n">
        <v>2008.2998</v>
      </c>
      <c r="H188" s="0" t="n">
        <v>161.2243</v>
      </c>
      <c r="I188" s="0" t="n">
        <v>506.501</v>
      </c>
      <c r="J188" s="0" t="n">
        <v>0.80905</v>
      </c>
      <c r="K188" s="0" t="n">
        <v>0</v>
      </c>
      <c r="L188" s="0" t="n">
        <v>240.2403</v>
      </c>
      <c r="M188" s="0" t="n">
        <v>238.937</v>
      </c>
      <c r="N188" s="0" t="n">
        <v>168.4927</v>
      </c>
      <c r="O188" s="0" t="n">
        <v>0.6945</v>
      </c>
      <c r="P188" s="0" t="n">
        <v>185.7753</v>
      </c>
      <c r="Q188" s="0" t="n">
        <v>69.7559</v>
      </c>
      <c r="R188" s="0" t="n">
        <v>97.9716</v>
      </c>
      <c r="S188" s="0" t="n">
        <v>50.0329</v>
      </c>
      <c r="T188" s="0" t="n">
        <v>10.3541</v>
      </c>
      <c r="U188" s="0" t="n">
        <v>49.7732</v>
      </c>
      <c r="V188" s="0" t="n">
        <v>41.2749</v>
      </c>
      <c r="W188" s="0" t="n">
        <v>24.225</v>
      </c>
      <c r="X188" s="0" t="n">
        <v>39.3691</v>
      </c>
      <c r="Y188" s="0" t="n">
        <v>23.5803</v>
      </c>
      <c r="Z188" s="0" t="n">
        <v>19.2636</v>
      </c>
      <c r="AA188" s="0" t="n">
        <v>14.1278</v>
      </c>
      <c r="AB188" s="0" t="n">
        <v>24.2523</v>
      </c>
      <c r="AC188" s="0" t="n">
        <v>10.66</v>
      </c>
      <c r="AD188" s="0" t="n">
        <v>25.8403</v>
      </c>
      <c r="AE188" s="0" t="n">
        <v>15.7848</v>
      </c>
      <c r="AF188" s="0" t="n">
        <v>31.0811</v>
      </c>
      <c r="AG188" s="0" t="n">
        <v>8.6511</v>
      </c>
      <c r="AH188" s="0" t="n">
        <v>24.4167</v>
      </c>
      <c r="AI188" s="0" t="n">
        <v>38.6278</v>
      </c>
      <c r="AJ188" s="0" t="n">
        <v>7.4164</v>
      </c>
      <c r="AK188" s="0" t="n">
        <v>53.1319</v>
      </c>
      <c r="AL188" s="0" t="n">
        <v>47.2596</v>
      </c>
      <c r="AM188" s="0" t="n">
        <v>25.3514</v>
      </c>
      <c r="AN188" s="0" t="n">
        <v>21.5926</v>
      </c>
      <c r="AO188" s="0" t="n">
        <v>55.7518</v>
      </c>
      <c r="AP188" s="0" t="n">
        <v>22.6693</v>
      </c>
      <c r="AQ188" s="0" t="n">
        <v>39.3548</v>
      </c>
      <c r="AR188" s="0" t="n">
        <v>35.2723</v>
      </c>
      <c r="AS188" s="0" t="n">
        <v>21.3211</v>
      </c>
      <c r="AT188" s="0" t="n">
        <v>48.9776</v>
      </c>
      <c r="AU188" s="0" t="n">
        <v>38.9261</v>
      </c>
      <c r="AV188" s="0" t="n">
        <v>6.2241</v>
      </c>
      <c r="AW188" s="0" t="n">
        <v>19.5139</v>
      </c>
      <c r="AX188" s="0" t="n">
        <v>23.902</v>
      </c>
      <c r="AY188" s="0" t="n">
        <v>8.4591</v>
      </c>
      <c r="AZ188" s="0" t="n">
        <v>13.5022</v>
      </c>
      <c r="BA188" s="0" t="n">
        <v>10.7734</v>
      </c>
      <c r="BB188" s="0" t="n">
        <v>11.3627</v>
      </c>
      <c r="BC188" s="0" t="n">
        <v>5.7273</v>
      </c>
      <c r="BD188" s="0" t="n">
        <v>5.0526</v>
      </c>
      <c r="BE188" s="0" t="n">
        <v>6.5681</v>
      </c>
      <c r="BF188" s="0" t="n">
        <v>0.7881</v>
      </c>
      <c r="BG188" s="0" t="n">
        <v>4.839</v>
      </c>
      <c r="BH188" s="0" t="n">
        <v>2.7034</v>
      </c>
      <c r="BI188" s="0" t="n">
        <v>0.4794</v>
      </c>
      <c r="BJ188" s="0" t="n">
        <v>2.5647</v>
      </c>
      <c r="BK188" s="0" t="n">
        <v>2.6762</v>
      </c>
      <c r="BL188" s="0" t="n">
        <v>0.5467</v>
      </c>
      <c r="BM188" s="0" t="n">
        <v>0.5603</v>
      </c>
      <c r="BN188" s="0" t="n">
        <v>1.7094</v>
      </c>
      <c r="BO188" s="0" t="n">
        <v>0.1242</v>
      </c>
      <c r="BP188" s="0" t="n">
        <v>1.2719</v>
      </c>
      <c r="BQ188" s="0" t="n">
        <v>0.4337</v>
      </c>
      <c r="BR188" s="0" t="n">
        <v>0.5077</v>
      </c>
      <c r="BS188" s="0" t="n">
        <v>0.4304</v>
      </c>
      <c r="BT188" s="0" t="n">
        <v>0.2738</v>
      </c>
      <c r="BU188" s="0" t="n">
        <v>0.0518</v>
      </c>
      <c r="BV188" s="0" t="n">
        <v>0.4022</v>
      </c>
      <c r="BW188" s="0" t="n">
        <v>0.5583</v>
      </c>
      <c r="BX188" s="0" t="n">
        <v>0.139</v>
      </c>
      <c r="BY188" s="0" t="n">
        <v>0.2833</v>
      </c>
      <c r="BZ188" s="0" t="n">
        <v>0.946</v>
      </c>
      <c r="CA188" s="0" t="n">
        <v>0.5403</v>
      </c>
      <c r="CB188" s="0" t="n">
        <v>0.0344</v>
      </c>
      <c r="CC188" s="0" t="n">
        <v>0.0394</v>
      </c>
      <c r="CD188" s="0" t="n">
        <v>0.1058</v>
      </c>
      <c r="CE188" s="0" t="n">
        <v>0.0069</v>
      </c>
      <c r="CF188" s="0" t="n">
        <v>0.6675</v>
      </c>
      <c r="CG188" s="0" t="n">
        <v>0.1196</v>
      </c>
      <c r="CH188" s="0" t="n">
        <v>0.4368</v>
      </c>
      <c r="CI188" s="0" t="n">
        <v>0.1904</v>
      </c>
      <c r="CJ188" s="0" t="n">
        <v>0.0133</v>
      </c>
      <c r="CK188" s="0" t="n">
        <v>0.0064</v>
      </c>
      <c r="CL188" s="0" t="n">
        <v>0.4108</v>
      </c>
      <c r="CM188" s="0" t="n">
        <v>1.2143</v>
      </c>
      <c r="CN188" s="0" t="n">
        <v>0</v>
      </c>
      <c r="CO188" s="0" t="n">
        <v>5.1349</v>
      </c>
      <c r="CP188" s="0" t="n">
        <v>10.1754</v>
      </c>
      <c r="CQ188" s="0" t="n">
        <v>10.3057</v>
      </c>
      <c r="CR188" s="0" t="n">
        <v>0.048</v>
      </c>
      <c r="CS188" s="0" t="n">
        <v>15.5464</v>
      </c>
      <c r="CT188" s="0" t="n">
        <v>7.0915</v>
      </c>
      <c r="CU188" s="0" t="n">
        <v>11.4231</v>
      </c>
      <c r="CV188" s="0" t="n">
        <v>6.9435</v>
      </c>
      <c r="CW188" s="0" t="n">
        <v>1.497</v>
      </c>
      <c r="CX188" s="0" t="n">
        <v>8.0902</v>
      </c>
      <c r="CY188" s="0" t="n">
        <v>7.56</v>
      </c>
      <c r="CZ188" s="0" t="n">
        <v>4.8042</v>
      </c>
      <c r="DA188" s="0" t="n">
        <v>8.2494</v>
      </c>
      <c r="DB188" s="0" t="n">
        <v>5.3626</v>
      </c>
      <c r="DC188" s="0" t="n">
        <v>4.7332</v>
      </c>
      <c r="DD188" s="0" t="n">
        <v>3.6079</v>
      </c>
      <c r="DE188" s="0" t="n">
        <v>6.645</v>
      </c>
      <c r="DF188" s="0" t="n">
        <v>3.0826</v>
      </c>
      <c r="DG188" s="0" t="n">
        <v>7.8493</v>
      </c>
      <c r="DH188" s="0" t="n">
        <v>5.0799</v>
      </c>
      <c r="DI188" s="0" t="n">
        <v>10.6142</v>
      </c>
      <c r="DJ188" s="0" t="n">
        <v>3.0646</v>
      </c>
      <c r="DK188" s="0" t="n">
        <v>9.0133</v>
      </c>
      <c r="DL188" s="0" t="n">
        <v>15.0819</v>
      </c>
      <c r="DM188" s="0" t="n">
        <v>2.9506</v>
      </c>
      <c r="DN188" s="0" t="n">
        <v>22.108</v>
      </c>
      <c r="DO188" s="0" t="n">
        <v>20.6122</v>
      </c>
      <c r="DP188" s="0" t="n">
        <v>11.5</v>
      </c>
      <c r="DQ188" s="0" t="n">
        <v>9.9397</v>
      </c>
      <c r="DR188" s="0" t="n">
        <v>26.6856</v>
      </c>
      <c r="DS188" s="0" t="n">
        <v>11.2544</v>
      </c>
      <c r="DT188" s="0" t="n">
        <v>20.0894</v>
      </c>
      <c r="DU188" s="0" t="n">
        <v>18.6326</v>
      </c>
      <c r="DV188" s="0" t="n">
        <v>11.4476</v>
      </c>
      <c r="DW188" s="0" t="n">
        <v>27.2052</v>
      </c>
      <c r="DX188" s="0" t="n">
        <v>22.4493</v>
      </c>
      <c r="DY188" s="0" t="n">
        <v>3.6879</v>
      </c>
      <c r="DZ188" s="0" t="n">
        <v>11.6858</v>
      </c>
      <c r="EA188" s="0" t="n">
        <v>14.8295</v>
      </c>
      <c r="EB188" s="0" t="n">
        <v>5.411</v>
      </c>
      <c r="EC188" s="0" t="n">
        <v>8.747</v>
      </c>
      <c r="ED188" s="0" t="n">
        <v>7.1736</v>
      </c>
      <c r="EE188" s="0" t="n">
        <v>7.7854</v>
      </c>
      <c r="EF188" s="0" t="n">
        <v>4.0237</v>
      </c>
      <c r="EG188" s="0" t="n">
        <v>3.6136</v>
      </c>
      <c r="EH188" s="0" t="n">
        <v>4.8093</v>
      </c>
      <c r="EI188" s="0" t="n">
        <v>0.586</v>
      </c>
      <c r="EJ188" s="0" t="n">
        <v>3.6852</v>
      </c>
      <c r="EK188" s="0" t="n">
        <v>2.1175</v>
      </c>
      <c r="EL188" s="0" t="n">
        <v>0.3824</v>
      </c>
      <c r="EM188" s="0" t="n">
        <v>2.067</v>
      </c>
      <c r="EN188" s="0" t="n">
        <v>2.2088</v>
      </c>
      <c r="EO188" s="0" t="n">
        <v>0.4622</v>
      </c>
      <c r="EP188" s="0" t="n">
        <v>0.4779</v>
      </c>
      <c r="EQ188" s="0" t="n">
        <v>1.4919</v>
      </c>
      <c r="ER188" s="0" t="n">
        <v>0.1103</v>
      </c>
      <c r="ES188" s="0" t="n">
        <v>1.1466</v>
      </c>
      <c r="ET188" s="0" t="n">
        <v>0.3994</v>
      </c>
      <c r="EU188" s="0" t="n">
        <v>0.4726</v>
      </c>
      <c r="EV188" s="0" t="n">
        <v>0.4085</v>
      </c>
      <c r="EW188" s="0" t="n">
        <v>0.2634</v>
      </c>
      <c r="EX188" s="0" t="n">
        <v>0.0512</v>
      </c>
      <c r="EY188" s="0" t="n">
        <v>0.3986</v>
      </c>
      <c r="EZ188" s="0" t="n">
        <v>0.5656</v>
      </c>
      <c r="FA188" s="0" t="n">
        <v>0.144</v>
      </c>
      <c r="FB188" s="0" t="n">
        <v>0.2953</v>
      </c>
      <c r="FC188" s="0" t="n">
        <v>0.9981</v>
      </c>
      <c r="FD188" s="0" t="n">
        <v>0.5834</v>
      </c>
      <c r="FE188" s="0" t="n">
        <v>0.0377</v>
      </c>
      <c r="FF188" s="0" t="n">
        <v>0.1176</v>
      </c>
      <c r="FG188" s="0" t="n">
        <v>0.1182</v>
      </c>
      <c r="FH188" s="0" t="n">
        <v>0.0078</v>
      </c>
      <c r="FI188" s="0" t="n">
        <v>0.77</v>
      </c>
      <c r="FJ188" s="0" t="n">
        <v>0.1405</v>
      </c>
      <c r="FK188" s="0" t="n">
        <v>0.5177</v>
      </c>
      <c r="FL188" s="0" t="n">
        <v>0.2281</v>
      </c>
      <c r="FM188" s="0" t="n">
        <v>0.0162</v>
      </c>
      <c r="FN188" s="0" t="n">
        <v>0.0079</v>
      </c>
      <c r="FO188" s="0" t="n">
        <v>0.5104</v>
      </c>
      <c r="FP188" s="0" t="n">
        <v>1.7256</v>
      </c>
    </row>
    <row r="189" customFormat="false" ht="13.8" hidden="false" customHeight="false" outlineLevel="0" collapsed="false">
      <c r="A189" s="2" t="s">
        <v>535</v>
      </c>
      <c r="B189" s="0" t="s">
        <v>176</v>
      </c>
      <c r="C189" s="0" t="n">
        <v>298</v>
      </c>
      <c r="D189" s="0" t="s">
        <v>536</v>
      </c>
      <c r="F189" s="0" t="e">
        <f aca="false">VLOOKUP(A189,[1]ROOT!$A$1:$C$1048576,3,0)</f>
        <v>#N/A</v>
      </c>
      <c r="G189" s="0" t="n">
        <v>2024.7703</v>
      </c>
      <c r="H189" s="0" t="n">
        <v>105.5138</v>
      </c>
      <c r="I189" s="0" t="n">
        <v>331.4815</v>
      </c>
      <c r="J189" s="0" t="n">
        <v>0.52</v>
      </c>
      <c r="K189" s="0" t="n">
        <v>0</v>
      </c>
      <c r="L189" s="0" t="n">
        <v>288.2975</v>
      </c>
      <c r="M189" s="0" t="n">
        <v>290.284</v>
      </c>
      <c r="N189" s="0" t="n">
        <v>194.0455</v>
      </c>
      <c r="O189" s="0" t="n">
        <v>0.5458</v>
      </c>
      <c r="P189" s="0" t="n">
        <v>214.9615</v>
      </c>
      <c r="Q189" s="0" t="n">
        <v>97.6009</v>
      </c>
      <c r="R189" s="0" t="n">
        <v>159.929</v>
      </c>
      <c r="S189" s="0" t="n">
        <v>95.7476</v>
      </c>
      <c r="T189" s="0" t="n">
        <v>16.6781</v>
      </c>
      <c r="U189" s="0" t="n">
        <v>85.3549</v>
      </c>
      <c r="V189" s="0" t="n">
        <v>63.1078</v>
      </c>
      <c r="W189" s="0" t="n">
        <v>32.2982</v>
      </c>
      <c r="X189" s="0" t="n">
        <v>34.8853</v>
      </c>
      <c r="Y189" s="0" t="n">
        <v>25.4345</v>
      </c>
      <c r="Z189" s="0" t="n">
        <v>26.4125</v>
      </c>
      <c r="AA189" s="0" t="n">
        <v>20.3199</v>
      </c>
      <c r="AB189" s="0" t="n">
        <v>30.7975</v>
      </c>
      <c r="AC189" s="0" t="n">
        <v>10.5168</v>
      </c>
      <c r="AD189" s="0" t="n">
        <v>22.6763</v>
      </c>
      <c r="AE189" s="0" t="n">
        <v>11.2798</v>
      </c>
      <c r="AF189" s="0" t="n">
        <v>21.6499</v>
      </c>
      <c r="AG189" s="0" t="n">
        <v>10.7059</v>
      </c>
      <c r="AH189" s="0" t="n">
        <v>21.6038</v>
      </c>
      <c r="AI189" s="0" t="n">
        <v>30.3398</v>
      </c>
      <c r="AJ189" s="0" t="n">
        <v>8.0182</v>
      </c>
      <c r="AK189" s="0" t="n">
        <v>35.1694</v>
      </c>
      <c r="AL189" s="0" t="n">
        <v>31.7866</v>
      </c>
      <c r="AM189" s="0" t="n">
        <v>13.7905</v>
      </c>
      <c r="AN189" s="0" t="n">
        <v>9.9376</v>
      </c>
      <c r="AO189" s="0" t="n">
        <v>25.7159</v>
      </c>
      <c r="AP189" s="0" t="n">
        <v>13.4435</v>
      </c>
      <c r="AQ189" s="0" t="n">
        <v>20.7672</v>
      </c>
      <c r="AR189" s="0" t="n">
        <v>13.7292</v>
      </c>
      <c r="AS189" s="0" t="n">
        <v>10.037</v>
      </c>
      <c r="AT189" s="0" t="n">
        <v>12.9113</v>
      </c>
      <c r="AU189" s="0" t="n">
        <v>7.7653</v>
      </c>
      <c r="AV189" s="0" t="n">
        <v>1.2088</v>
      </c>
      <c r="AW189" s="0" t="n">
        <v>5.4262</v>
      </c>
      <c r="AX189" s="0" t="n">
        <v>4.4059</v>
      </c>
      <c r="AY189" s="0" t="n">
        <v>1.0497</v>
      </c>
      <c r="AZ189" s="0" t="n">
        <v>0.7169</v>
      </c>
      <c r="BA189" s="0" t="n">
        <v>0.4911</v>
      </c>
      <c r="BB189" s="0" t="n">
        <v>0.7372</v>
      </c>
      <c r="BC189" s="0" t="n">
        <v>0.2693</v>
      </c>
      <c r="BD189" s="0" t="n">
        <v>0.0539</v>
      </c>
      <c r="BE189" s="0" t="n">
        <v>0.3387</v>
      </c>
      <c r="BF189" s="0" t="n">
        <v>0.2579</v>
      </c>
      <c r="BG189" s="0" t="n">
        <v>0.1856</v>
      </c>
      <c r="BH189" s="0" t="n">
        <v>0.0428</v>
      </c>
      <c r="BI189" s="0" t="n">
        <v>0.0069</v>
      </c>
      <c r="BJ189" s="0" t="n">
        <v>0.0613</v>
      </c>
      <c r="BK189" s="0" t="n">
        <v>0.0587</v>
      </c>
      <c r="BL189" s="0" t="n">
        <v>0.0386</v>
      </c>
      <c r="BM189" s="0" t="n">
        <v>0.0766</v>
      </c>
      <c r="BN189" s="0" t="n">
        <v>0.1031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0</v>
      </c>
      <c r="CN189" s="0" t="n">
        <v>0</v>
      </c>
      <c r="CO189" s="0" t="n">
        <v>6.1732</v>
      </c>
      <c r="CP189" s="0" t="n">
        <v>12.3221</v>
      </c>
      <c r="CQ189" s="0" t="n">
        <v>11.8498</v>
      </c>
      <c r="CR189" s="0" t="n">
        <v>0.0377</v>
      </c>
      <c r="CS189" s="0" t="n">
        <v>18.0203</v>
      </c>
      <c r="CT189" s="0" t="n">
        <v>9.9233</v>
      </c>
      <c r="CU189" s="0" t="n">
        <v>18.6661</v>
      </c>
      <c r="CV189" s="0" t="n">
        <v>13.2923</v>
      </c>
      <c r="CW189" s="0" t="n">
        <v>2.4114</v>
      </c>
      <c r="CX189" s="0" t="n">
        <v>13.853</v>
      </c>
      <c r="CY189" s="0" t="n">
        <v>11.5349</v>
      </c>
      <c r="CZ189" s="0" t="n">
        <v>6.412</v>
      </c>
      <c r="DA189" s="0" t="n">
        <v>7.3276</v>
      </c>
      <c r="DB189" s="0" t="n">
        <v>5.7844</v>
      </c>
      <c r="DC189" s="0" t="n">
        <v>6.4938</v>
      </c>
      <c r="DD189" s="0" t="n">
        <v>5.184</v>
      </c>
      <c r="DE189" s="0" t="n">
        <v>8.4478</v>
      </c>
      <c r="DF189" s="0" t="n">
        <v>3.0411</v>
      </c>
      <c r="DG189" s="0" t="n">
        <v>6.8871</v>
      </c>
      <c r="DH189" s="0" t="n">
        <v>3.6277</v>
      </c>
      <c r="DI189" s="0" t="n">
        <v>7.369</v>
      </c>
      <c r="DJ189" s="0" t="n">
        <v>3.8047</v>
      </c>
      <c r="DK189" s="0" t="n">
        <v>7.9741</v>
      </c>
      <c r="DL189" s="0" t="n">
        <v>11.8162</v>
      </c>
      <c r="DM189" s="0" t="n">
        <v>3.1926</v>
      </c>
      <c r="DN189" s="0" t="n">
        <v>14.6165</v>
      </c>
      <c r="DO189" s="0" t="n">
        <v>13.8661</v>
      </c>
      <c r="DP189" s="0" t="n">
        <v>6.2606</v>
      </c>
      <c r="DQ189" s="0" t="n">
        <v>4.5692</v>
      </c>
      <c r="DR189" s="0" t="n">
        <v>12.2982</v>
      </c>
      <c r="DS189" s="0" t="n">
        <v>6.6753</v>
      </c>
      <c r="DT189" s="0" t="n">
        <v>10.6231</v>
      </c>
      <c r="DU189" s="0" t="n">
        <v>7.2397</v>
      </c>
      <c r="DV189" s="0" t="n">
        <v>5.3916</v>
      </c>
      <c r="DW189" s="0" t="n">
        <v>7.1848</v>
      </c>
      <c r="DX189" s="0" t="n">
        <v>4.4798</v>
      </c>
      <c r="DY189" s="0" t="n">
        <v>0.7162</v>
      </c>
      <c r="DZ189" s="0" t="n">
        <v>3.249</v>
      </c>
      <c r="EA189" s="0" t="n">
        <v>2.7302</v>
      </c>
      <c r="EB189" s="0" t="n">
        <v>0.6717</v>
      </c>
      <c r="EC189" s="0" t="n">
        <v>0.4661</v>
      </c>
      <c r="ED189" s="0" t="n">
        <v>0.3263</v>
      </c>
      <c r="EE189" s="0" t="n">
        <v>0.5039</v>
      </c>
      <c r="EF189" s="0" t="n">
        <v>0.1891</v>
      </c>
      <c r="EG189" s="0" t="n">
        <v>0.0386</v>
      </c>
      <c r="EH189" s="0" t="n">
        <v>0.2489</v>
      </c>
      <c r="EI189" s="0" t="n">
        <v>0.1918</v>
      </c>
      <c r="EJ189" s="0" t="n">
        <v>0.141</v>
      </c>
      <c r="EK189" s="0" t="n">
        <v>0.0336</v>
      </c>
      <c r="EL189" s="0" t="n">
        <v>0.0054</v>
      </c>
      <c r="EM189" s="0" t="n">
        <v>0.0494</v>
      </c>
      <c r="EN189" s="0" t="n">
        <v>0.0482</v>
      </c>
      <c r="EO189" s="0" t="n">
        <v>0.0327</v>
      </c>
      <c r="EP189" s="0" t="n">
        <v>0.0653</v>
      </c>
      <c r="EQ189" s="0" t="n">
        <v>0.0895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0</v>
      </c>
      <c r="EY189" s="0" t="n">
        <v>0</v>
      </c>
      <c r="EZ189" s="0" t="n">
        <v>0</v>
      </c>
      <c r="FA189" s="0" t="n">
        <v>0</v>
      </c>
      <c r="FB189" s="0" t="n">
        <v>0</v>
      </c>
      <c r="FC189" s="0" t="n">
        <v>0</v>
      </c>
      <c r="FD189" s="0" t="n">
        <v>0</v>
      </c>
      <c r="FE189" s="0" t="n">
        <v>0</v>
      </c>
      <c r="FF189" s="0" t="n">
        <v>0</v>
      </c>
      <c r="FG189" s="0" t="n">
        <v>0</v>
      </c>
      <c r="FH189" s="0" t="n">
        <v>0</v>
      </c>
      <c r="FI189" s="0" t="n">
        <v>0</v>
      </c>
      <c r="FJ189" s="0" t="n">
        <v>0</v>
      </c>
      <c r="FK189" s="0" t="n">
        <v>0</v>
      </c>
      <c r="FL189" s="0" t="n">
        <v>0</v>
      </c>
      <c r="FM189" s="0" t="n">
        <v>0</v>
      </c>
      <c r="FN189" s="0" t="n">
        <v>0</v>
      </c>
      <c r="FO189" s="0" t="n">
        <v>0</v>
      </c>
      <c r="FP189" s="0" t="n">
        <v>0</v>
      </c>
    </row>
    <row r="190" customFormat="false" ht="13.8" hidden="false" customHeight="false" outlineLevel="0" collapsed="false">
      <c r="A190" s="2" t="s">
        <v>537</v>
      </c>
      <c r="B190" s="0" t="s">
        <v>173</v>
      </c>
      <c r="C190" s="0" t="n">
        <v>75</v>
      </c>
      <c r="D190" s="0" t="s">
        <v>538</v>
      </c>
      <c r="G190" s="0" t="n">
        <v>3167.5987</v>
      </c>
      <c r="H190" s="0" t="n">
        <v>287.2391</v>
      </c>
      <c r="I190" s="0" t="n">
        <v>902.3879</v>
      </c>
      <c r="J190" s="0" t="n">
        <v>0.7849</v>
      </c>
      <c r="K190" s="0" t="n">
        <v>0.0153</v>
      </c>
      <c r="L190" s="0" t="n">
        <v>10.4424</v>
      </c>
      <c r="M190" s="0" t="n">
        <v>18.6745</v>
      </c>
      <c r="N190" s="0" t="n">
        <v>152.6751</v>
      </c>
      <c r="O190" s="0" t="n">
        <v>248.6875</v>
      </c>
      <c r="P190" s="0" t="n">
        <v>246.5307</v>
      </c>
      <c r="Q190" s="0" t="n">
        <v>402.3228</v>
      </c>
      <c r="R190" s="0" t="n">
        <v>206.5751</v>
      </c>
      <c r="S190" s="0" t="n">
        <v>179.8046</v>
      </c>
      <c r="T190" s="0" t="n">
        <v>147.5487</v>
      </c>
      <c r="U190" s="0" t="n">
        <v>189.8152</v>
      </c>
      <c r="V190" s="0" t="n">
        <v>83.2862</v>
      </c>
      <c r="W190" s="0" t="n">
        <v>131.863</v>
      </c>
      <c r="X190" s="0" t="n">
        <v>76.1901</v>
      </c>
      <c r="Y190" s="0" t="n">
        <v>47.4433</v>
      </c>
      <c r="Z190" s="0" t="n">
        <v>61.9388</v>
      </c>
      <c r="AA190" s="0" t="n">
        <v>58.8041</v>
      </c>
      <c r="AB190" s="0" t="n">
        <v>51.6434</v>
      </c>
      <c r="AC190" s="0" t="n">
        <v>36.8789</v>
      </c>
      <c r="AD190" s="0" t="n">
        <v>46.4033</v>
      </c>
      <c r="AE190" s="0" t="n">
        <v>29.803</v>
      </c>
      <c r="AF190" s="0" t="n">
        <v>41.4568</v>
      </c>
      <c r="AG190" s="0" t="n">
        <v>16.0262</v>
      </c>
      <c r="AH190" s="0" t="n">
        <v>27.1718</v>
      </c>
      <c r="AI190" s="0" t="n">
        <v>26.9472</v>
      </c>
      <c r="AJ190" s="0" t="n">
        <v>17.4283</v>
      </c>
      <c r="AK190" s="0" t="n">
        <v>27.9772</v>
      </c>
      <c r="AL190" s="0" t="n">
        <v>12.3003</v>
      </c>
      <c r="AM190" s="0" t="n">
        <v>20.777</v>
      </c>
      <c r="AN190" s="0" t="n">
        <v>23.375</v>
      </c>
      <c r="AO190" s="0" t="n">
        <v>21.2888</v>
      </c>
      <c r="AP190" s="0" t="n">
        <v>19.9055</v>
      </c>
      <c r="AQ190" s="0" t="n">
        <v>23.3253</v>
      </c>
      <c r="AR190" s="0" t="n">
        <v>22.991</v>
      </c>
      <c r="AS190" s="0" t="n">
        <v>17.4793</v>
      </c>
      <c r="AT190" s="0" t="n">
        <v>25.5251</v>
      </c>
      <c r="AU190" s="0" t="n">
        <v>23.452</v>
      </c>
      <c r="AV190" s="0" t="n">
        <v>17.0904</v>
      </c>
      <c r="AW190" s="0" t="n">
        <v>23.399</v>
      </c>
      <c r="AX190" s="0" t="n">
        <v>27.1876</v>
      </c>
      <c r="AY190" s="0" t="n">
        <v>24.7571</v>
      </c>
      <c r="AZ190" s="0" t="n">
        <v>30.0749</v>
      </c>
      <c r="BA190" s="0" t="n">
        <v>16.6662</v>
      </c>
      <c r="BB190" s="0" t="n">
        <v>36.6739</v>
      </c>
      <c r="BC190" s="0" t="n">
        <v>31.4345</v>
      </c>
      <c r="BD190" s="0" t="n">
        <v>19.1474</v>
      </c>
      <c r="BE190" s="0" t="n">
        <v>20.7192</v>
      </c>
      <c r="BF190" s="0" t="n">
        <v>16.0549</v>
      </c>
      <c r="BG190" s="0" t="n">
        <v>19.1339</v>
      </c>
      <c r="BH190" s="0" t="n">
        <v>19.5949</v>
      </c>
      <c r="BI190" s="0" t="n">
        <v>13.3746</v>
      </c>
      <c r="BJ190" s="0" t="n">
        <v>8.638</v>
      </c>
      <c r="BK190" s="0" t="n">
        <v>10.2765</v>
      </c>
      <c r="BL190" s="0" t="n">
        <v>4.4369</v>
      </c>
      <c r="BM190" s="0" t="n">
        <v>4.5643</v>
      </c>
      <c r="BN190" s="0" t="n">
        <v>6.8478</v>
      </c>
      <c r="BO190" s="0" t="n">
        <v>1.5121</v>
      </c>
      <c r="BP190" s="0" t="n">
        <v>1.9595</v>
      </c>
      <c r="BQ190" s="0" t="n">
        <v>3.6255</v>
      </c>
      <c r="BR190" s="0" t="n">
        <v>1.4632</v>
      </c>
      <c r="BS190" s="0" t="n">
        <v>0.833</v>
      </c>
      <c r="BT190" s="0" t="n">
        <v>1.4458</v>
      </c>
      <c r="BU190" s="0" t="n">
        <v>1.9437</v>
      </c>
      <c r="BV190" s="0" t="n">
        <v>0.5784</v>
      </c>
      <c r="BW190" s="0" t="n">
        <v>0.5709</v>
      </c>
      <c r="BX190" s="0" t="n">
        <v>0.303</v>
      </c>
      <c r="BY190" s="0" t="n">
        <v>0.4146</v>
      </c>
      <c r="BZ190" s="0" t="n">
        <v>0.2532</v>
      </c>
      <c r="CA190" s="0" t="n">
        <v>0.3743</v>
      </c>
      <c r="CB190" s="0" t="n">
        <v>0.9732</v>
      </c>
      <c r="CC190" s="0" t="n">
        <v>0.8259</v>
      </c>
      <c r="CD190" s="0" t="n">
        <v>0.4428</v>
      </c>
      <c r="CE190" s="0" t="n">
        <v>0.3274</v>
      </c>
      <c r="CF190" s="0" t="n">
        <v>0.3475</v>
      </c>
      <c r="CG190" s="0" t="n">
        <v>0.3638</v>
      </c>
      <c r="CH190" s="0" t="n">
        <v>0.1692</v>
      </c>
      <c r="CI190" s="0" t="n">
        <v>0.462</v>
      </c>
      <c r="CJ190" s="0" t="n">
        <v>0.4451</v>
      </c>
      <c r="CK190" s="0" t="n">
        <v>0.2375</v>
      </c>
      <c r="CL190" s="0" t="n">
        <v>0.3727</v>
      </c>
      <c r="CM190" s="0" t="n">
        <v>2.2628</v>
      </c>
      <c r="CN190" s="0" t="n">
        <v>0.0002</v>
      </c>
      <c r="CO190" s="0" t="n">
        <v>0.2755</v>
      </c>
      <c r="CP190" s="0" t="n">
        <v>0.7393</v>
      </c>
      <c r="CQ190" s="0" t="n">
        <v>8.7229</v>
      </c>
      <c r="CR190" s="0" t="n">
        <v>17.6684</v>
      </c>
      <c r="CS190" s="0" t="n">
        <v>20.6675</v>
      </c>
      <c r="CT190" s="0" t="n">
        <v>40.5978</v>
      </c>
      <c r="CU190" s="0" t="n">
        <v>24.5681</v>
      </c>
      <c r="CV190" s="0" t="n">
        <v>23.9822</v>
      </c>
      <c r="CW190" s="0" t="n">
        <v>21.6472</v>
      </c>
      <c r="CX190" s="0" t="n">
        <v>31.6036</v>
      </c>
      <c r="CY190" s="0" t="n">
        <v>15.1172</v>
      </c>
      <c r="CZ190" s="0" t="n">
        <v>25.7981</v>
      </c>
      <c r="DA190" s="0" t="n">
        <v>16.4504</v>
      </c>
      <c r="DB190" s="0" t="n">
        <v>10.7433</v>
      </c>
      <c r="DC190" s="0" t="n">
        <v>14.9888</v>
      </c>
      <c r="DD190" s="0" t="n">
        <v>15.1865</v>
      </c>
      <c r="DE190" s="0" t="n">
        <v>14.2621</v>
      </c>
      <c r="DF190" s="0" t="n">
        <v>10.7301</v>
      </c>
      <c r="DG190" s="0" t="n">
        <v>14.2382</v>
      </c>
      <c r="DH190" s="0" t="n">
        <v>9.5507</v>
      </c>
      <c r="DI190" s="0" t="n">
        <v>14.0568</v>
      </c>
      <c r="DJ190" s="0" t="n">
        <v>5.7146</v>
      </c>
      <c r="DK190" s="0" t="n">
        <v>9.9586</v>
      </c>
      <c r="DL190" s="0" t="n">
        <v>10.4346</v>
      </c>
      <c r="DM190" s="0" t="n">
        <v>6.9736</v>
      </c>
      <c r="DN190" s="0" t="n">
        <v>11.6658</v>
      </c>
      <c r="DO190" s="0" t="n">
        <v>5.3323</v>
      </c>
      <c r="DP190" s="0" t="n">
        <v>9.2479</v>
      </c>
      <c r="DQ190" s="0" t="n">
        <v>10.8252</v>
      </c>
      <c r="DR190" s="0" t="n">
        <v>10.2523</v>
      </c>
      <c r="DS190" s="0" t="n">
        <v>9.8103</v>
      </c>
      <c r="DT190" s="0" t="n">
        <v>11.8824</v>
      </c>
      <c r="DU190" s="0" t="n">
        <v>12.1233</v>
      </c>
      <c r="DV190" s="0" t="n">
        <v>9.4507</v>
      </c>
      <c r="DW190" s="0" t="n">
        <v>14.1685</v>
      </c>
      <c r="DX190" s="0" t="n">
        <v>13.4654</v>
      </c>
      <c r="DY190" s="0" t="n">
        <v>10.0985</v>
      </c>
      <c r="DZ190" s="0" t="n">
        <v>14.1126</v>
      </c>
      <c r="EA190" s="0" t="n">
        <v>16.8846</v>
      </c>
      <c r="EB190" s="0" t="n">
        <v>15.7857</v>
      </c>
      <c r="EC190" s="0" t="n">
        <v>19.6516</v>
      </c>
      <c r="ED190" s="0" t="n">
        <v>11.0757</v>
      </c>
      <c r="EE190" s="0" t="n">
        <v>24.9915</v>
      </c>
      <c r="EF190" s="0" t="n">
        <v>22.0445</v>
      </c>
      <c r="EG190" s="0" t="n">
        <v>13.7497</v>
      </c>
      <c r="EH190" s="0" t="n">
        <v>15.1292</v>
      </c>
      <c r="EI190" s="0" t="n">
        <v>11.9631</v>
      </c>
      <c r="EJ190" s="0" t="n">
        <v>14.5438</v>
      </c>
      <c r="EK190" s="0" t="n">
        <v>15.2656</v>
      </c>
      <c r="EL190" s="0" t="n">
        <v>10.6001</v>
      </c>
      <c r="EM190" s="0" t="n">
        <v>6.9735</v>
      </c>
      <c r="EN190" s="0" t="n">
        <v>8.4714</v>
      </c>
      <c r="EO190" s="0" t="n">
        <v>3.7381</v>
      </c>
      <c r="EP190" s="0" t="n">
        <v>3.9013</v>
      </c>
      <c r="EQ190" s="0" t="n">
        <v>5.9786</v>
      </c>
      <c r="ER190" s="0" t="n">
        <v>1.3424</v>
      </c>
      <c r="ES190" s="0" t="n">
        <v>1.771</v>
      </c>
      <c r="ET190" s="0" t="n">
        <v>3.3297</v>
      </c>
      <c r="EU190" s="0" t="n">
        <v>1.3667</v>
      </c>
      <c r="EV190" s="0" t="n">
        <v>0.792</v>
      </c>
      <c r="EW190" s="0" t="n">
        <v>1.3968</v>
      </c>
      <c r="EX190" s="0" t="n">
        <v>1.908</v>
      </c>
      <c r="EY190" s="0" t="n">
        <v>0.5771</v>
      </c>
      <c r="EZ190" s="0" t="n">
        <v>0.5806</v>
      </c>
      <c r="FA190" s="0" t="n">
        <v>0.311</v>
      </c>
      <c r="FB190" s="0" t="n">
        <v>0.4323</v>
      </c>
      <c r="FC190" s="0" t="n">
        <v>0.2674</v>
      </c>
      <c r="FD190" s="0" t="n">
        <v>0.4039</v>
      </c>
      <c r="FE190" s="0" t="n">
        <v>1.059</v>
      </c>
      <c r="FF190" s="0" t="n">
        <v>0.9143</v>
      </c>
      <c r="FG190" s="0" t="n">
        <v>0.4971</v>
      </c>
      <c r="FH190" s="0" t="n">
        <v>0.375</v>
      </c>
      <c r="FI190" s="0" t="n">
        <v>0.4009</v>
      </c>
      <c r="FJ190" s="0" t="n">
        <v>0.4264</v>
      </c>
      <c r="FK190" s="0" t="n">
        <v>0.2008</v>
      </c>
      <c r="FL190" s="0" t="n">
        <v>0.5565</v>
      </c>
      <c r="FM190" s="0" t="n">
        <v>0.5438</v>
      </c>
      <c r="FN190" s="0" t="n">
        <v>0.2928</v>
      </c>
      <c r="FO190" s="0" t="n">
        <v>0.4626</v>
      </c>
      <c r="FP190" s="0" t="n">
        <v>3.0621</v>
      </c>
    </row>
    <row r="191" customFormat="false" ht="13.8" hidden="false" customHeight="false" outlineLevel="0" collapsed="false">
      <c r="A191" s="2" t="s">
        <v>539</v>
      </c>
      <c r="B191" s="0" t="s">
        <v>173</v>
      </c>
      <c r="C191" s="0" t="n">
        <v>182</v>
      </c>
      <c r="D191" s="0" t="s">
        <v>540</v>
      </c>
      <c r="G191" s="0" t="n">
        <v>4922.3434</v>
      </c>
      <c r="H191" s="0" t="n">
        <v>230.7706</v>
      </c>
      <c r="I191" s="0" t="n">
        <v>724.9873</v>
      </c>
      <c r="J191" s="0" t="n">
        <v>0.4492</v>
      </c>
      <c r="K191" s="0" t="n">
        <v>0</v>
      </c>
      <c r="L191" s="0" t="n">
        <v>509.1195</v>
      </c>
      <c r="M191" s="0" t="n">
        <v>506.0407</v>
      </c>
      <c r="N191" s="0" t="n">
        <v>855.7188</v>
      </c>
      <c r="O191" s="0" t="n">
        <v>666.246</v>
      </c>
      <c r="P191" s="0" t="n">
        <v>458.9451</v>
      </c>
      <c r="Q191" s="0" t="n">
        <v>296.1766</v>
      </c>
      <c r="R191" s="0" t="n">
        <v>264.0393</v>
      </c>
      <c r="S191" s="0" t="n">
        <v>140.1048</v>
      </c>
      <c r="T191" s="0" t="n">
        <v>112.6108</v>
      </c>
      <c r="U191" s="0" t="n">
        <v>92.2685</v>
      </c>
      <c r="V191" s="0" t="n">
        <v>76.9387</v>
      </c>
      <c r="W191" s="0" t="n">
        <v>65.4356</v>
      </c>
      <c r="X191" s="0" t="n">
        <v>62.902</v>
      </c>
      <c r="Y191" s="0" t="n">
        <v>52.9464</v>
      </c>
      <c r="Z191" s="0" t="n">
        <v>40.0693</v>
      </c>
      <c r="AA191" s="0" t="n">
        <v>34.742</v>
      </c>
      <c r="AB191" s="0" t="n">
        <v>31.2975</v>
      </c>
      <c r="AC191" s="0" t="n">
        <v>28.0721</v>
      </c>
      <c r="AD191" s="0" t="n">
        <v>27.5053</v>
      </c>
      <c r="AE191" s="0" t="n">
        <v>32.1659</v>
      </c>
      <c r="AF191" s="0" t="n">
        <v>32.4634</v>
      </c>
      <c r="AG191" s="0" t="n">
        <v>32.2651</v>
      </c>
      <c r="AH191" s="0" t="n">
        <v>29.2207</v>
      </c>
      <c r="AI191" s="0" t="n">
        <v>29.6068</v>
      </c>
      <c r="AJ191" s="0" t="n">
        <v>27.3028</v>
      </c>
      <c r="AK191" s="0" t="n">
        <v>25.2026</v>
      </c>
      <c r="AL191" s="0" t="n">
        <v>26.7115</v>
      </c>
      <c r="AM191" s="0" t="n">
        <v>23.323</v>
      </c>
      <c r="AN191" s="0" t="n">
        <v>22.9033</v>
      </c>
      <c r="AO191" s="0" t="n">
        <v>25.7642</v>
      </c>
      <c r="AP191" s="0" t="n">
        <v>23.6372</v>
      </c>
      <c r="AQ191" s="0" t="n">
        <v>24.8092</v>
      </c>
      <c r="AR191" s="0" t="n">
        <v>24.5279</v>
      </c>
      <c r="AS191" s="0" t="n">
        <v>21.4373</v>
      </c>
      <c r="AT191" s="0" t="n">
        <v>21.463</v>
      </c>
      <c r="AU191" s="0" t="n">
        <v>15.3954</v>
      </c>
      <c r="AV191" s="0" t="n">
        <v>12.386</v>
      </c>
      <c r="AW191" s="0" t="n">
        <v>11.6396</v>
      </c>
      <c r="AX191" s="0" t="n">
        <v>10.6441</v>
      </c>
      <c r="AY191" s="0" t="n">
        <v>10.4635</v>
      </c>
      <c r="AZ191" s="0" t="n">
        <v>9.2198</v>
      </c>
      <c r="BA191" s="0" t="n">
        <v>11.7024</v>
      </c>
      <c r="BB191" s="0" t="n">
        <v>15.5187</v>
      </c>
      <c r="BC191" s="0" t="n">
        <v>9.8605</v>
      </c>
      <c r="BD191" s="0" t="n">
        <v>9.6505</v>
      </c>
      <c r="BE191" s="0" t="n">
        <v>9.1627</v>
      </c>
      <c r="BF191" s="0" t="n">
        <v>9.4709</v>
      </c>
      <c r="BG191" s="0" t="n">
        <v>9.01</v>
      </c>
      <c r="BH191" s="0" t="n">
        <v>4.1115</v>
      </c>
      <c r="BI191" s="0" t="n">
        <v>4.1301</v>
      </c>
      <c r="BJ191" s="0" t="n">
        <v>2.7181</v>
      </c>
      <c r="BK191" s="0" t="n">
        <v>2.786</v>
      </c>
      <c r="BL191" s="0" t="n">
        <v>2.1894</v>
      </c>
      <c r="BM191" s="0" t="n">
        <v>1.7065</v>
      </c>
      <c r="BN191" s="0" t="n">
        <v>0.6741</v>
      </c>
      <c r="BO191" s="0" t="n">
        <v>1.1689</v>
      </c>
      <c r="BP191" s="0" t="n">
        <v>1.2612</v>
      </c>
      <c r="BQ191" s="0" t="n">
        <v>0.7234</v>
      </c>
      <c r="BR191" s="0" t="n">
        <v>0.7173</v>
      </c>
      <c r="BS191" s="0" t="n">
        <v>0.5298</v>
      </c>
      <c r="BT191" s="0" t="n">
        <v>1.4974</v>
      </c>
      <c r="BU191" s="0" t="n">
        <v>0.0855</v>
      </c>
      <c r="BV191" s="0" t="n">
        <v>0.6751</v>
      </c>
      <c r="BW191" s="0" t="n">
        <v>0.401</v>
      </c>
      <c r="BX191" s="0" t="n">
        <v>1.7257</v>
      </c>
      <c r="BY191" s="0" t="n">
        <v>0.673</v>
      </c>
      <c r="BZ191" s="0" t="n">
        <v>1.425</v>
      </c>
      <c r="CA191" s="0" t="n">
        <v>0.3031</v>
      </c>
      <c r="CB191" s="0" t="n">
        <v>1.3708</v>
      </c>
      <c r="CC191" s="0" t="n">
        <v>0.2975</v>
      </c>
      <c r="CD191" s="0" t="n">
        <v>0.1806</v>
      </c>
      <c r="CE191" s="0" t="n">
        <v>0</v>
      </c>
      <c r="CF191" s="0" t="n">
        <v>0.009</v>
      </c>
      <c r="CG191" s="0" t="n">
        <v>0.5002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0.2991</v>
      </c>
      <c r="CN191" s="0" t="n">
        <v>0</v>
      </c>
      <c r="CO191" s="0" t="n">
        <v>13.3407</v>
      </c>
      <c r="CP191" s="0" t="n">
        <v>19.7932</v>
      </c>
      <c r="CQ191" s="0" t="n">
        <v>47.1185</v>
      </c>
      <c r="CR191" s="0" t="n">
        <v>46.2946</v>
      </c>
      <c r="CS191" s="0" t="n">
        <v>39.3258</v>
      </c>
      <c r="CT191" s="0" t="n">
        <v>30.1335</v>
      </c>
      <c r="CU191" s="0" t="n">
        <v>31.0542</v>
      </c>
      <c r="CV191" s="0" t="n">
        <v>18.7001</v>
      </c>
      <c r="CW191" s="0" t="n">
        <v>16.7565</v>
      </c>
      <c r="CX191" s="0" t="n">
        <v>15.1645</v>
      </c>
      <c r="CY191" s="0" t="n">
        <v>13.9017</v>
      </c>
      <c r="CZ191" s="0" t="n">
        <v>12.8296</v>
      </c>
      <c r="DA191" s="0" t="n">
        <v>13.3133</v>
      </c>
      <c r="DB191" s="0" t="n">
        <v>12.0557</v>
      </c>
      <c r="DC191" s="0" t="n">
        <v>9.7542</v>
      </c>
      <c r="DD191" s="0" t="n">
        <v>9.0105</v>
      </c>
      <c r="DE191" s="0" t="n">
        <v>8.6073</v>
      </c>
      <c r="DF191" s="0" t="n">
        <v>8.1583</v>
      </c>
      <c r="DG191" s="0" t="n">
        <v>8.4248</v>
      </c>
      <c r="DH191" s="0" t="n">
        <v>10.3622</v>
      </c>
      <c r="DI191" s="0" t="n">
        <v>10.9953</v>
      </c>
      <c r="DJ191" s="0" t="n">
        <v>11.3755</v>
      </c>
      <c r="DK191" s="0" t="n">
        <v>10.7856</v>
      </c>
      <c r="DL191" s="0" t="n">
        <v>11.4138</v>
      </c>
      <c r="DM191" s="0" t="n">
        <v>10.9178</v>
      </c>
      <c r="DN191" s="0" t="n">
        <v>10.4776</v>
      </c>
      <c r="DO191" s="0" t="n">
        <v>11.5553</v>
      </c>
      <c r="DP191" s="0" t="n">
        <v>10.4121</v>
      </c>
      <c r="DQ191" s="0" t="n">
        <v>10.6249</v>
      </c>
      <c r="DR191" s="0" t="n">
        <v>12.3422</v>
      </c>
      <c r="DS191" s="0" t="n">
        <v>11.6975</v>
      </c>
      <c r="DT191" s="0" t="n">
        <v>12.6689</v>
      </c>
      <c r="DU191" s="0" t="n">
        <v>12.9049</v>
      </c>
      <c r="DV191" s="0" t="n">
        <v>11.6027</v>
      </c>
      <c r="DW191" s="0" t="n">
        <v>11.9575</v>
      </c>
      <c r="DX191" s="0" t="n">
        <v>8.8308</v>
      </c>
      <c r="DY191" s="0" t="n">
        <v>7.3109</v>
      </c>
      <c r="DZ191" s="0" t="n">
        <v>7.0359</v>
      </c>
      <c r="EA191" s="0" t="n">
        <v>6.5878</v>
      </c>
      <c r="EB191" s="0" t="n">
        <v>6.6671</v>
      </c>
      <c r="EC191" s="0" t="n">
        <v>6.0176</v>
      </c>
      <c r="ED191" s="0" t="n">
        <v>7.798</v>
      </c>
      <c r="EE191" s="0" t="n">
        <v>10.6055</v>
      </c>
      <c r="EF191" s="0" t="n">
        <v>6.8844</v>
      </c>
      <c r="EG191" s="0" t="n">
        <v>6.8928</v>
      </c>
      <c r="EH191" s="0" t="n">
        <v>6.6807</v>
      </c>
      <c r="EI191" s="0" t="n">
        <v>7.0608</v>
      </c>
      <c r="EJ191" s="0" t="n">
        <v>6.8526</v>
      </c>
      <c r="EK191" s="0" t="n">
        <v>3.2053</v>
      </c>
      <c r="EL191" s="0" t="n">
        <v>3.2726</v>
      </c>
      <c r="EM191" s="0" t="n">
        <v>2.1991</v>
      </c>
      <c r="EN191" s="0" t="n">
        <v>2.2955</v>
      </c>
      <c r="EO191" s="0" t="n">
        <v>1.8345</v>
      </c>
      <c r="EP191" s="0" t="n">
        <v>1.4571</v>
      </c>
      <c r="EQ191" s="0" t="n">
        <v>0.5886</v>
      </c>
      <c r="ER191" s="0" t="n">
        <v>1.0372</v>
      </c>
      <c r="ES191" s="0" t="n">
        <v>1.1359</v>
      </c>
      <c r="ET191" s="0" t="n">
        <v>0.6659</v>
      </c>
      <c r="EU191" s="0" t="n">
        <v>0.6709</v>
      </c>
      <c r="EV191" s="0" t="n">
        <v>0.5017</v>
      </c>
      <c r="EW191" s="0" t="n">
        <v>1.4476</v>
      </c>
      <c r="EX191" s="0" t="n">
        <v>0.0839</v>
      </c>
      <c r="EY191" s="0" t="n">
        <v>0.6735</v>
      </c>
      <c r="EZ191" s="0" t="n">
        <v>0.4084</v>
      </c>
      <c r="FA191" s="0" t="n">
        <v>1.7749</v>
      </c>
      <c r="FB191" s="0" t="n">
        <v>0.705</v>
      </c>
      <c r="FC191" s="0" t="n">
        <v>1.5063</v>
      </c>
      <c r="FD191" s="0" t="n">
        <v>0.3251</v>
      </c>
      <c r="FE191" s="0" t="n">
        <v>1.4954</v>
      </c>
      <c r="FF191" s="0" t="n">
        <v>0.3297</v>
      </c>
      <c r="FG191" s="0" t="n">
        <v>0.2024</v>
      </c>
      <c r="FH191" s="0" t="n">
        <v>0</v>
      </c>
      <c r="FI191" s="0" t="n">
        <v>0.0103</v>
      </c>
      <c r="FJ191" s="0" t="n">
        <v>0.5877</v>
      </c>
      <c r="FK191" s="0" t="n">
        <v>0</v>
      </c>
      <c r="FL191" s="0" t="n">
        <v>0</v>
      </c>
      <c r="FM191" s="0" t="n">
        <v>0</v>
      </c>
      <c r="FN191" s="0" t="n">
        <v>0</v>
      </c>
      <c r="FO191" s="0" t="n">
        <v>0</v>
      </c>
      <c r="FP191" s="0" t="n">
        <v>0.3873</v>
      </c>
    </row>
    <row r="192" customFormat="false" ht="13.8" hidden="false" customHeight="false" outlineLevel="0" collapsed="false">
      <c r="A192" s="2" t="s">
        <v>541</v>
      </c>
      <c r="B192" s="0" t="s">
        <v>176</v>
      </c>
      <c r="C192" s="0" t="n">
        <v>299</v>
      </c>
      <c r="D192" s="0" t="s">
        <v>542</v>
      </c>
      <c r="G192" s="0" t="n">
        <v>2102.4842</v>
      </c>
      <c r="H192" s="0" t="n">
        <v>135.5472</v>
      </c>
      <c r="I192" s="0" t="n">
        <v>425.834</v>
      </c>
      <c r="J192" s="0" t="n">
        <v>0.556433333333333</v>
      </c>
      <c r="K192" s="0" t="n">
        <v>0</v>
      </c>
      <c r="L192" s="0" t="n">
        <v>164.031</v>
      </c>
      <c r="M192" s="0" t="n">
        <v>183.416</v>
      </c>
      <c r="N192" s="0" t="n">
        <v>319.7875</v>
      </c>
      <c r="O192" s="0" t="n">
        <v>248.2624</v>
      </c>
      <c r="P192" s="0" t="n">
        <v>159.1093</v>
      </c>
      <c r="Q192" s="0" t="n">
        <v>97.1481</v>
      </c>
      <c r="R192" s="0" t="n">
        <v>83.6347</v>
      </c>
      <c r="S192" s="0" t="n">
        <v>48.3026</v>
      </c>
      <c r="T192" s="0" t="n">
        <v>50.9965</v>
      </c>
      <c r="U192" s="0" t="n">
        <v>48.9079</v>
      </c>
      <c r="V192" s="0" t="n">
        <v>39.5158</v>
      </c>
      <c r="W192" s="0" t="n">
        <v>28.1669</v>
      </c>
      <c r="X192" s="0" t="n">
        <v>23.909</v>
      </c>
      <c r="Y192" s="0" t="n">
        <v>26.641</v>
      </c>
      <c r="Z192" s="0" t="n">
        <v>23.6345</v>
      </c>
      <c r="AA192" s="0" t="n">
        <v>17.6857</v>
      </c>
      <c r="AB192" s="0" t="n">
        <v>15.159</v>
      </c>
      <c r="AC192" s="0" t="n">
        <v>13.4271</v>
      </c>
      <c r="AD192" s="0" t="n">
        <v>17.2304</v>
      </c>
      <c r="AE192" s="0" t="n">
        <v>18.4701</v>
      </c>
      <c r="AF192" s="0" t="n">
        <v>19.4358</v>
      </c>
      <c r="AG192" s="0" t="n">
        <v>20.2737</v>
      </c>
      <c r="AH192" s="0" t="n">
        <v>22.8048</v>
      </c>
      <c r="AI192" s="0" t="n">
        <v>20.8769</v>
      </c>
      <c r="AJ192" s="0" t="n">
        <v>18.7036</v>
      </c>
      <c r="AK192" s="0" t="n">
        <v>25.2987</v>
      </c>
      <c r="AL192" s="0" t="n">
        <v>24.1807</v>
      </c>
      <c r="AM192" s="0" t="n">
        <v>22.5539</v>
      </c>
      <c r="AN192" s="0" t="n">
        <v>21.5487</v>
      </c>
      <c r="AO192" s="0" t="n">
        <v>22.7104</v>
      </c>
      <c r="AP192" s="0" t="n">
        <v>21.184</v>
      </c>
      <c r="AQ192" s="0" t="n">
        <v>20.408</v>
      </c>
      <c r="AR192" s="0" t="n">
        <v>22.7258</v>
      </c>
      <c r="AS192" s="0" t="n">
        <v>22.6934</v>
      </c>
      <c r="AT192" s="0" t="n">
        <v>27.9951</v>
      </c>
      <c r="AU192" s="0" t="n">
        <v>24.5819</v>
      </c>
      <c r="AV192" s="0" t="n">
        <v>16.3603</v>
      </c>
      <c r="AW192" s="0" t="n">
        <v>11.5965</v>
      </c>
      <c r="AX192" s="0" t="n">
        <v>11.5911</v>
      </c>
      <c r="AY192" s="0" t="n">
        <v>9.253</v>
      </c>
      <c r="AZ192" s="0" t="n">
        <v>8.3358</v>
      </c>
      <c r="BA192" s="0" t="n">
        <v>7.5749</v>
      </c>
      <c r="BB192" s="0" t="n">
        <v>8.0489</v>
      </c>
      <c r="BC192" s="0" t="n">
        <v>5.5195</v>
      </c>
      <c r="BD192" s="0" t="n">
        <v>5.5898</v>
      </c>
      <c r="BE192" s="0" t="n">
        <v>4.4753</v>
      </c>
      <c r="BF192" s="0" t="n">
        <v>4.7519</v>
      </c>
      <c r="BG192" s="0" t="n">
        <v>2.3698</v>
      </c>
      <c r="BH192" s="0" t="n">
        <v>2.7033</v>
      </c>
      <c r="BI192" s="0" t="n">
        <v>3.9368</v>
      </c>
      <c r="BJ192" s="0" t="n">
        <v>2.3372</v>
      </c>
      <c r="BK192" s="0" t="n">
        <v>1.3018</v>
      </c>
      <c r="BL192" s="0" t="n">
        <v>1.6129</v>
      </c>
      <c r="BM192" s="0" t="n">
        <v>1.0909</v>
      </c>
      <c r="BN192" s="0" t="n">
        <v>0.8495</v>
      </c>
      <c r="BO192" s="0" t="n">
        <v>0.6647</v>
      </c>
      <c r="BP192" s="0" t="n">
        <v>0.4542</v>
      </c>
      <c r="BQ192" s="0" t="n">
        <v>1.1973</v>
      </c>
      <c r="BR192" s="0" t="n">
        <v>0.8985</v>
      </c>
      <c r="BS192" s="0" t="n">
        <v>0.4536</v>
      </c>
      <c r="BT192" s="0" t="n">
        <v>0.3825</v>
      </c>
      <c r="BU192" s="0" t="n">
        <v>0.0481</v>
      </c>
      <c r="BV192" s="0" t="n">
        <v>0.093</v>
      </c>
      <c r="BW192" s="0" t="n">
        <v>0.5364</v>
      </c>
      <c r="BX192" s="0" t="n">
        <v>0.1322</v>
      </c>
      <c r="BY192" s="0" t="n">
        <v>0.0787</v>
      </c>
      <c r="BZ192" s="0" t="n">
        <v>0.0915</v>
      </c>
      <c r="CA192" s="0" t="n">
        <v>0.2649</v>
      </c>
      <c r="CB192" s="0" t="n">
        <v>0.2383</v>
      </c>
      <c r="CC192" s="0" t="n">
        <v>0.2105</v>
      </c>
      <c r="CD192" s="0" t="n">
        <v>0.2661</v>
      </c>
      <c r="CE192" s="0" t="n">
        <v>0.3811</v>
      </c>
      <c r="CF192" s="0" t="n">
        <v>0.1587</v>
      </c>
      <c r="CG192" s="0" t="n">
        <v>0.2168</v>
      </c>
      <c r="CH192" s="0" t="n">
        <v>0.0206</v>
      </c>
      <c r="CI192" s="0" t="n">
        <v>0.2541</v>
      </c>
      <c r="CJ192" s="0" t="n">
        <v>0.0269</v>
      </c>
      <c r="CK192" s="0" t="n">
        <v>0</v>
      </c>
      <c r="CL192" s="0" t="n">
        <v>0</v>
      </c>
      <c r="CM192" s="0" t="n">
        <v>0.3035</v>
      </c>
      <c r="CN192" s="0" t="n">
        <v>0</v>
      </c>
      <c r="CO192" s="0" t="n">
        <v>4.3224</v>
      </c>
      <c r="CP192" s="0" t="n">
        <v>7.1696</v>
      </c>
      <c r="CQ192" s="0" t="n">
        <v>17.6291</v>
      </c>
      <c r="CR192" s="0" t="n">
        <v>17.2407</v>
      </c>
      <c r="CS192" s="0" t="n">
        <v>13.6301</v>
      </c>
      <c r="CT192" s="0" t="n">
        <v>9.8877</v>
      </c>
      <c r="CU192" s="0" t="n">
        <v>9.845</v>
      </c>
      <c r="CV192" s="0" t="n">
        <v>6.4411</v>
      </c>
      <c r="CW192" s="0" t="n">
        <v>7.5978</v>
      </c>
      <c r="CX192" s="0" t="n">
        <v>8.0426</v>
      </c>
      <c r="CY192" s="0" t="n">
        <v>7.1447</v>
      </c>
      <c r="CZ192" s="0" t="n">
        <v>5.5174</v>
      </c>
      <c r="DA192" s="0" t="n">
        <v>5.0633</v>
      </c>
      <c r="DB192" s="0" t="n">
        <v>6.0696</v>
      </c>
      <c r="DC192" s="0" t="n">
        <v>5.7512</v>
      </c>
      <c r="DD192" s="0" t="n">
        <v>4.569</v>
      </c>
      <c r="DE192" s="0" t="n">
        <v>4.1628</v>
      </c>
      <c r="DF192" s="0" t="n">
        <v>3.8938</v>
      </c>
      <c r="DG192" s="0" t="n">
        <v>5.2801</v>
      </c>
      <c r="DH192" s="0" t="n">
        <v>5.9547</v>
      </c>
      <c r="DI192" s="0" t="n">
        <v>6.5722</v>
      </c>
      <c r="DJ192" s="0" t="n">
        <v>7.1496</v>
      </c>
      <c r="DK192" s="0" t="n">
        <v>8.4282</v>
      </c>
      <c r="DL192" s="0" t="n">
        <v>8.0384</v>
      </c>
      <c r="DM192" s="0" t="n">
        <v>7.4806</v>
      </c>
      <c r="DN192" s="0" t="n">
        <v>10.5263</v>
      </c>
      <c r="DO192" s="0" t="n">
        <v>10.4662</v>
      </c>
      <c r="DP192" s="0" t="n">
        <v>10.0695</v>
      </c>
      <c r="DQ192" s="0" t="n">
        <v>9.9941</v>
      </c>
      <c r="DR192" s="0" t="n">
        <v>10.8784</v>
      </c>
      <c r="DS192" s="0" t="n">
        <v>10.4875</v>
      </c>
      <c r="DT192" s="0" t="n">
        <v>10.4161</v>
      </c>
      <c r="DU192" s="0" t="n">
        <v>11.9499</v>
      </c>
      <c r="DV192" s="0" t="n">
        <v>12.2995</v>
      </c>
      <c r="DW192" s="0" t="n">
        <v>15.6153</v>
      </c>
      <c r="DX192" s="0" t="n">
        <v>14.0991</v>
      </c>
      <c r="DY192" s="0" t="n">
        <v>9.6222</v>
      </c>
      <c r="DZ192" s="0" t="n">
        <v>6.9992</v>
      </c>
      <c r="EA192" s="0" t="n">
        <v>7.1849</v>
      </c>
      <c r="EB192" s="0" t="n">
        <v>5.8931</v>
      </c>
      <c r="EC192" s="0" t="n">
        <v>5.4244</v>
      </c>
      <c r="ED192" s="0" t="n">
        <v>5.059</v>
      </c>
      <c r="EE192" s="0" t="n">
        <v>5.5035</v>
      </c>
      <c r="EF192" s="0" t="n">
        <v>3.8558</v>
      </c>
      <c r="EG192" s="0" t="n">
        <v>3.9953</v>
      </c>
      <c r="EH192" s="0" t="n">
        <v>3.2682</v>
      </c>
      <c r="EI192" s="0" t="n">
        <v>3.5445</v>
      </c>
      <c r="EJ192" s="0" t="n">
        <v>1.8086</v>
      </c>
      <c r="EK192" s="0" t="n">
        <v>2.0992</v>
      </c>
      <c r="EL192" s="0" t="n">
        <v>3.123</v>
      </c>
      <c r="EM192" s="0" t="n">
        <v>1.893</v>
      </c>
      <c r="EN192" s="0" t="n">
        <v>1.0761</v>
      </c>
      <c r="EO192" s="0" t="n">
        <v>1.3585</v>
      </c>
      <c r="EP192" s="0" t="n">
        <v>0.9333</v>
      </c>
      <c r="EQ192" s="0" t="n">
        <v>0.7401</v>
      </c>
      <c r="ER192" s="0" t="n">
        <v>0.5905</v>
      </c>
      <c r="ES192" s="0" t="n">
        <v>0.4082</v>
      </c>
      <c r="ET192" s="0" t="n">
        <v>1.1044</v>
      </c>
      <c r="EU192" s="0" t="n">
        <v>0.8423</v>
      </c>
      <c r="EV192" s="0" t="n">
        <v>0.4312</v>
      </c>
      <c r="EW192" s="0" t="n">
        <v>0.3692</v>
      </c>
      <c r="EX192" s="0" t="n">
        <v>0.0471</v>
      </c>
      <c r="EY192" s="0" t="n">
        <v>0.0928</v>
      </c>
      <c r="EZ192" s="0" t="n">
        <v>0.553</v>
      </c>
      <c r="FA192" s="0" t="n">
        <v>0.1361</v>
      </c>
      <c r="FB192" s="0" t="n">
        <v>0.0822</v>
      </c>
      <c r="FC192" s="0" t="n">
        <v>0.0967</v>
      </c>
      <c r="FD192" s="0" t="n">
        <v>0.2841</v>
      </c>
      <c r="FE192" s="0" t="n">
        <v>0.26</v>
      </c>
      <c r="FF192" s="0" t="n">
        <v>0.2322</v>
      </c>
      <c r="FG192" s="0" t="n">
        <v>0.2975</v>
      </c>
      <c r="FH192" s="0" t="n">
        <v>0.4337</v>
      </c>
      <c r="FI192" s="0" t="n">
        <v>0.1833</v>
      </c>
      <c r="FJ192" s="0" t="n">
        <v>0.2529</v>
      </c>
      <c r="FK192" s="0" t="n">
        <v>0.0244</v>
      </c>
      <c r="FL192" s="0" t="n">
        <v>0.3053</v>
      </c>
      <c r="FM192" s="0" t="n">
        <v>0.0327</v>
      </c>
      <c r="FN192" s="0" t="n">
        <v>0</v>
      </c>
      <c r="FO192" s="0" t="n">
        <v>0</v>
      </c>
      <c r="FP192" s="0" t="n">
        <v>0.4143</v>
      </c>
    </row>
    <row r="193" customFormat="false" ht="13.8" hidden="false" customHeight="false" outlineLevel="0" collapsed="false">
      <c r="A193" s="2" t="s">
        <v>543</v>
      </c>
      <c r="B193" s="0" t="s">
        <v>176</v>
      </c>
      <c r="C193" s="0" t="n">
        <v>284</v>
      </c>
      <c r="D193" s="0" t="s">
        <v>544</v>
      </c>
      <c r="G193" s="0" t="n">
        <v>3155.4153</v>
      </c>
      <c r="H193" s="0" t="n">
        <v>169.7447</v>
      </c>
      <c r="I193" s="0" t="n">
        <v>533.2686</v>
      </c>
      <c r="J193" s="0" t="n">
        <v>0.48196</v>
      </c>
      <c r="K193" s="0" t="n">
        <v>0.0127</v>
      </c>
      <c r="L193" s="0" t="n">
        <v>190.5893</v>
      </c>
      <c r="M193" s="0" t="n">
        <v>224.1866</v>
      </c>
      <c r="N193" s="0" t="n">
        <v>464.4763</v>
      </c>
      <c r="O193" s="0" t="n">
        <v>459.8439</v>
      </c>
      <c r="P193" s="0" t="n">
        <v>346.7733</v>
      </c>
      <c r="Q193" s="0" t="n">
        <v>205.5078</v>
      </c>
      <c r="R193" s="0" t="n">
        <v>168.8394</v>
      </c>
      <c r="S193" s="0" t="n">
        <v>92.4412</v>
      </c>
      <c r="T193" s="0" t="n">
        <v>73.9428</v>
      </c>
      <c r="U193" s="0" t="n">
        <v>63.1076</v>
      </c>
      <c r="V193" s="0" t="n">
        <v>56.8856</v>
      </c>
      <c r="W193" s="0" t="n">
        <v>51.8952</v>
      </c>
      <c r="X193" s="0" t="n">
        <v>44.2011</v>
      </c>
      <c r="Y193" s="0" t="n">
        <v>36.664</v>
      </c>
      <c r="Z193" s="0" t="n">
        <v>29.9202</v>
      </c>
      <c r="AA193" s="0" t="n">
        <v>29.923</v>
      </c>
      <c r="AB193" s="0" t="n">
        <v>27.5301</v>
      </c>
      <c r="AC193" s="0" t="n">
        <v>24.4751</v>
      </c>
      <c r="AD193" s="0" t="n">
        <v>24.8542</v>
      </c>
      <c r="AE193" s="0" t="n">
        <v>24.4147</v>
      </c>
      <c r="AF193" s="0" t="n">
        <v>26.2787</v>
      </c>
      <c r="AG193" s="0" t="n">
        <v>28.0375</v>
      </c>
      <c r="AH193" s="0" t="n">
        <v>31.4956</v>
      </c>
      <c r="AI193" s="0" t="n">
        <v>29.098</v>
      </c>
      <c r="AJ193" s="0" t="n">
        <v>34.0192</v>
      </c>
      <c r="AK193" s="0" t="n">
        <v>28.3191</v>
      </c>
      <c r="AL193" s="0" t="n">
        <v>29.2173</v>
      </c>
      <c r="AM193" s="0" t="n">
        <v>25.761</v>
      </c>
      <c r="AN193" s="0" t="n">
        <v>27.4398</v>
      </c>
      <c r="AO193" s="0" t="n">
        <v>28.1135</v>
      </c>
      <c r="AP193" s="0" t="n">
        <v>25.3139</v>
      </c>
      <c r="AQ193" s="0" t="n">
        <v>20.9017</v>
      </c>
      <c r="AR193" s="0" t="n">
        <v>23.5137</v>
      </c>
      <c r="AS193" s="0" t="n">
        <v>29.3349</v>
      </c>
      <c r="AT193" s="0" t="n">
        <v>21.1988</v>
      </c>
      <c r="AU193" s="0" t="n">
        <v>17.9662</v>
      </c>
      <c r="AV193" s="0" t="n">
        <v>15.3053</v>
      </c>
      <c r="AW193" s="0" t="n">
        <v>13.2783</v>
      </c>
      <c r="AX193" s="0" t="n">
        <v>12.8924</v>
      </c>
      <c r="AY193" s="0" t="n">
        <v>12.7725</v>
      </c>
      <c r="AZ193" s="0" t="n">
        <v>7.4922</v>
      </c>
      <c r="BA193" s="0" t="n">
        <v>7.0692</v>
      </c>
      <c r="BB193" s="0" t="n">
        <v>4.9423</v>
      </c>
      <c r="BC193" s="0" t="n">
        <v>4.1278</v>
      </c>
      <c r="BD193" s="0" t="n">
        <v>1.8382</v>
      </c>
      <c r="BE193" s="0" t="n">
        <v>1.3386</v>
      </c>
      <c r="BF193" s="0" t="n">
        <v>0.2675</v>
      </c>
      <c r="BG193" s="0" t="n">
        <v>0.8296</v>
      </c>
      <c r="BH193" s="0" t="n">
        <v>0.8644</v>
      </c>
      <c r="BI193" s="0" t="n">
        <v>0.4745</v>
      </c>
      <c r="BJ193" s="0" t="n">
        <v>0.6675</v>
      </c>
      <c r="BK193" s="0" t="n">
        <v>0.5049</v>
      </c>
      <c r="BL193" s="0" t="n">
        <v>0.0598</v>
      </c>
      <c r="BM193" s="0" t="n">
        <v>0.2496</v>
      </c>
      <c r="BN193" s="0" t="n">
        <v>0.0476</v>
      </c>
      <c r="BO193" s="0" t="n">
        <v>0.2346</v>
      </c>
      <c r="BP193" s="0" t="n">
        <v>0.1787</v>
      </c>
      <c r="BQ193" s="0" t="n">
        <v>0.0137</v>
      </c>
      <c r="BR193" s="0" t="n">
        <v>0</v>
      </c>
      <c r="BS193" s="0" t="n">
        <v>0.4743</v>
      </c>
      <c r="BT193" s="0" t="n">
        <v>0</v>
      </c>
      <c r="BU193" s="0" t="n">
        <v>0</v>
      </c>
      <c r="BV193" s="0" t="n">
        <v>0.0381</v>
      </c>
      <c r="BW193" s="0" t="n">
        <v>0</v>
      </c>
      <c r="BX193" s="0" t="n">
        <v>0</v>
      </c>
      <c r="BY193" s="0" t="n">
        <v>0.6748</v>
      </c>
      <c r="BZ193" s="0" t="n">
        <v>0</v>
      </c>
      <c r="CA193" s="0" t="n">
        <v>0.0069</v>
      </c>
      <c r="CB193" s="0" t="n">
        <v>0.0064</v>
      </c>
      <c r="CC193" s="0" t="n">
        <v>0.0851</v>
      </c>
      <c r="CD193" s="0" t="n">
        <v>0.009</v>
      </c>
      <c r="CE193" s="0" t="n">
        <v>0.009</v>
      </c>
      <c r="CF193" s="0" t="n">
        <v>0.009</v>
      </c>
      <c r="CG193" s="0" t="n">
        <v>0</v>
      </c>
      <c r="CH193" s="0" t="n">
        <v>0</v>
      </c>
      <c r="CI193" s="0" t="n">
        <v>0.1983</v>
      </c>
      <c r="CJ193" s="0" t="n">
        <v>0.4232</v>
      </c>
      <c r="CK193" s="0" t="n">
        <v>0</v>
      </c>
      <c r="CL193" s="0" t="n">
        <v>0.0137</v>
      </c>
      <c r="CM193" s="0" t="n">
        <v>0.5474</v>
      </c>
      <c r="CN193" s="0" t="n">
        <v>0.0002</v>
      </c>
      <c r="CO193" s="0" t="n">
        <v>5.0588</v>
      </c>
      <c r="CP193" s="0" t="n">
        <v>8.8209</v>
      </c>
      <c r="CQ193" s="0" t="n">
        <v>25.7758</v>
      </c>
      <c r="CR193" s="0" t="n">
        <v>32.1121</v>
      </c>
      <c r="CS193" s="0" t="n">
        <v>29.7162</v>
      </c>
      <c r="CT193" s="0" t="n">
        <v>20.8491</v>
      </c>
      <c r="CU193" s="0" t="n">
        <v>19.86</v>
      </c>
      <c r="CV193" s="0" t="n">
        <v>12.3154</v>
      </c>
      <c r="CW193" s="0" t="n">
        <v>10.9968</v>
      </c>
      <c r="CX193" s="0" t="n">
        <v>10.376</v>
      </c>
      <c r="CY193" s="0" t="n">
        <v>10.297</v>
      </c>
      <c r="CZ193" s="0" t="n">
        <v>10.1701</v>
      </c>
      <c r="DA193" s="0" t="n">
        <v>9.3591</v>
      </c>
      <c r="DB193" s="0" t="n">
        <v>8.3418</v>
      </c>
      <c r="DC193" s="0" t="n">
        <v>7.2858</v>
      </c>
      <c r="DD193" s="0" t="n">
        <v>7.7632</v>
      </c>
      <c r="DE193" s="0" t="n">
        <v>7.5569</v>
      </c>
      <c r="DF193" s="0" t="n">
        <v>7.1243</v>
      </c>
      <c r="DG193" s="0" t="n">
        <v>7.6221</v>
      </c>
      <c r="DH193" s="0" t="n">
        <v>7.862</v>
      </c>
      <c r="DI193" s="0" t="n">
        <v>8.8831</v>
      </c>
      <c r="DJ193" s="0" t="n">
        <v>9.9113</v>
      </c>
      <c r="DK193" s="0" t="n">
        <v>11.632</v>
      </c>
      <c r="DL193" s="0" t="n">
        <v>11.2011</v>
      </c>
      <c r="DM193" s="0" t="n">
        <v>13.6106</v>
      </c>
      <c r="DN193" s="0" t="n">
        <v>11.7875</v>
      </c>
      <c r="DO193" s="0" t="n">
        <v>12.6229</v>
      </c>
      <c r="DP193" s="0" t="n">
        <v>11.5247</v>
      </c>
      <c r="DQ193" s="0" t="n">
        <v>12.7004</v>
      </c>
      <c r="DR193" s="0" t="n">
        <v>13.4668</v>
      </c>
      <c r="DS193" s="0" t="n">
        <v>12.5319</v>
      </c>
      <c r="DT193" s="0" t="n">
        <v>10.6713</v>
      </c>
      <c r="DU193" s="0" t="n">
        <v>12.3541</v>
      </c>
      <c r="DV193" s="0" t="n">
        <v>15.8788</v>
      </c>
      <c r="DW193" s="0" t="n">
        <v>11.8279</v>
      </c>
      <c r="DX193" s="0" t="n">
        <v>10.3048</v>
      </c>
      <c r="DY193" s="0" t="n">
        <v>9.0185</v>
      </c>
      <c r="DZ193" s="0" t="n">
        <v>8.0158</v>
      </c>
      <c r="EA193" s="0" t="n">
        <v>7.9955</v>
      </c>
      <c r="EB193" s="0" t="n">
        <v>8.127</v>
      </c>
      <c r="EC193" s="0" t="n">
        <v>4.8753</v>
      </c>
      <c r="ED193" s="0" t="n">
        <v>4.7131</v>
      </c>
      <c r="EE193" s="0" t="n">
        <v>3.3809</v>
      </c>
      <c r="EF193" s="0" t="n">
        <v>2.8933</v>
      </c>
      <c r="EG193" s="0" t="n">
        <v>1.3109</v>
      </c>
      <c r="EH193" s="0" t="n">
        <v>0.9739</v>
      </c>
      <c r="EI193" s="0" t="n">
        <v>0.2005</v>
      </c>
      <c r="EJ193" s="0" t="n">
        <v>0.6306</v>
      </c>
      <c r="EK193" s="0" t="n">
        <v>0.6702</v>
      </c>
      <c r="EL193" s="0" t="n">
        <v>0.3738</v>
      </c>
      <c r="EM193" s="0" t="n">
        <v>0.5408</v>
      </c>
      <c r="EN193" s="0" t="n">
        <v>0.4168</v>
      </c>
      <c r="EO193" s="0" t="n">
        <v>0.05</v>
      </c>
      <c r="EP193" s="0" t="n">
        <v>0.2123</v>
      </c>
      <c r="EQ193" s="0" t="n">
        <v>0.0413</v>
      </c>
      <c r="ER193" s="0" t="n">
        <v>0.2095</v>
      </c>
      <c r="ES193" s="0" t="n">
        <v>0.1614</v>
      </c>
      <c r="ET193" s="0" t="n">
        <v>0.0126</v>
      </c>
      <c r="EU193" s="0" t="n">
        <v>0</v>
      </c>
      <c r="EV193" s="0" t="n">
        <v>0.4481</v>
      </c>
      <c r="EW193" s="0" t="n">
        <v>0</v>
      </c>
      <c r="EX193" s="0" t="n">
        <v>0</v>
      </c>
      <c r="EY193" s="0" t="n">
        <v>0.0382</v>
      </c>
      <c r="EZ193" s="0" t="n">
        <v>0</v>
      </c>
      <c r="FA193" s="0" t="n">
        <v>0</v>
      </c>
      <c r="FB193" s="0" t="n">
        <v>0.7017</v>
      </c>
      <c r="FC193" s="0" t="n">
        <v>0</v>
      </c>
      <c r="FD193" s="0" t="n">
        <v>0.0074</v>
      </c>
      <c r="FE193" s="0" t="n">
        <v>0.0069</v>
      </c>
      <c r="FF193" s="0" t="n">
        <v>0.0944</v>
      </c>
      <c r="FG193" s="0" t="n">
        <v>0.0101</v>
      </c>
      <c r="FH193" s="0" t="n">
        <v>0.0102</v>
      </c>
      <c r="FI193" s="0" t="n">
        <v>0.0103</v>
      </c>
      <c r="FJ193" s="0" t="n">
        <v>0</v>
      </c>
      <c r="FK193" s="0" t="n">
        <v>0</v>
      </c>
      <c r="FL193" s="0" t="n">
        <v>0.237</v>
      </c>
      <c r="FM193" s="0" t="n">
        <v>0.5143</v>
      </c>
      <c r="FN193" s="0" t="n">
        <v>0</v>
      </c>
      <c r="FO193" s="0" t="n">
        <v>0.0171</v>
      </c>
      <c r="FP193" s="0" t="n">
        <v>0.7865</v>
      </c>
    </row>
    <row r="194" customFormat="false" ht="13.8" hidden="false" customHeight="false" outlineLevel="0" collapsed="false">
      <c r="A194" s="2" t="s">
        <v>545</v>
      </c>
      <c r="B194" s="0" t="s">
        <v>173</v>
      </c>
      <c r="C194" s="0" t="n">
        <v>68</v>
      </c>
      <c r="D194" s="0" t="s">
        <v>546</v>
      </c>
      <c r="F194" s="0" t="n">
        <v>2.6382</v>
      </c>
      <c r="G194" s="0" t="n">
        <v>2008.9071</v>
      </c>
      <c r="H194" s="0" t="n">
        <v>195.8087</v>
      </c>
      <c r="I194" s="0" t="n">
        <v>615.1511</v>
      </c>
      <c r="J194" s="0" t="n">
        <v>0.93515</v>
      </c>
      <c r="K194" s="0" t="n">
        <v>0</v>
      </c>
      <c r="L194" s="0" t="n">
        <v>5.1631</v>
      </c>
      <c r="M194" s="0" t="n">
        <v>11.2487</v>
      </c>
      <c r="N194" s="0" t="n">
        <v>91.6609</v>
      </c>
      <c r="O194" s="0" t="n">
        <v>135.4247</v>
      </c>
      <c r="P194" s="0" t="n">
        <v>120.574</v>
      </c>
      <c r="Q194" s="0" t="n">
        <v>228.2214</v>
      </c>
      <c r="R194" s="0" t="n">
        <v>122.2464</v>
      </c>
      <c r="S194" s="0" t="n">
        <v>117.3631</v>
      </c>
      <c r="T194" s="0" t="n">
        <v>92.3466</v>
      </c>
      <c r="U194" s="0" t="n">
        <v>114.3323</v>
      </c>
      <c r="V194" s="0" t="n">
        <v>49.397</v>
      </c>
      <c r="W194" s="0" t="n">
        <v>74.7387</v>
      </c>
      <c r="X194" s="0" t="n">
        <v>37.448</v>
      </c>
      <c r="Y194" s="0" t="n">
        <v>27.1922</v>
      </c>
      <c r="Z194" s="0" t="n">
        <v>36.6377</v>
      </c>
      <c r="AA194" s="0" t="n">
        <v>41.381</v>
      </c>
      <c r="AB194" s="0" t="n">
        <v>39.2188</v>
      </c>
      <c r="AC194" s="0" t="n">
        <v>24.067</v>
      </c>
      <c r="AD194" s="0" t="n">
        <v>29.775</v>
      </c>
      <c r="AE194" s="0" t="n">
        <v>21.3121</v>
      </c>
      <c r="AF194" s="0" t="n">
        <v>27.7102</v>
      </c>
      <c r="AG194" s="0" t="n">
        <v>12.2138</v>
      </c>
      <c r="AH194" s="0" t="n">
        <v>20.278</v>
      </c>
      <c r="AI194" s="0" t="n">
        <v>20.9582</v>
      </c>
      <c r="AJ194" s="0" t="n">
        <v>16.8232</v>
      </c>
      <c r="AK194" s="0" t="n">
        <v>24.5902</v>
      </c>
      <c r="AL194" s="0" t="n">
        <v>20.8302</v>
      </c>
      <c r="AM194" s="0" t="n">
        <v>23.8125</v>
      </c>
      <c r="AN194" s="0" t="n">
        <v>28.9868</v>
      </c>
      <c r="AO194" s="0" t="n">
        <v>28.5905</v>
      </c>
      <c r="AP194" s="0" t="n">
        <v>25.8537</v>
      </c>
      <c r="AQ194" s="0" t="n">
        <v>23.9898</v>
      </c>
      <c r="AR194" s="0" t="n">
        <v>27.4504</v>
      </c>
      <c r="AS194" s="0" t="n">
        <v>20.7851</v>
      </c>
      <c r="AT194" s="0" t="n">
        <v>28.1063</v>
      </c>
      <c r="AU194" s="0" t="n">
        <v>25.9634</v>
      </c>
      <c r="AV194" s="0" t="n">
        <v>16.4057</v>
      </c>
      <c r="AW194" s="0" t="n">
        <v>16.1333</v>
      </c>
      <c r="AX194" s="0" t="n">
        <v>19.4666</v>
      </c>
      <c r="AY194" s="0" t="n">
        <v>15.4228</v>
      </c>
      <c r="AZ194" s="0" t="n">
        <v>19.2685</v>
      </c>
      <c r="BA194" s="0" t="n">
        <v>10.5927</v>
      </c>
      <c r="BB194" s="0" t="n">
        <v>15.1266</v>
      </c>
      <c r="BC194" s="0" t="n">
        <v>13.7326</v>
      </c>
      <c r="BD194" s="0" t="n">
        <v>11.0167</v>
      </c>
      <c r="BE194" s="0" t="n">
        <v>8.4669</v>
      </c>
      <c r="BF194" s="0" t="n">
        <v>6.2955</v>
      </c>
      <c r="BG194" s="0" t="n">
        <v>6.4061</v>
      </c>
      <c r="BH194" s="0" t="n">
        <v>3.8728</v>
      </c>
      <c r="BI194" s="0" t="n">
        <v>5.5684</v>
      </c>
      <c r="BJ194" s="0" t="n">
        <v>5.6139</v>
      </c>
      <c r="BK194" s="0" t="n">
        <v>3.0067</v>
      </c>
      <c r="BL194" s="0" t="n">
        <v>1.7854</v>
      </c>
      <c r="BM194" s="0" t="n">
        <v>0.9332</v>
      </c>
      <c r="BN194" s="0" t="n">
        <v>1.7586</v>
      </c>
      <c r="BO194" s="0" t="n">
        <v>0.8573</v>
      </c>
      <c r="BP194" s="0" t="n">
        <v>1.4692</v>
      </c>
      <c r="BQ194" s="0" t="n">
        <v>1.0314</v>
      </c>
      <c r="BR194" s="0" t="n">
        <v>1.8328</v>
      </c>
      <c r="BS194" s="0" t="n">
        <v>1.0886</v>
      </c>
      <c r="BT194" s="0" t="n">
        <v>1.7999</v>
      </c>
      <c r="BU194" s="0" t="n">
        <v>0.867</v>
      </c>
      <c r="BV194" s="0" t="n">
        <v>1.0931</v>
      </c>
      <c r="BW194" s="0" t="n">
        <v>1.318</v>
      </c>
      <c r="BX194" s="0" t="n">
        <v>0.5389</v>
      </c>
      <c r="BY194" s="0" t="n">
        <v>0.9472</v>
      </c>
      <c r="BZ194" s="0" t="n">
        <v>1.0029</v>
      </c>
      <c r="CA194" s="0" t="n">
        <v>0.9039</v>
      </c>
      <c r="CB194" s="0" t="n">
        <v>0.8765</v>
      </c>
      <c r="CC194" s="0" t="n">
        <v>1.4381</v>
      </c>
      <c r="CD194" s="0" t="n">
        <v>0.6581</v>
      </c>
      <c r="CE194" s="0" t="n">
        <v>0.1111</v>
      </c>
      <c r="CF194" s="0" t="n">
        <v>1.6235</v>
      </c>
      <c r="CG194" s="0" t="n">
        <v>0.2454</v>
      </c>
      <c r="CH194" s="0" t="n">
        <v>0.4221</v>
      </c>
      <c r="CI194" s="0" t="n">
        <v>0.3781</v>
      </c>
      <c r="CJ194" s="0" t="n">
        <v>0.5122</v>
      </c>
      <c r="CK194" s="0" t="n">
        <v>0.8886</v>
      </c>
      <c r="CL194" s="0" t="n">
        <v>0.504</v>
      </c>
      <c r="CM194" s="0" t="n">
        <v>8.6809</v>
      </c>
      <c r="CN194" s="0" t="n">
        <v>0</v>
      </c>
      <c r="CO194" s="0" t="n">
        <v>0.141</v>
      </c>
      <c r="CP194" s="0" t="n">
        <v>0.4474</v>
      </c>
      <c r="CQ194" s="0" t="n">
        <v>5.2425</v>
      </c>
      <c r="CR194" s="0" t="n">
        <v>9.5256</v>
      </c>
      <c r="CS194" s="0" t="n">
        <v>10.0641</v>
      </c>
      <c r="CT194" s="0" t="n">
        <v>23.0579</v>
      </c>
      <c r="CU194" s="0" t="n">
        <v>14.5676</v>
      </c>
      <c r="CV194" s="0" t="n">
        <v>15.6337</v>
      </c>
      <c r="CW194" s="0" t="n">
        <v>13.5614</v>
      </c>
      <c r="CX194" s="0" t="n">
        <v>19.0077</v>
      </c>
      <c r="CY194" s="0" t="n">
        <v>8.9626</v>
      </c>
      <c r="CZ194" s="0" t="n">
        <v>14.6376</v>
      </c>
      <c r="DA194" s="0" t="n">
        <v>8.0778</v>
      </c>
      <c r="DB194" s="0" t="n">
        <v>6.1575</v>
      </c>
      <c r="DC194" s="0" t="n">
        <v>8.8856</v>
      </c>
      <c r="DD194" s="0" t="n">
        <v>10.6859</v>
      </c>
      <c r="DE194" s="0" t="n">
        <v>10.8227</v>
      </c>
      <c r="DF194" s="0" t="n">
        <v>6.9978</v>
      </c>
      <c r="DG194" s="0" t="n">
        <v>9.129</v>
      </c>
      <c r="DH194" s="0" t="n">
        <v>6.8382</v>
      </c>
      <c r="DI194" s="0" t="n">
        <v>9.3954</v>
      </c>
      <c r="DJ194" s="0" t="n">
        <v>4.3457</v>
      </c>
      <c r="DK194" s="0" t="n">
        <v>7.4353</v>
      </c>
      <c r="DL194" s="0" t="n">
        <v>8.0906</v>
      </c>
      <c r="DM194" s="0" t="n">
        <v>6.7283</v>
      </c>
      <c r="DN194" s="0" t="n">
        <v>10.2584</v>
      </c>
      <c r="DO194" s="0" t="n">
        <v>9.0085</v>
      </c>
      <c r="DP194" s="0" t="n">
        <v>10.6032</v>
      </c>
      <c r="DQ194" s="0" t="n">
        <v>13.4295</v>
      </c>
      <c r="DR194" s="0" t="n">
        <v>13.7462</v>
      </c>
      <c r="DS194" s="0" t="n">
        <v>12.7674</v>
      </c>
      <c r="DT194" s="0" t="n">
        <v>12.2262</v>
      </c>
      <c r="DU194" s="0" t="n">
        <v>14.4687</v>
      </c>
      <c r="DV194" s="0" t="n">
        <v>11.235</v>
      </c>
      <c r="DW194" s="0" t="n">
        <v>15.6051</v>
      </c>
      <c r="DX194" s="0" t="n">
        <v>14.9084</v>
      </c>
      <c r="DY194" s="0" t="n">
        <v>9.6898</v>
      </c>
      <c r="DZ194" s="0" t="n">
        <v>9.7187</v>
      </c>
      <c r="EA194" s="0" t="n">
        <v>12.0932</v>
      </c>
      <c r="EB194" s="0" t="n">
        <v>9.8383</v>
      </c>
      <c r="EC194" s="0" t="n">
        <v>12.5967</v>
      </c>
      <c r="ED194" s="0" t="n">
        <v>7.0396</v>
      </c>
      <c r="EE194" s="0" t="n">
        <v>10.3165</v>
      </c>
      <c r="EF194" s="0" t="n">
        <v>9.6216</v>
      </c>
      <c r="EG194" s="0" t="n">
        <v>7.8996</v>
      </c>
      <c r="EH194" s="0" t="n">
        <v>6.1784</v>
      </c>
      <c r="EI194" s="0" t="n">
        <v>4.6954</v>
      </c>
      <c r="EJ194" s="0" t="n">
        <v>4.876</v>
      </c>
      <c r="EK194" s="0" t="n">
        <v>3.0129</v>
      </c>
      <c r="EL194" s="0" t="n">
        <v>4.4242</v>
      </c>
      <c r="EM194" s="0" t="n">
        <v>4.5311</v>
      </c>
      <c r="EN194" s="0" t="n">
        <v>2.4721</v>
      </c>
      <c r="EO194" s="0" t="n">
        <v>1.4989</v>
      </c>
      <c r="EP194" s="0" t="n">
        <v>0.7973</v>
      </c>
      <c r="EQ194" s="0" t="n">
        <v>1.5343</v>
      </c>
      <c r="ER194" s="0" t="n">
        <v>0.7613</v>
      </c>
      <c r="ES194" s="0" t="n">
        <v>1.3279</v>
      </c>
      <c r="ET194" s="0" t="n">
        <v>0.9476</v>
      </c>
      <c r="EU194" s="0" t="n">
        <v>1.7119</v>
      </c>
      <c r="EV194" s="0" t="n">
        <v>1.0353</v>
      </c>
      <c r="EW194" s="0" t="n">
        <v>1.7384</v>
      </c>
      <c r="EX194" s="0" t="n">
        <v>0.8519</v>
      </c>
      <c r="EY194" s="0" t="n">
        <v>1.0905</v>
      </c>
      <c r="EZ194" s="0" t="n">
        <v>1.3398</v>
      </c>
      <c r="FA194" s="0" t="n">
        <v>0.5534</v>
      </c>
      <c r="FB194" s="0" t="n">
        <v>0.9872</v>
      </c>
      <c r="FC194" s="0" t="n">
        <v>1.0661</v>
      </c>
      <c r="FD194" s="0" t="n">
        <v>0.9757</v>
      </c>
      <c r="FE194" s="0" t="n">
        <v>0.9548</v>
      </c>
      <c r="FF194" s="0" t="n">
        <v>1.595</v>
      </c>
      <c r="FG194" s="0" t="n">
        <v>0.7403</v>
      </c>
      <c r="FH194" s="0" t="n">
        <v>0.1264</v>
      </c>
      <c r="FI194" s="0" t="n">
        <v>1.876</v>
      </c>
      <c r="FJ194" s="0" t="n">
        <v>0.2873</v>
      </c>
      <c r="FK194" s="0" t="n">
        <v>0.5013</v>
      </c>
      <c r="FL194" s="0" t="n">
        <v>0.4552</v>
      </c>
      <c r="FM194" s="0" t="n">
        <v>0.6232</v>
      </c>
      <c r="FN194" s="0" t="n">
        <v>1.0935</v>
      </c>
      <c r="FO194" s="0" t="n">
        <v>0.6295</v>
      </c>
      <c r="FP194" s="0" t="n">
        <v>12.8156</v>
      </c>
    </row>
    <row r="195" customFormat="false" ht="13.8" hidden="false" customHeight="false" outlineLevel="0" collapsed="false">
      <c r="A195" s="2" t="s">
        <v>547</v>
      </c>
      <c r="B195" s="0" t="s">
        <v>176</v>
      </c>
      <c r="C195" s="0" t="n">
        <v>272</v>
      </c>
      <c r="D195" s="0" t="s">
        <v>548</v>
      </c>
      <c r="G195" s="0" t="n">
        <v>2966.5783</v>
      </c>
      <c r="H195" s="0" t="n">
        <v>105.965</v>
      </c>
      <c r="I195" s="0" t="n">
        <v>332.8989</v>
      </c>
      <c r="J195" s="0" t="n">
        <v>0.374433333333333</v>
      </c>
      <c r="K195" s="0" t="n">
        <v>0.019</v>
      </c>
      <c r="L195" s="0" t="n">
        <v>324.5503</v>
      </c>
      <c r="M195" s="0" t="n">
        <v>387.8896</v>
      </c>
      <c r="N195" s="0" t="n">
        <v>609.7477</v>
      </c>
      <c r="O195" s="0" t="n">
        <v>396.9638</v>
      </c>
      <c r="P195" s="0" t="n">
        <v>290.7517</v>
      </c>
      <c r="Q195" s="0" t="n">
        <v>181.7369</v>
      </c>
      <c r="R195" s="0" t="n">
        <v>150.7171</v>
      </c>
      <c r="S195" s="0" t="n">
        <v>81.8934</v>
      </c>
      <c r="T195" s="0" t="n">
        <v>63.4073</v>
      </c>
      <c r="U195" s="0" t="n">
        <v>53.6531</v>
      </c>
      <c r="V195" s="0" t="n">
        <v>44.7534</v>
      </c>
      <c r="W195" s="0" t="n">
        <v>34.0435</v>
      </c>
      <c r="X195" s="0" t="n">
        <v>25.7097</v>
      </c>
      <c r="Y195" s="0" t="n">
        <v>25.7912</v>
      </c>
      <c r="Z195" s="0" t="n">
        <v>29.8234</v>
      </c>
      <c r="AA195" s="0" t="n">
        <v>21.8711</v>
      </c>
      <c r="AB195" s="0" t="n">
        <v>13.9972</v>
      </c>
      <c r="AC195" s="0" t="n">
        <v>13.8093</v>
      </c>
      <c r="AD195" s="0" t="n">
        <v>15.9953</v>
      </c>
      <c r="AE195" s="0" t="n">
        <v>19.4</v>
      </c>
      <c r="AF195" s="0" t="n">
        <v>19.9211</v>
      </c>
      <c r="AG195" s="0" t="n">
        <v>19.7164</v>
      </c>
      <c r="AH195" s="0" t="n">
        <v>20.1652</v>
      </c>
      <c r="AI195" s="0" t="n">
        <v>15.8512</v>
      </c>
      <c r="AJ195" s="0" t="n">
        <v>11.3002</v>
      </c>
      <c r="AK195" s="0" t="n">
        <v>14.0903</v>
      </c>
      <c r="AL195" s="0" t="n">
        <v>11.5618</v>
      </c>
      <c r="AM195" s="0" t="n">
        <v>9.0822</v>
      </c>
      <c r="AN195" s="0" t="n">
        <v>5.4773</v>
      </c>
      <c r="AO195" s="0" t="n">
        <v>7.5718</v>
      </c>
      <c r="AP195" s="0" t="n">
        <v>10.1705</v>
      </c>
      <c r="AQ195" s="0" t="n">
        <v>6.3959</v>
      </c>
      <c r="AR195" s="0" t="n">
        <v>5.9097</v>
      </c>
      <c r="AS195" s="0" t="n">
        <v>4.7508</v>
      </c>
      <c r="AT195" s="0" t="n">
        <v>5.1817</v>
      </c>
      <c r="AU195" s="0" t="n">
        <v>3.8739</v>
      </c>
      <c r="AV195" s="0" t="n">
        <v>0.7547</v>
      </c>
      <c r="AW195" s="0" t="n">
        <v>2.4509</v>
      </c>
      <c r="AX195" s="0" t="n">
        <v>1.8416</v>
      </c>
      <c r="AY195" s="0" t="n">
        <v>0.7437</v>
      </c>
      <c r="AZ195" s="0" t="n">
        <v>0.5906</v>
      </c>
      <c r="BA195" s="0" t="n">
        <v>0.5123</v>
      </c>
      <c r="BB195" s="0" t="n">
        <v>0.2102</v>
      </c>
      <c r="BC195" s="0" t="n">
        <v>0.1547</v>
      </c>
      <c r="BD195" s="0" t="n">
        <v>0.1208</v>
      </c>
      <c r="BE195" s="0" t="n">
        <v>0.0903</v>
      </c>
      <c r="BF195" s="0" t="n">
        <v>0.0676</v>
      </c>
      <c r="BG195" s="0" t="n">
        <v>0.0756</v>
      </c>
      <c r="BH195" s="0" t="n">
        <v>0.0449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  <c r="CL195" s="0" t="n">
        <v>0</v>
      </c>
      <c r="CM195" s="0" t="n">
        <v>0</v>
      </c>
      <c r="CN195" s="0" t="n">
        <v>0.0003</v>
      </c>
      <c r="CO195" s="0" t="n">
        <v>8.5956</v>
      </c>
      <c r="CP195" s="0" t="n">
        <v>15.3951</v>
      </c>
      <c r="CQ195" s="0" t="n">
        <v>33.4195</v>
      </c>
      <c r="CR195" s="0" t="n">
        <v>27.5821</v>
      </c>
      <c r="CS195" s="0" t="n">
        <v>24.9168</v>
      </c>
      <c r="CT195" s="0" t="n">
        <v>18.4809</v>
      </c>
      <c r="CU195" s="0" t="n">
        <v>17.722</v>
      </c>
      <c r="CV195" s="0" t="n">
        <v>10.9429</v>
      </c>
      <c r="CW195" s="0" t="n">
        <v>9.4202</v>
      </c>
      <c r="CX195" s="0" t="n">
        <v>8.8322</v>
      </c>
      <c r="CY195" s="0" t="n">
        <v>8.0771</v>
      </c>
      <c r="CZ195" s="0" t="n">
        <v>6.6946</v>
      </c>
      <c r="DA195" s="0" t="n">
        <v>5.4349</v>
      </c>
      <c r="DB195" s="0" t="n">
        <v>5.8758</v>
      </c>
      <c r="DC195" s="0" t="n">
        <v>7.2846</v>
      </c>
      <c r="DD195" s="0" t="n">
        <v>5.6425</v>
      </c>
      <c r="DE195" s="0" t="n">
        <v>3.8429</v>
      </c>
      <c r="DF195" s="0" t="n">
        <v>4.0121</v>
      </c>
      <c r="DG195" s="0" t="n">
        <v>4.8998</v>
      </c>
      <c r="DH195" s="0" t="n">
        <v>6.2574</v>
      </c>
      <c r="DI195" s="0" t="n">
        <v>6.7352</v>
      </c>
      <c r="DJ195" s="0" t="n">
        <v>6.9623</v>
      </c>
      <c r="DK195" s="0" t="n">
        <v>7.4421</v>
      </c>
      <c r="DL195" s="0" t="n">
        <v>6.1018</v>
      </c>
      <c r="DM195" s="0" t="n">
        <v>4.5211</v>
      </c>
      <c r="DN195" s="0" t="n">
        <v>5.8567</v>
      </c>
      <c r="DO195" s="0" t="n">
        <v>5.0063</v>
      </c>
      <c r="DP195" s="0" t="n">
        <v>4.0693</v>
      </c>
      <c r="DQ195" s="0" t="n">
        <v>2.5376</v>
      </c>
      <c r="DR195" s="0" t="n">
        <v>3.633</v>
      </c>
      <c r="DS195" s="0" t="n">
        <v>5.034</v>
      </c>
      <c r="DT195" s="0" t="n">
        <v>3.2601</v>
      </c>
      <c r="DU195" s="0" t="n">
        <v>3.1144</v>
      </c>
      <c r="DV195" s="0" t="n">
        <v>2.5703</v>
      </c>
      <c r="DW195" s="0" t="n">
        <v>2.89</v>
      </c>
      <c r="DX195" s="0" t="n">
        <v>2.2286</v>
      </c>
      <c r="DY195" s="0" t="n">
        <v>0.4458</v>
      </c>
      <c r="DZ195" s="0" t="n">
        <v>1.4844</v>
      </c>
      <c r="EA195" s="0" t="n">
        <v>1.1414</v>
      </c>
      <c r="EB195" s="0" t="n">
        <v>0.4725</v>
      </c>
      <c r="EC195" s="0" t="n">
        <v>0.3835</v>
      </c>
      <c r="ED195" s="0" t="n">
        <v>0.341</v>
      </c>
      <c r="EE195" s="0" t="n">
        <v>0.1432</v>
      </c>
      <c r="EF195" s="0" t="n">
        <v>0.1082</v>
      </c>
      <c r="EG195" s="0" t="n">
        <v>0.0863</v>
      </c>
      <c r="EH195" s="0" t="n">
        <v>0.066</v>
      </c>
      <c r="EI195" s="0" t="n">
        <v>0.0506</v>
      </c>
      <c r="EJ195" s="0" t="n">
        <v>0.0574</v>
      </c>
      <c r="EK195" s="0" t="n">
        <v>0.0348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0</v>
      </c>
      <c r="EW195" s="0" t="n">
        <v>0</v>
      </c>
      <c r="EX195" s="0" t="n">
        <v>0</v>
      </c>
      <c r="EY195" s="0" t="n">
        <v>0</v>
      </c>
      <c r="EZ195" s="0" t="n">
        <v>0</v>
      </c>
      <c r="FA195" s="0" t="n">
        <v>0</v>
      </c>
      <c r="FB195" s="0" t="n">
        <v>0</v>
      </c>
      <c r="FC195" s="0" t="n">
        <v>0</v>
      </c>
      <c r="FD195" s="0" t="n">
        <v>0</v>
      </c>
      <c r="FE195" s="0" t="n">
        <v>0</v>
      </c>
      <c r="FF195" s="0" t="n">
        <v>0</v>
      </c>
      <c r="FG195" s="0" t="n">
        <v>0</v>
      </c>
      <c r="FH195" s="0" t="n">
        <v>0</v>
      </c>
      <c r="FI195" s="0" t="n">
        <v>0</v>
      </c>
      <c r="FJ195" s="0" t="n">
        <v>0</v>
      </c>
      <c r="FK195" s="0" t="n">
        <v>0</v>
      </c>
      <c r="FL195" s="0" t="n">
        <v>0</v>
      </c>
      <c r="FM195" s="0" t="n">
        <v>0</v>
      </c>
      <c r="FN195" s="0" t="n">
        <v>0</v>
      </c>
      <c r="FO195" s="0" t="n">
        <v>0</v>
      </c>
      <c r="FP195" s="0" t="n">
        <v>0</v>
      </c>
    </row>
    <row r="196" customFormat="false" ht="13.8" hidden="false" customHeight="false" outlineLevel="0" collapsed="false">
      <c r="A196" s="2" t="s">
        <v>549</v>
      </c>
      <c r="B196" s="0" t="s">
        <v>173</v>
      </c>
      <c r="C196" s="0" t="n">
        <v>130</v>
      </c>
      <c r="D196" s="0" t="s">
        <v>550</v>
      </c>
      <c r="E196" s="0" t="e">
        <f aca="false">VLOOKUP(A196,[1]RHIZOMES!$A$1:$B$1048576,2,0)</f>
        <v>#N/A</v>
      </c>
      <c r="F196" s="0" t="n">
        <v>4.6274</v>
      </c>
      <c r="G196" s="0" t="n">
        <v>2314.3193</v>
      </c>
      <c r="H196" s="0" t="n">
        <v>272.1988</v>
      </c>
      <c r="I196" s="0" t="n">
        <v>855.1378</v>
      </c>
      <c r="J196" s="0" t="n">
        <v>1.1679</v>
      </c>
      <c r="K196" s="0" t="n">
        <v>0</v>
      </c>
      <c r="L196" s="0" t="n">
        <v>5.7579</v>
      </c>
      <c r="M196" s="0" t="n">
        <v>12.123</v>
      </c>
      <c r="N196" s="0" t="n">
        <v>84.2437</v>
      </c>
      <c r="O196" s="0" t="n">
        <v>132.9239</v>
      </c>
      <c r="P196" s="0" t="n">
        <v>125.9123</v>
      </c>
      <c r="Q196" s="0" t="n">
        <v>200.1585</v>
      </c>
      <c r="R196" s="0" t="n">
        <v>90.3669</v>
      </c>
      <c r="S196" s="0" t="n">
        <v>80.1955</v>
      </c>
      <c r="T196" s="0" t="n">
        <v>75.7233</v>
      </c>
      <c r="U196" s="0" t="n">
        <v>99.8407</v>
      </c>
      <c r="V196" s="0" t="n">
        <v>44.2323</v>
      </c>
      <c r="W196" s="0" t="n">
        <v>79.6377</v>
      </c>
      <c r="X196" s="0" t="n">
        <v>53.3851</v>
      </c>
      <c r="Y196" s="0" t="n">
        <v>34.1652</v>
      </c>
      <c r="Z196" s="0" t="n">
        <v>44.32</v>
      </c>
      <c r="AA196" s="0" t="n">
        <v>42.5315</v>
      </c>
      <c r="AB196" s="0" t="n">
        <v>42.1299</v>
      </c>
      <c r="AC196" s="0" t="n">
        <v>30.7195</v>
      </c>
      <c r="AD196" s="0" t="n">
        <v>39.1302</v>
      </c>
      <c r="AE196" s="0" t="n">
        <v>32.8459</v>
      </c>
      <c r="AF196" s="0" t="n">
        <v>53.099</v>
      </c>
      <c r="AG196" s="0" t="n">
        <v>22.575</v>
      </c>
      <c r="AH196" s="0" t="n">
        <v>40.565</v>
      </c>
      <c r="AI196" s="0" t="n">
        <v>46.9056</v>
      </c>
      <c r="AJ196" s="0" t="n">
        <v>25.6556</v>
      </c>
      <c r="AK196" s="0" t="n">
        <v>41.8518</v>
      </c>
      <c r="AL196" s="0" t="n">
        <v>26.9381</v>
      </c>
      <c r="AM196" s="0" t="n">
        <v>35.9794</v>
      </c>
      <c r="AN196" s="0" t="n">
        <v>39.8227</v>
      </c>
      <c r="AO196" s="0" t="n">
        <v>37.3429</v>
      </c>
      <c r="AP196" s="0" t="n">
        <v>37.0006</v>
      </c>
      <c r="AQ196" s="0" t="n">
        <v>39.8782</v>
      </c>
      <c r="AR196" s="0" t="n">
        <v>44.2701</v>
      </c>
      <c r="AS196" s="0" t="n">
        <v>29.8025</v>
      </c>
      <c r="AT196" s="0" t="n">
        <v>49.8345</v>
      </c>
      <c r="AU196" s="0" t="n">
        <v>42.4659</v>
      </c>
      <c r="AV196" s="0" t="n">
        <v>22.4035</v>
      </c>
      <c r="AW196" s="0" t="n">
        <v>28.8244</v>
      </c>
      <c r="AX196" s="0" t="n">
        <v>39.136</v>
      </c>
      <c r="AY196" s="0" t="n">
        <v>26.8356</v>
      </c>
      <c r="AZ196" s="0" t="n">
        <v>29.0699</v>
      </c>
      <c r="BA196" s="0" t="n">
        <v>14.859</v>
      </c>
      <c r="BB196" s="0" t="n">
        <v>26.3982</v>
      </c>
      <c r="BC196" s="0" t="n">
        <v>20.505</v>
      </c>
      <c r="BD196" s="0" t="n">
        <v>11.8668</v>
      </c>
      <c r="BE196" s="0" t="n">
        <v>12.0987</v>
      </c>
      <c r="BF196" s="0" t="n">
        <v>9.6617</v>
      </c>
      <c r="BG196" s="0" t="n">
        <v>6.8477</v>
      </c>
      <c r="BH196" s="0" t="n">
        <v>9.6304</v>
      </c>
      <c r="BI196" s="0" t="n">
        <v>10.1548</v>
      </c>
      <c r="BJ196" s="0" t="n">
        <v>5.6589</v>
      </c>
      <c r="BK196" s="0" t="n">
        <v>10.6455</v>
      </c>
      <c r="BL196" s="0" t="n">
        <v>3.7025</v>
      </c>
      <c r="BM196" s="0" t="n">
        <v>5.4537</v>
      </c>
      <c r="BN196" s="0" t="n">
        <v>3.6516</v>
      </c>
      <c r="BO196" s="0" t="n">
        <v>3.0721</v>
      </c>
      <c r="BP196" s="0" t="n">
        <v>3.8084</v>
      </c>
      <c r="BQ196" s="0" t="n">
        <v>2.4302</v>
      </c>
      <c r="BR196" s="0" t="n">
        <v>1.6822</v>
      </c>
      <c r="BS196" s="0" t="n">
        <v>2.1781</v>
      </c>
      <c r="BT196" s="0" t="n">
        <v>3.3103</v>
      </c>
      <c r="BU196" s="0" t="n">
        <v>2.3581</v>
      </c>
      <c r="BV196" s="0" t="n">
        <v>1.8064</v>
      </c>
      <c r="BW196" s="0" t="n">
        <v>1.8284</v>
      </c>
      <c r="BX196" s="0" t="n">
        <v>0.6642</v>
      </c>
      <c r="BY196" s="0" t="n">
        <v>1.7455</v>
      </c>
      <c r="BZ196" s="0" t="n">
        <v>1.17</v>
      </c>
      <c r="CA196" s="0" t="n">
        <v>1.5282</v>
      </c>
      <c r="CB196" s="0" t="n">
        <v>1.3596</v>
      </c>
      <c r="CC196" s="0" t="n">
        <v>1.5645</v>
      </c>
      <c r="CD196" s="0" t="n">
        <v>1.3091</v>
      </c>
      <c r="CE196" s="0" t="n">
        <v>1.1601</v>
      </c>
      <c r="CF196" s="0" t="n">
        <v>0.6673</v>
      </c>
      <c r="CG196" s="0" t="n">
        <v>1.0549</v>
      </c>
      <c r="CH196" s="0" t="n">
        <v>1.1512</v>
      </c>
      <c r="CI196" s="0" t="n">
        <v>1.3449</v>
      </c>
      <c r="CJ196" s="0" t="n">
        <v>1.4919</v>
      </c>
      <c r="CK196" s="0" t="n">
        <v>0.4954</v>
      </c>
      <c r="CL196" s="0" t="n">
        <v>0.5684</v>
      </c>
      <c r="CM196" s="0" t="n">
        <v>12.7115</v>
      </c>
      <c r="CN196" s="0" t="n">
        <v>0</v>
      </c>
      <c r="CO196" s="0" t="n">
        <v>0.1565</v>
      </c>
      <c r="CP196" s="0" t="n">
        <v>0.4894</v>
      </c>
      <c r="CQ196" s="0" t="n">
        <v>4.7951</v>
      </c>
      <c r="CR196" s="0" t="n">
        <v>9.4199</v>
      </c>
      <c r="CS196" s="0" t="n">
        <v>10.5192</v>
      </c>
      <c r="CT196" s="0" t="n">
        <v>20.1957</v>
      </c>
      <c r="CU196" s="0" t="n">
        <v>10.7573</v>
      </c>
      <c r="CV196" s="0" t="n">
        <v>10.6908</v>
      </c>
      <c r="CW196" s="0" t="n">
        <v>11.1249</v>
      </c>
      <c r="CX196" s="0" t="n">
        <v>16.5856</v>
      </c>
      <c r="CY196" s="0" t="n">
        <v>8.0327</v>
      </c>
      <c r="CZ196" s="0" t="n">
        <v>15.6002</v>
      </c>
      <c r="DA196" s="0" t="n">
        <v>11.5193</v>
      </c>
      <c r="DB196" s="0" t="n">
        <v>7.7238</v>
      </c>
      <c r="DC196" s="0" t="n">
        <v>10.7347</v>
      </c>
      <c r="DD196" s="0" t="n">
        <v>10.9957</v>
      </c>
      <c r="DE196" s="0" t="n">
        <v>11.6429</v>
      </c>
      <c r="DF196" s="0" t="n">
        <v>8.9322</v>
      </c>
      <c r="DG196" s="0" t="n">
        <v>12.0063</v>
      </c>
      <c r="DH196" s="0" t="n">
        <v>10.5233</v>
      </c>
      <c r="DI196" s="0" t="n">
        <v>18.0173</v>
      </c>
      <c r="DJ196" s="0" t="n">
        <v>8.0452</v>
      </c>
      <c r="DK196" s="0" t="n">
        <v>14.9021</v>
      </c>
      <c r="DL196" s="0" t="n">
        <v>18.1398</v>
      </c>
      <c r="DM196" s="0" t="n">
        <v>10.2613</v>
      </c>
      <c r="DN196" s="0" t="n">
        <v>17.4471</v>
      </c>
      <c r="DO196" s="0" t="n">
        <v>11.6666</v>
      </c>
      <c r="DP196" s="0" t="n">
        <v>16.0239</v>
      </c>
      <c r="DQ196" s="0" t="n">
        <v>18.4589</v>
      </c>
      <c r="DR196" s="0" t="n">
        <v>17.9931</v>
      </c>
      <c r="DS196" s="0" t="n">
        <v>18.2196</v>
      </c>
      <c r="DT196" s="0" t="n">
        <v>20.3123</v>
      </c>
      <c r="DU196" s="0" t="n">
        <v>23.3253</v>
      </c>
      <c r="DV196" s="0" t="n">
        <v>16.0993</v>
      </c>
      <c r="DW196" s="0" t="n">
        <v>27.6702</v>
      </c>
      <c r="DX196" s="0" t="n">
        <v>24.3841</v>
      </c>
      <c r="DY196" s="0" t="n">
        <v>13.2321</v>
      </c>
      <c r="DZ196" s="0" t="n">
        <v>17.3558</v>
      </c>
      <c r="EA196" s="0" t="n">
        <v>24.3098</v>
      </c>
      <c r="EB196" s="0" t="n">
        <v>17.1061</v>
      </c>
      <c r="EC196" s="0" t="n">
        <v>18.9955</v>
      </c>
      <c r="ED196" s="0" t="n">
        <v>9.8774</v>
      </c>
      <c r="EE196" s="0" t="n">
        <v>17.9856</v>
      </c>
      <c r="EF196" s="0" t="n">
        <v>14.3829</v>
      </c>
      <c r="EG196" s="0" t="n">
        <v>8.495</v>
      </c>
      <c r="EH196" s="0" t="n">
        <v>8.8272</v>
      </c>
      <c r="EI196" s="0" t="n">
        <v>7.2013</v>
      </c>
      <c r="EJ196" s="0" t="n">
        <v>5.2058</v>
      </c>
      <c r="EK196" s="0" t="n">
        <v>7.488</v>
      </c>
      <c r="EL196" s="0" t="n">
        <v>8.0531</v>
      </c>
      <c r="EM196" s="0" t="n">
        <v>4.5736</v>
      </c>
      <c r="EN196" s="0" t="n">
        <v>8.7906</v>
      </c>
      <c r="EO196" s="0" t="n">
        <v>3.1151</v>
      </c>
      <c r="EP196" s="0" t="n">
        <v>4.6633</v>
      </c>
      <c r="EQ196" s="0" t="n">
        <v>3.1845</v>
      </c>
      <c r="ER196" s="0" t="n">
        <v>2.7298</v>
      </c>
      <c r="ES196" s="0" t="n">
        <v>3.4316</v>
      </c>
      <c r="ET196" s="0" t="n">
        <v>2.2258</v>
      </c>
      <c r="EU196" s="0" t="n">
        <v>1.575</v>
      </c>
      <c r="EV196" s="0" t="n">
        <v>2.0705</v>
      </c>
      <c r="EW196" s="0" t="n">
        <v>3.1951</v>
      </c>
      <c r="EX196" s="0" t="n">
        <v>2.3097</v>
      </c>
      <c r="EY196" s="0" t="n">
        <v>1.7999</v>
      </c>
      <c r="EZ196" s="0" t="n">
        <v>1.858</v>
      </c>
      <c r="FA196" s="0" t="n">
        <v>0.6821</v>
      </c>
      <c r="FB196" s="0" t="n">
        <v>1.82</v>
      </c>
      <c r="FC196" s="0" t="n">
        <v>1.2404</v>
      </c>
      <c r="FD196" s="0" t="n">
        <v>1.6452</v>
      </c>
      <c r="FE196" s="0" t="n">
        <v>1.482</v>
      </c>
      <c r="FF196" s="0" t="n">
        <v>1.7316</v>
      </c>
      <c r="FG196" s="0" t="n">
        <v>1.4725</v>
      </c>
      <c r="FH196" s="0" t="n">
        <v>1.319</v>
      </c>
      <c r="FI196" s="0" t="n">
        <v>0.7693</v>
      </c>
      <c r="FJ196" s="0" t="n">
        <v>1.2337</v>
      </c>
      <c r="FK196" s="0" t="n">
        <v>1.3651</v>
      </c>
      <c r="FL196" s="0" t="n">
        <v>1.6118</v>
      </c>
      <c r="FM196" s="0" t="n">
        <v>1.8163</v>
      </c>
      <c r="FN196" s="0" t="n">
        <v>0.6098</v>
      </c>
      <c r="FO196" s="0" t="n">
        <v>0.7092</v>
      </c>
      <c r="FP196" s="0" t="n">
        <v>18.2302</v>
      </c>
    </row>
    <row r="197" customFormat="false" ht="13.8" hidden="false" customHeight="false" outlineLevel="0" collapsed="false">
      <c r="A197" s="2" t="s">
        <v>551</v>
      </c>
      <c r="B197" s="0" t="s">
        <v>176</v>
      </c>
      <c r="C197" s="0" t="n">
        <v>292</v>
      </c>
      <c r="D197" s="0" t="s">
        <v>552</v>
      </c>
      <c r="G197" s="0" t="n">
        <v>512.1194</v>
      </c>
      <c r="H197" s="0" t="n">
        <v>33.2971</v>
      </c>
      <c r="I197" s="0" t="n">
        <v>104.6058</v>
      </c>
      <c r="J197" s="0" t="n">
        <v>0.6502</v>
      </c>
      <c r="K197" s="0" t="n">
        <v>0</v>
      </c>
      <c r="L197" s="0" t="n">
        <v>41.3356</v>
      </c>
      <c r="M197" s="0" t="n">
        <v>40.0364</v>
      </c>
      <c r="N197" s="0" t="n">
        <v>53.7581</v>
      </c>
      <c r="O197" s="0" t="n">
        <v>46.5011</v>
      </c>
      <c r="P197" s="0" t="n">
        <v>28.0473</v>
      </c>
      <c r="Q197" s="0" t="n">
        <v>21.2014</v>
      </c>
      <c r="R197" s="0" t="n">
        <v>22.595</v>
      </c>
      <c r="S197" s="0" t="n">
        <v>14.3871</v>
      </c>
      <c r="T197" s="0" t="n">
        <v>14.5019</v>
      </c>
      <c r="U197" s="0" t="n">
        <v>15.0648</v>
      </c>
      <c r="V197" s="0" t="n">
        <v>15.11</v>
      </c>
      <c r="W197" s="0" t="n">
        <v>14.1429</v>
      </c>
      <c r="X197" s="0" t="n">
        <v>14.4596</v>
      </c>
      <c r="Y197" s="0" t="n">
        <v>11.8528</v>
      </c>
      <c r="Z197" s="0" t="n">
        <v>8.8229</v>
      </c>
      <c r="AA197" s="0" t="n">
        <v>6.9602</v>
      </c>
      <c r="AB197" s="0" t="n">
        <v>5.3652</v>
      </c>
      <c r="AC197" s="0" t="n">
        <v>4.6792</v>
      </c>
      <c r="AD197" s="0" t="n">
        <v>7.2104</v>
      </c>
      <c r="AE197" s="0" t="n">
        <v>8.999</v>
      </c>
      <c r="AF197" s="0" t="n">
        <v>8.356</v>
      </c>
      <c r="AG197" s="0" t="n">
        <v>7.1063</v>
      </c>
      <c r="AH197" s="0" t="n">
        <v>8.328</v>
      </c>
      <c r="AI197" s="0" t="n">
        <v>7.3082</v>
      </c>
      <c r="AJ197" s="0" t="n">
        <v>8.247</v>
      </c>
      <c r="AK197" s="0" t="n">
        <v>11.444</v>
      </c>
      <c r="AL197" s="0" t="n">
        <v>6.9929</v>
      </c>
      <c r="AM197" s="0" t="n">
        <v>5.2237</v>
      </c>
      <c r="AN197" s="0" t="n">
        <v>5.1486</v>
      </c>
      <c r="AO197" s="0" t="n">
        <v>6.0209</v>
      </c>
      <c r="AP197" s="0" t="n">
        <v>4.506</v>
      </c>
      <c r="AQ197" s="0" t="n">
        <v>5.4134</v>
      </c>
      <c r="AR197" s="0" t="n">
        <v>4.769</v>
      </c>
      <c r="AS197" s="0" t="n">
        <v>5.6503</v>
      </c>
      <c r="AT197" s="0" t="n">
        <v>5.6179</v>
      </c>
      <c r="AU197" s="0" t="n">
        <v>3.6658</v>
      </c>
      <c r="AV197" s="0" t="n">
        <v>1.051</v>
      </c>
      <c r="AW197" s="0" t="n">
        <v>0.2581</v>
      </c>
      <c r="AX197" s="0" t="n">
        <v>0.863</v>
      </c>
      <c r="AY197" s="0" t="n">
        <v>1.0383</v>
      </c>
      <c r="AZ197" s="0" t="n">
        <v>0.4419</v>
      </c>
      <c r="BA197" s="0" t="n">
        <v>1.4507</v>
      </c>
      <c r="BB197" s="0" t="n">
        <v>1.7543</v>
      </c>
      <c r="BC197" s="0" t="n">
        <v>0.7492</v>
      </c>
      <c r="BD197" s="0" t="n">
        <v>0.7359</v>
      </c>
      <c r="BE197" s="0" t="n">
        <v>0.8112</v>
      </c>
      <c r="BF197" s="0" t="n">
        <v>0.6493</v>
      </c>
      <c r="BG197" s="0" t="n">
        <v>1.2176</v>
      </c>
      <c r="BH197" s="0" t="n">
        <v>0.7112</v>
      </c>
      <c r="BI197" s="0" t="n">
        <v>0.3629</v>
      </c>
      <c r="BJ197" s="0" t="n">
        <v>0.0523</v>
      </c>
      <c r="BK197" s="0" t="n">
        <v>0.0069</v>
      </c>
      <c r="BL197" s="0" t="n">
        <v>0.009</v>
      </c>
      <c r="BM197" s="0" t="n">
        <v>0.009</v>
      </c>
      <c r="BN197" s="0" t="n">
        <v>0</v>
      </c>
      <c r="BO197" s="0" t="n">
        <v>0</v>
      </c>
      <c r="BP197" s="0" t="n">
        <v>0.4709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0</v>
      </c>
      <c r="CN197" s="0" t="n">
        <v>0</v>
      </c>
      <c r="CO197" s="0" t="n">
        <v>1.0957</v>
      </c>
      <c r="CP197" s="0" t="n">
        <v>1.548</v>
      </c>
      <c r="CQ197" s="0" t="n">
        <v>2.9484</v>
      </c>
      <c r="CR197" s="0" t="n">
        <v>3.2447</v>
      </c>
      <c r="CS197" s="0" t="n">
        <v>2.3995</v>
      </c>
      <c r="CT197" s="0" t="n">
        <v>2.1684</v>
      </c>
      <c r="CU197" s="0" t="n">
        <v>2.6718</v>
      </c>
      <c r="CV197" s="0" t="n">
        <v>1.9219</v>
      </c>
      <c r="CW197" s="0" t="n">
        <v>2.157</v>
      </c>
      <c r="CX197" s="0" t="n">
        <v>2.479</v>
      </c>
      <c r="CY197" s="0" t="n">
        <v>2.7403</v>
      </c>
      <c r="CZ197" s="0" t="n">
        <v>2.7715</v>
      </c>
      <c r="DA197" s="0" t="n">
        <v>3.0592</v>
      </c>
      <c r="DB197" s="0" t="n">
        <v>2.6878</v>
      </c>
      <c r="DC197" s="0" t="n">
        <v>2.1537</v>
      </c>
      <c r="DD197" s="0" t="n">
        <v>1.8018</v>
      </c>
      <c r="DE197" s="0" t="n">
        <v>1.4699</v>
      </c>
      <c r="DF197" s="0" t="n">
        <v>1.3612</v>
      </c>
      <c r="DG197" s="0" t="n">
        <v>2.2132</v>
      </c>
      <c r="DH197" s="0" t="n">
        <v>2.8941</v>
      </c>
      <c r="DI197" s="0" t="n">
        <v>2.8295</v>
      </c>
      <c r="DJ197" s="0" t="n">
        <v>2.5052</v>
      </c>
      <c r="DK197" s="0" t="n">
        <v>3.0699</v>
      </c>
      <c r="DL197" s="0" t="n">
        <v>2.8117</v>
      </c>
      <c r="DM197" s="0" t="n">
        <v>3.3019</v>
      </c>
      <c r="DN197" s="0" t="n">
        <v>4.7608</v>
      </c>
      <c r="DO197" s="0" t="n">
        <v>3.0212</v>
      </c>
      <c r="DP197" s="0" t="n">
        <v>2.3364</v>
      </c>
      <c r="DQ197" s="0" t="n">
        <v>2.3813</v>
      </c>
      <c r="DR197" s="0" t="n">
        <v>2.8858</v>
      </c>
      <c r="DS197" s="0" t="n">
        <v>2.23</v>
      </c>
      <c r="DT197" s="0" t="n">
        <v>2.7676</v>
      </c>
      <c r="DU197" s="0" t="n">
        <v>2.5117</v>
      </c>
      <c r="DV197" s="0" t="n">
        <v>3.0571</v>
      </c>
      <c r="DW197" s="0" t="n">
        <v>3.1343</v>
      </c>
      <c r="DX197" s="0" t="n">
        <v>2.0989</v>
      </c>
      <c r="DY197" s="0" t="n">
        <v>0.6174</v>
      </c>
      <c r="DZ197" s="0" t="n">
        <v>0.1558</v>
      </c>
      <c r="EA197" s="0" t="n">
        <v>0.5374</v>
      </c>
      <c r="EB197" s="0" t="n">
        <v>0.6572</v>
      </c>
      <c r="EC197" s="0" t="n">
        <v>0.2866</v>
      </c>
      <c r="ED197" s="0" t="n">
        <v>0.9677</v>
      </c>
      <c r="EE197" s="0" t="n">
        <v>1.1957</v>
      </c>
      <c r="EF197" s="0" t="n">
        <v>0.5222</v>
      </c>
      <c r="EG197" s="0" t="n">
        <v>0.5268</v>
      </c>
      <c r="EH197" s="0" t="n">
        <v>0.593</v>
      </c>
      <c r="EI197" s="0" t="n">
        <v>0.4869</v>
      </c>
      <c r="EJ197" s="0" t="n">
        <v>0.9294</v>
      </c>
      <c r="EK197" s="0" t="n">
        <v>0.5498</v>
      </c>
      <c r="EL197" s="0" t="n">
        <v>0.2867</v>
      </c>
      <c r="EM197" s="0" t="n">
        <v>0.0421</v>
      </c>
      <c r="EN197" s="0" t="n">
        <v>0.0057</v>
      </c>
      <c r="EO197" s="0" t="n">
        <v>0.0076</v>
      </c>
      <c r="EP197" s="0" t="n">
        <v>0.0077</v>
      </c>
      <c r="EQ197" s="0" t="n">
        <v>0</v>
      </c>
      <c r="ER197" s="0" t="n">
        <v>0</v>
      </c>
      <c r="ES197" s="0" t="n">
        <v>0.4232</v>
      </c>
      <c r="ET197" s="0" t="n">
        <v>0</v>
      </c>
      <c r="EU197" s="0" t="n">
        <v>0</v>
      </c>
      <c r="EV197" s="0" t="n">
        <v>0</v>
      </c>
      <c r="EW197" s="0" t="n">
        <v>0</v>
      </c>
      <c r="EX197" s="0" t="n">
        <v>0</v>
      </c>
      <c r="EY197" s="0" t="n">
        <v>0</v>
      </c>
      <c r="EZ197" s="0" t="n">
        <v>0</v>
      </c>
      <c r="FA197" s="0" t="n">
        <v>0</v>
      </c>
      <c r="FB197" s="0" t="n">
        <v>0</v>
      </c>
      <c r="FC197" s="0" t="n">
        <v>0</v>
      </c>
      <c r="FD197" s="0" t="n">
        <v>0</v>
      </c>
      <c r="FE197" s="0" t="n">
        <v>0</v>
      </c>
      <c r="FF197" s="0" t="n">
        <v>0</v>
      </c>
      <c r="FG197" s="0" t="n">
        <v>0</v>
      </c>
      <c r="FH197" s="0" t="n">
        <v>0</v>
      </c>
      <c r="FI197" s="0" t="n">
        <v>0</v>
      </c>
      <c r="FJ197" s="0" t="n">
        <v>0</v>
      </c>
      <c r="FK197" s="0" t="n">
        <v>0</v>
      </c>
      <c r="FL197" s="0" t="n">
        <v>0</v>
      </c>
      <c r="FM197" s="0" t="n">
        <v>0</v>
      </c>
      <c r="FN197" s="0" t="n">
        <v>0</v>
      </c>
      <c r="FO197" s="0" t="n">
        <v>0</v>
      </c>
      <c r="FP197" s="0" t="n">
        <v>0</v>
      </c>
    </row>
    <row r="198" customFormat="false" ht="13.8" hidden="false" customHeight="false" outlineLevel="0" collapsed="false">
      <c r="A198" s="2" t="s">
        <v>553</v>
      </c>
      <c r="B198" s="0" t="s">
        <v>173</v>
      </c>
      <c r="C198" s="0" t="n">
        <v>167</v>
      </c>
      <c r="D198" s="0" t="s">
        <v>554</v>
      </c>
      <c r="G198" s="0" t="n">
        <v>4980.4968</v>
      </c>
      <c r="H198" s="0" t="n">
        <v>231.9297</v>
      </c>
      <c r="I198" s="0" t="n">
        <v>728.6287</v>
      </c>
      <c r="J198" s="0" t="n">
        <v>0.41365</v>
      </c>
      <c r="K198" s="0" t="n">
        <v>0.0754</v>
      </c>
      <c r="L198" s="0" t="n">
        <v>577.721</v>
      </c>
      <c r="M198" s="0" t="n">
        <v>545.7175</v>
      </c>
      <c r="N198" s="0" t="n">
        <v>833.1909</v>
      </c>
      <c r="O198" s="0" t="n">
        <v>608.4849</v>
      </c>
      <c r="P198" s="0" t="n">
        <v>396.3101</v>
      </c>
      <c r="Q198" s="0" t="n">
        <v>259.2207</v>
      </c>
      <c r="R198" s="0" t="n">
        <v>237.558</v>
      </c>
      <c r="S198" s="0" t="n">
        <v>133.5804</v>
      </c>
      <c r="T198" s="0" t="n">
        <v>105.485</v>
      </c>
      <c r="U198" s="0" t="n">
        <v>94.631</v>
      </c>
      <c r="V198" s="0" t="n">
        <v>93.6252</v>
      </c>
      <c r="W198" s="0" t="n">
        <v>67.4194</v>
      </c>
      <c r="X198" s="0" t="n">
        <v>71.5568</v>
      </c>
      <c r="Y198" s="0" t="n">
        <v>72.7284</v>
      </c>
      <c r="Z198" s="0" t="n">
        <v>60.4532</v>
      </c>
      <c r="AA198" s="0" t="n">
        <v>47.5783</v>
      </c>
      <c r="AB198" s="0" t="n">
        <v>39.1891</v>
      </c>
      <c r="AC198" s="0" t="n">
        <v>38.6251</v>
      </c>
      <c r="AD198" s="0" t="n">
        <v>40.2794</v>
      </c>
      <c r="AE198" s="0" t="n">
        <v>45.756</v>
      </c>
      <c r="AF198" s="0" t="n">
        <v>44.6339</v>
      </c>
      <c r="AG198" s="0" t="n">
        <v>44.5176</v>
      </c>
      <c r="AH198" s="0" t="n">
        <v>46.904</v>
      </c>
      <c r="AI198" s="0" t="n">
        <v>42.178</v>
      </c>
      <c r="AJ198" s="0" t="n">
        <v>41.7283</v>
      </c>
      <c r="AK198" s="0" t="n">
        <v>32.3874</v>
      </c>
      <c r="AL198" s="0" t="n">
        <v>33.0867</v>
      </c>
      <c r="AM198" s="0" t="n">
        <v>30.0405</v>
      </c>
      <c r="AN198" s="0" t="n">
        <v>31.6084</v>
      </c>
      <c r="AO198" s="0" t="n">
        <v>35.6924</v>
      </c>
      <c r="AP198" s="0" t="n">
        <v>33.9463</v>
      </c>
      <c r="AQ198" s="0" t="n">
        <v>32.8501</v>
      </c>
      <c r="AR198" s="0" t="n">
        <v>28.7565</v>
      </c>
      <c r="AS198" s="0" t="n">
        <v>26.3455</v>
      </c>
      <c r="AT198" s="0" t="n">
        <v>27.6154</v>
      </c>
      <c r="AU198" s="0" t="n">
        <v>20.0353</v>
      </c>
      <c r="AV198" s="0" t="n">
        <v>13.0414</v>
      </c>
      <c r="AW198" s="0" t="n">
        <v>8.926</v>
      </c>
      <c r="AX198" s="0" t="n">
        <v>7.6229</v>
      </c>
      <c r="AY198" s="0" t="n">
        <v>6.2732</v>
      </c>
      <c r="AZ198" s="0" t="n">
        <v>4.4671</v>
      </c>
      <c r="BA198" s="0" t="n">
        <v>3.5563</v>
      </c>
      <c r="BB198" s="0" t="n">
        <v>3.3655</v>
      </c>
      <c r="BC198" s="0" t="n">
        <v>1.6761</v>
      </c>
      <c r="BD198" s="0" t="n">
        <v>1.2014</v>
      </c>
      <c r="BE198" s="0" t="n">
        <v>0.877</v>
      </c>
      <c r="BF198" s="0" t="n">
        <v>1.2002</v>
      </c>
      <c r="BG198" s="0" t="n">
        <v>1.1588</v>
      </c>
      <c r="BH198" s="0" t="n">
        <v>0.8197</v>
      </c>
      <c r="BI198" s="0" t="n">
        <v>0.9912</v>
      </c>
      <c r="BJ198" s="0" t="n">
        <v>0.5281</v>
      </c>
      <c r="BK198" s="0" t="n">
        <v>0.301</v>
      </c>
      <c r="BL198" s="0" t="n">
        <v>0.1644</v>
      </c>
      <c r="BM198" s="0" t="n">
        <v>0.0893</v>
      </c>
      <c r="BN198" s="0" t="n">
        <v>0.1436</v>
      </c>
      <c r="BO198" s="0" t="n">
        <v>0.076</v>
      </c>
      <c r="BP198" s="0" t="n">
        <v>0</v>
      </c>
      <c r="BQ198" s="0" t="n">
        <v>0</v>
      </c>
      <c r="BR198" s="0" t="n">
        <v>0.0269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0.0761</v>
      </c>
      <c r="CB198" s="0" t="n">
        <v>0.1776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0.0011</v>
      </c>
      <c r="CO198" s="0" t="n">
        <v>15.0461</v>
      </c>
      <c r="CP198" s="0" t="n">
        <v>21.4839</v>
      </c>
      <c r="CQ198" s="0" t="n">
        <v>45.8753</v>
      </c>
      <c r="CR198" s="0" t="n">
        <v>42.3028</v>
      </c>
      <c r="CS198" s="0" t="n">
        <v>33.9422</v>
      </c>
      <c r="CT198" s="0" t="n">
        <v>26.3906</v>
      </c>
      <c r="CU198" s="0" t="n">
        <v>27.9119</v>
      </c>
      <c r="CV198" s="0" t="n">
        <v>17.833</v>
      </c>
      <c r="CW198" s="0" t="n">
        <v>15.6879</v>
      </c>
      <c r="CX198" s="0" t="n">
        <v>15.5742</v>
      </c>
      <c r="CY198" s="0" t="n">
        <v>16.9173</v>
      </c>
      <c r="CZ198" s="0" t="n">
        <v>13.2294</v>
      </c>
      <c r="DA198" s="0" t="n">
        <v>15.1679</v>
      </c>
      <c r="DB198" s="0" t="n">
        <v>16.5609</v>
      </c>
      <c r="DC198" s="0" t="n">
        <v>14.7144</v>
      </c>
      <c r="DD198" s="0" t="n">
        <v>12.3089</v>
      </c>
      <c r="DE198" s="0" t="n">
        <v>10.7564</v>
      </c>
      <c r="DF198" s="0" t="n">
        <v>11.2311</v>
      </c>
      <c r="DG198" s="0" t="n">
        <v>12.3376</v>
      </c>
      <c r="DH198" s="0" t="n">
        <v>14.7316</v>
      </c>
      <c r="DI198" s="0" t="n">
        <v>15.0692</v>
      </c>
      <c r="DJ198" s="0" t="n">
        <v>15.7284</v>
      </c>
      <c r="DK198" s="0" t="n">
        <v>17.3198</v>
      </c>
      <c r="DL198" s="0" t="n">
        <v>16.2327</v>
      </c>
      <c r="DM198" s="0" t="n">
        <v>16.6972</v>
      </c>
      <c r="DN198" s="0" t="n">
        <v>13.4682</v>
      </c>
      <c r="DO198" s="0" t="n">
        <v>14.3145</v>
      </c>
      <c r="DP198" s="0" t="n">
        <v>13.4538</v>
      </c>
      <c r="DQ198" s="0" t="n">
        <v>14.6284</v>
      </c>
      <c r="DR198" s="0" t="n">
        <v>17.0961</v>
      </c>
      <c r="DS198" s="0" t="n">
        <v>16.8036</v>
      </c>
      <c r="DT198" s="0" t="n">
        <v>16.7626</v>
      </c>
      <c r="DU198" s="0" t="n">
        <v>15.1343</v>
      </c>
      <c r="DV198" s="0" t="n">
        <v>14.2637</v>
      </c>
      <c r="DW198" s="0" t="n">
        <v>15.4162</v>
      </c>
      <c r="DX198" s="0" t="n">
        <v>11.4921</v>
      </c>
      <c r="DY198" s="0" t="n">
        <v>7.6788</v>
      </c>
      <c r="DZ198" s="0" t="n">
        <v>5.4018</v>
      </c>
      <c r="EA198" s="0" t="n">
        <v>4.725</v>
      </c>
      <c r="EB198" s="0" t="n">
        <v>3.9944</v>
      </c>
      <c r="EC198" s="0" t="n">
        <v>2.9094</v>
      </c>
      <c r="ED198" s="0" t="n">
        <v>2.3684</v>
      </c>
      <c r="EE198" s="0" t="n">
        <v>2.2974</v>
      </c>
      <c r="EF198" s="0" t="n">
        <v>1.1695</v>
      </c>
      <c r="EG198" s="0" t="n">
        <v>0.8558</v>
      </c>
      <c r="EH198" s="0" t="n">
        <v>0.6413</v>
      </c>
      <c r="EI198" s="0" t="n">
        <v>0.894</v>
      </c>
      <c r="EJ198" s="0" t="n">
        <v>0.8816</v>
      </c>
      <c r="EK198" s="0" t="n">
        <v>0.6384</v>
      </c>
      <c r="EL198" s="0" t="n">
        <v>0.7855</v>
      </c>
      <c r="EM198" s="0" t="n">
        <v>0.4282</v>
      </c>
      <c r="EN198" s="0" t="n">
        <v>0.2473</v>
      </c>
      <c r="EO198" s="0" t="n">
        <v>0.1379</v>
      </c>
      <c r="EP198" s="0" t="n">
        <v>0.0762</v>
      </c>
      <c r="EQ198" s="0" t="n">
        <v>0.1246</v>
      </c>
      <c r="ER198" s="0" t="n">
        <v>0.0677</v>
      </c>
      <c r="ES198" s="0" t="n">
        <v>0</v>
      </c>
      <c r="ET198" s="0" t="n">
        <v>0</v>
      </c>
      <c r="EU198" s="0" t="n">
        <v>0.0252</v>
      </c>
      <c r="EV198" s="0" t="n">
        <v>0</v>
      </c>
      <c r="EW198" s="0" t="n">
        <v>0</v>
      </c>
      <c r="EX198" s="0" t="n">
        <v>0</v>
      </c>
      <c r="EY198" s="0" t="n">
        <v>0</v>
      </c>
      <c r="EZ198" s="0" t="n">
        <v>0</v>
      </c>
      <c r="FA198" s="0" t="n">
        <v>0</v>
      </c>
      <c r="FB198" s="0" t="n">
        <v>0</v>
      </c>
      <c r="FC198" s="0" t="n">
        <v>0</v>
      </c>
      <c r="FD198" s="0" t="n">
        <v>0.0823</v>
      </c>
      <c r="FE198" s="0" t="n">
        <v>0.1952</v>
      </c>
      <c r="FF198" s="0" t="n">
        <v>0</v>
      </c>
      <c r="FG198" s="0" t="n">
        <v>0</v>
      </c>
      <c r="FH198" s="0" t="n">
        <v>0</v>
      </c>
      <c r="FI198" s="0" t="n">
        <v>0</v>
      </c>
      <c r="FJ198" s="0" t="n">
        <v>0</v>
      </c>
      <c r="FK198" s="0" t="n">
        <v>0</v>
      </c>
      <c r="FL198" s="0" t="n">
        <v>0</v>
      </c>
      <c r="FM198" s="0" t="n">
        <v>0</v>
      </c>
      <c r="FN198" s="0" t="n">
        <v>0</v>
      </c>
      <c r="FO198" s="0" t="n">
        <v>0</v>
      </c>
      <c r="FP198" s="0" t="n">
        <v>0</v>
      </c>
    </row>
    <row r="199" customFormat="false" ht="13.8" hidden="false" customHeight="false" outlineLevel="0" collapsed="false">
      <c r="A199" s="2" t="s">
        <v>555</v>
      </c>
      <c r="B199" s="0" t="s">
        <v>176</v>
      </c>
      <c r="C199" s="0" t="n">
        <v>207</v>
      </c>
      <c r="D199" s="0" t="s">
        <v>556</v>
      </c>
      <c r="F199" s="0" t="e">
        <f aca="false">VLOOKUP(A199,[1]ROOT!$A$1:$C$1048576,3,0)</f>
        <v>#N/A</v>
      </c>
      <c r="G199" s="0" t="n">
        <v>3727.8261</v>
      </c>
      <c r="H199" s="0" t="n">
        <v>205.7956</v>
      </c>
      <c r="I199" s="0" t="n">
        <v>646.526</v>
      </c>
      <c r="J199" s="0" t="n">
        <v>0.472966666666667</v>
      </c>
      <c r="K199" s="0" t="n">
        <v>0</v>
      </c>
      <c r="L199" s="0" t="n">
        <v>535.766</v>
      </c>
      <c r="M199" s="0" t="n">
        <v>678.012</v>
      </c>
      <c r="N199" s="0" t="n">
        <v>447.5161</v>
      </c>
      <c r="O199" s="0" t="n">
        <v>1.1006</v>
      </c>
      <c r="P199" s="0" t="n">
        <v>362.2061</v>
      </c>
      <c r="Q199" s="0" t="n">
        <v>124.9235</v>
      </c>
      <c r="R199" s="0" t="n">
        <v>172.5925</v>
      </c>
      <c r="S199" s="0" t="n">
        <v>127.3493</v>
      </c>
      <c r="T199" s="0" t="n">
        <v>21.692</v>
      </c>
      <c r="U199" s="0" t="n">
        <v>88.8753</v>
      </c>
      <c r="V199" s="0" t="n">
        <v>65.6744</v>
      </c>
      <c r="W199" s="0" t="n">
        <v>38.2065</v>
      </c>
      <c r="X199" s="0" t="n">
        <v>60.0279</v>
      </c>
      <c r="Y199" s="0" t="n">
        <v>46.5248</v>
      </c>
      <c r="Z199" s="0" t="n">
        <v>49.5917</v>
      </c>
      <c r="AA199" s="0" t="n">
        <v>31.3961</v>
      </c>
      <c r="AB199" s="0" t="n">
        <v>54.2473</v>
      </c>
      <c r="AC199" s="0" t="n">
        <v>26.6632</v>
      </c>
      <c r="AD199" s="0" t="n">
        <v>60.7417</v>
      </c>
      <c r="AE199" s="0" t="n">
        <v>33.8918</v>
      </c>
      <c r="AF199" s="0" t="n">
        <v>63.8157</v>
      </c>
      <c r="AG199" s="0" t="n">
        <v>35.5302</v>
      </c>
      <c r="AH199" s="0" t="n">
        <v>43.1016</v>
      </c>
      <c r="AI199" s="0" t="n">
        <v>63.3589</v>
      </c>
      <c r="AJ199" s="0" t="n">
        <v>16.1263</v>
      </c>
      <c r="AK199" s="0" t="n">
        <v>67.8881</v>
      </c>
      <c r="AL199" s="0" t="n">
        <v>62.9972</v>
      </c>
      <c r="AM199" s="0" t="n">
        <v>39.0663</v>
      </c>
      <c r="AN199" s="0" t="n">
        <v>30.7605</v>
      </c>
      <c r="AO199" s="0" t="n">
        <v>65.93</v>
      </c>
      <c r="AP199" s="0" t="n">
        <v>38.2153</v>
      </c>
      <c r="AQ199" s="0" t="n">
        <v>32.4727</v>
      </c>
      <c r="AR199" s="0" t="n">
        <v>20.5638</v>
      </c>
      <c r="AS199" s="0" t="n">
        <v>22.5668</v>
      </c>
      <c r="AT199" s="0" t="n">
        <v>27.2228</v>
      </c>
      <c r="AU199" s="0" t="n">
        <v>20.5404</v>
      </c>
      <c r="AV199" s="0" t="n">
        <v>2.0453</v>
      </c>
      <c r="AW199" s="0" t="n">
        <v>10.9611</v>
      </c>
      <c r="AX199" s="0" t="n">
        <v>10.9678</v>
      </c>
      <c r="AY199" s="0" t="n">
        <v>5.9096</v>
      </c>
      <c r="AZ199" s="0" t="n">
        <v>3.8848</v>
      </c>
      <c r="BA199" s="0" t="n">
        <v>3.6264</v>
      </c>
      <c r="BB199" s="0" t="n">
        <v>4.4831</v>
      </c>
      <c r="BC199" s="0" t="n">
        <v>1.478</v>
      </c>
      <c r="BD199" s="0" t="n">
        <v>1.3746</v>
      </c>
      <c r="BE199" s="0" t="n">
        <v>2.0577</v>
      </c>
      <c r="BF199" s="0" t="n">
        <v>0.6597</v>
      </c>
      <c r="BG199" s="0" t="n">
        <v>0.531</v>
      </c>
      <c r="BH199" s="0" t="n">
        <v>0.0872</v>
      </c>
      <c r="BI199" s="0" t="n">
        <v>0.009</v>
      </c>
      <c r="BJ199" s="0" t="n">
        <v>0.6436</v>
      </c>
      <c r="BK199" s="0" t="n">
        <v>0.2115</v>
      </c>
      <c r="BL199" s="0" t="n">
        <v>0.0766</v>
      </c>
      <c r="BM199" s="0" t="n">
        <v>0.1036</v>
      </c>
      <c r="BN199" s="0" t="n">
        <v>0.165</v>
      </c>
      <c r="BO199" s="0" t="n">
        <v>0.0587</v>
      </c>
      <c r="BP199" s="0" t="n">
        <v>0.0206</v>
      </c>
      <c r="BQ199" s="0" t="n">
        <v>0.0751</v>
      </c>
      <c r="BR199" s="0" t="n">
        <v>0.0677</v>
      </c>
      <c r="BS199" s="0" t="n">
        <v>0.0227</v>
      </c>
      <c r="BT199" s="0" t="n">
        <v>0.0476</v>
      </c>
      <c r="BU199" s="0" t="n">
        <v>0.0629</v>
      </c>
      <c r="BV199" s="0" t="n">
        <v>0</v>
      </c>
      <c r="BW199" s="0" t="n">
        <v>0.0745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11.519</v>
      </c>
      <c r="CP199" s="0" t="n">
        <v>28.7912</v>
      </c>
      <c r="CQ199" s="0" t="n">
        <v>27.3139</v>
      </c>
      <c r="CR199" s="0" t="n">
        <v>0.076</v>
      </c>
      <c r="CS199" s="0" t="n">
        <v>30.0931</v>
      </c>
      <c r="CT199" s="0" t="n">
        <v>12.688</v>
      </c>
      <c r="CU199" s="0" t="n">
        <v>20.228</v>
      </c>
      <c r="CV199" s="0" t="n">
        <v>17.7016</v>
      </c>
      <c r="CW199" s="0" t="n">
        <v>3.1363</v>
      </c>
      <c r="CX199" s="0" t="n">
        <v>14.3875</v>
      </c>
      <c r="CY199" s="0" t="n">
        <v>11.9987</v>
      </c>
      <c r="CZ199" s="0" t="n">
        <v>7.5929</v>
      </c>
      <c r="DA199" s="0" t="n">
        <v>12.6523</v>
      </c>
      <c r="DB199" s="0" t="n">
        <v>10.5772</v>
      </c>
      <c r="DC199" s="0" t="n">
        <v>12.1312</v>
      </c>
      <c r="DD199" s="0" t="n">
        <v>8.0508</v>
      </c>
      <c r="DE199" s="0" t="n">
        <v>14.8521</v>
      </c>
      <c r="DF199" s="0" t="n">
        <v>7.7103</v>
      </c>
      <c r="DG199" s="0" t="n">
        <v>18.4827</v>
      </c>
      <c r="DH199" s="0" t="n">
        <v>10.8885</v>
      </c>
      <c r="DI199" s="0" t="n">
        <v>21.6486</v>
      </c>
      <c r="DJ199" s="0" t="n">
        <v>12.6115</v>
      </c>
      <c r="DK199" s="0" t="n">
        <v>15.9417</v>
      </c>
      <c r="DL199" s="0" t="n">
        <v>24.6266</v>
      </c>
      <c r="DM199" s="0" t="n">
        <v>6.428</v>
      </c>
      <c r="DN199" s="0" t="n">
        <v>28.1851</v>
      </c>
      <c r="DO199" s="0" t="n">
        <v>27.4512</v>
      </c>
      <c r="DP199" s="0" t="n">
        <v>17.7419</v>
      </c>
      <c r="DQ199" s="0" t="n">
        <v>14.1381</v>
      </c>
      <c r="DR199" s="0" t="n">
        <v>31.4811</v>
      </c>
      <c r="DS199" s="0" t="n">
        <v>18.9743</v>
      </c>
      <c r="DT199" s="0" t="n">
        <v>16.6567</v>
      </c>
      <c r="DU199" s="0" t="n">
        <v>10.8195</v>
      </c>
      <c r="DV199" s="0" t="n">
        <v>12.1257</v>
      </c>
      <c r="DW199" s="0" t="n">
        <v>15.1441</v>
      </c>
      <c r="DX199" s="0" t="n">
        <v>11.8568</v>
      </c>
      <c r="DY199" s="0" t="n">
        <v>1.2118</v>
      </c>
      <c r="DZ199" s="0" t="n">
        <v>6.5637</v>
      </c>
      <c r="EA199" s="0" t="n">
        <v>6.7992</v>
      </c>
      <c r="EB199" s="0" t="n">
        <v>3.7788</v>
      </c>
      <c r="EC199" s="0" t="n">
        <v>2.5201</v>
      </c>
      <c r="ED199" s="0" t="n">
        <v>2.4055</v>
      </c>
      <c r="EE199" s="0" t="n">
        <v>3.0651</v>
      </c>
      <c r="EF199" s="0" t="n">
        <v>1.038</v>
      </c>
      <c r="EG199" s="0" t="n">
        <v>0.9831</v>
      </c>
      <c r="EH199" s="0" t="n">
        <v>1.4983</v>
      </c>
      <c r="EI199" s="0" t="n">
        <v>0.4904</v>
      </c>
      <c r="EJ199" s="0" t="n">
        <v>0.4041</v>
      </c>
      <c r="EK199" s="0" t="n">
        <v>0.0683</v>
      </c>
      <c r="EL199" s="0" t="n">
        <v>0.0071</v>
      </c>
      <c r="EM199" s="0" t="n">
        <v>0.5186</v>
      </c>
      <c r="EN199" s="0" t="n">
        <v>0.1746</v>
      </c>
      <c r="EO199" s="0" t="n">
        <v>0.0649</v>
      </c>
      <c r="EP199" s="0" t="n">
        <v>0.0884</v>
      </c>
      <c r="EQ199" s="0" t="n">
        <v>0.1443</v>
      </c>
      <c r="ER199" s="0" t="n">
        <v>0.0522</v>
      </c>
      <c r="ES199" s="0" t="n">
        <v>0.0187</v>
      </c>
      <c r="ET199" s="0" t="n">
        <v>0.0691</v>
      </c>
      <c r="EU199" s="0" t="n">
        <v>0.0632</v>
      </c>
      <c r="EV199" s="0" t="n">
        <v>0.0215</v>
      </c>
      <c r="EW199" s="0" t="n">
        <v>0.0459</v>
      </c>
      <c r="EX199" s="0" t="n">
        <v>0.0621</v>
      </c>
      <c r="EY199" s="0" t="n">
        <v>0</v>
      </c>
      <c r="EZ199" s="0" t="n">
        <v>0.0754</v>
      </c>
      <c r="FA199" s="0" t="n">
        <v>0</v>
      </c>
      <c r="FB199" s="0" t="n">
        <v>0</v>
      </c>
      <c r="FC199" s="0" t="n">
        <v>0</v>
      </c>
      <c r="FD199" s="0" t="n">
        <v>0</v>
      </c>
      <c r="FE199" s="0" t="n">
        <v>0</v>
      </c>
      <c r="FF199" s="0" t="n">
        <v>0</v>
      </c>
      <c r="FG199" s="0" t="n">
        <v>0</v>
      </c>
      <c r="FH199" s="0" t="n">
        <v>0</v>
      </c>
      <c r="FI199" s="0" t="n">
        <v>0</v>
      </c>
      <c r="FJ199" s="0" t="n">
        <v>0</v>
      </c>
      <c r="FK199" s="0" t="n">
        <v>0</v>
      </c>
      <c r="FL199" s="0" t="n">
        <v>0</v>
      </c>
      <c r="FM199" s="0" t="n">
        <v>0</v>
      </c>
      <c r="FN199" s="0" t="n">
        <v>0</v>
      </c>
      <c r="FO199" s="0" t="n">
        <v>0</v>
      </c>
      <c r="FP199" s="0" t="n">
        <v>0</v>
      </c>
    </row>
    <row r="200" customFormat="false" ht="13.8" hidden="false" customHeight="false" outlineLevel="0" collapsed="false">
      <c r="A200" s="2" t="s">
        <v>557</v>
      </c>
      <c r="B200" s="0" t="s">
        <v>176</v>
      </c>
      <c r="C200" s="0" t="n">
        <v>350</v>
      </c>
      <c r="D200" s="0" t="s">
        <v>558</v>
      </c>
      <c r="G200" s="0" t="n">
        <v>589.0921</v>
      </c>
      <c r="H200" s="0" t="n">
        <v>23.123</v>
      </c>
      <c r="I200" s="0" t="n">
        <v>72.6431</v>
      </c>
      <c r="J200" s="0" t="n">
        <v>0.3925</v>
      </c>
      <c r="K200" s="0" t="n">
        <v>0</v>
      </c>
      <c r="L200" s="0" t="n">
        <v>58.4766</v>
      </c>
      <c r="M200" s="0" t="n">
        <v>60.7809</v>
      </c>
      <c r="N200" s="0" t="n">
        <v>92.8909</v>
      </c>
      <c r="O200" s="0" t="n">
        <v>69.1209</v>
      </c>
      <c r="P200" s="0" t="n">
        <v>63.426</v>
      </c>
      <c r="Q200" s="0" t="n">
        <v>38.6445</v>
      </c>
      <c r="R200" s="0" t="n">
        <v>30.1666</v>
      </c>
      <c r="S200" s="0" t="n">
        <v>19.4382</v>
      </c>
      <c r="T200" s="0" t="n">
        <v>21.7594</v>
      </c>
      <c r="U200" s="0" t="n">
        <v>28.2535</v>
      </c>
      <c r="V200" s="0" t="n">
        <v>25.6416</v>
      </c>
      <c r="W200" s="0" t="n">
        <v>11.1229</v>
      </c>
      <c r="X200" s="0" t="n">
        <v>8.254</v>
      </c>
      <c r="Y200" s="0" t="n">
        <v>7.1684</v>
      </c>
      <c r="Z200" s="0" t="n">
        <v>7.735</v>
      </c>
      <c r="AA200" s="0" t="n">
        <v>7.0845</v>
      </c>
      <c r="AB200" s="0" t="n">
        <v>5.7967</v>
      </c>
      <c r="AC200" s="0" t="n">
        <v>3.862</v>
      </c>
      <c r="AD200" s="0" t="n">
        <v>2.1293</v>
      </c>
      <c r="AE200" s="0" t="n">
        <v>2.2495</v>
      </c>
      <c r="AF200" s="0" t="n">
        <v>1.837</v>
      </c>
      <c r="AG200" s="0" t="n">
        <v>1.0856</v>
      </c>
      <c r="AH200" s="0" t="n">
        <v>0.9457</v>
      </c>
      <c r="AI200" s="0" t="n">
        <v>1.1396</v>
      </c>
      <c r="AJ200" s="0" t="n">
        <v>0.9066</v>
      </c>
      <c r="AK200" s="0" t="n">
        <v>2.2073</v>
      </c>
      <c r="AL200" s="0" t="n">
        <v>0.8226</v>
      </c>
      <c r="AM200" s="0" t="n">
        <v>1.5144</v>
      </c>
      <c r="AN200" s="0" t="n">
        <v>1.2875</v>
      </c>
      <c r="AO200" s="0" t="n">
        <v>0.5026</v>
      </c>
      <c r="AP200" s="0" t="n">
        <v>0.3734</v>
      </c>
      <c r="AQ200" s="0" t="n">
        <v>0.0364</v>
      </c>
      <c r="AR200" s="0" t="n">
        <v>0.0343</v>
      </c>
      <c r="AS200" s="0" t="n">
        <v>0.9163</v>
      </c>
      <c r="AT200" s="0" t="n">
        <v>0.1769</v>
      </c>
      <c r="AU200" s="0" t="n">
        <v>1.0244</v>
      </c>
      <c r="AV200" s="0" t="n">
        <v>1.2298</v>
      </c>
      <c r="AW200" s="0" t="n">
        <v>0.3924</v>
      </c>
      <c r="AX200" s="0" t="n">
        <v>0.2434</v>
      </c>
      <c r="AY200" s="0" t="n">
        <v>2.2498</v>
      </c>
      <c r="AZ200" s="0" t="n">
        <v>0.8352</v>
      </c>
      <c r="BA200" s="0" t="n">
        <v>1.8698</v>
      </c>
      <c r="BB200" s="0" t="n">
        <v>0.9229</v>
      </c>
      <c r="BC200" s="0" t="n">
        <v>0.3957</v>
      </c>
      <c r="BD200" s="0" t="n">
        <v>0.8921</v>
      </c>
      <c r="BE200" s="0" t="n">
        <v>0.8262</v>
      </c>
      <c r="BF200" s="0" t="n">
        <v>0.0851</v>
      </c>
      <c r="BG200" s="0" t="n">
        <v>0.0364</v>
      </c>
      <c r="BH200" s="0" t="n">
        <v>0</v>
      </c>
      <c r="BI200" s="0" t="n">
        <v>0</v>
      </c>
      <c r="BJ200" s="0" t="n">
        <v>0.0792</v>
      </c>
      <c r="BK200" s="0" t="n">
        <v>0.0069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0</v>
      </c>
      <c r="CN200" s="0" t="n">
        <v>0</v>
      </c>
      <c r="CO200" s="0" t="n">
        <v>1.5275</v>
      </c>
      <c r="CP200" s="0" t="n">
        <v>2.4016</v>
      </c>
      <c r="CQ200" s="0" t="n">
        <v>5.0964</v>
      </c>
      <c r="CR200" s="0" t="n">
        <v>4.815</v>
      </c>
      <c r="CS200" s="0" t="n">
        <v>5.4411</v>
      </c>
      <c r="CT200" s="0" t="n">
        <v>3.9131</v>
      </c>
      <c r="CU200" s="0" t="n">
        <v>3.5478</v>
      </c>
      <c r="CV200" s="0" t="n">
        <v>2.6153</v>
      </c>
      <c r="CW200" s="0" t="n">
        <v>3.2375</v>
      </c>
      <c r="CX200" s="0" t="n">
        <v>4.6684</v>
      </c>
      <c r="CY200" s="0" t="n">
        <v>4.6505</v>
      </c>
      <c r="CZ200" s="0" t="n">
        <v>2.181</v>
      </c>
      <c r="DA200" s="0" t="n">
        <v>1.7447</v>
      </c>
      <c r="DB200" s="0" t="n">
        <v>1.6337</v>
      </c>
      <c r="DC200" s="0" t="n">
        <v>1.8888</v>
      </c>
      <c r="DD200" s="0" t="n">
        <v>1.8374</v>
      </c>
      <c r="DE200" s="0" t="n">
        <v>1.5912</v>
      </c>
      <c r="DF200" s="0" t="n">
        <v>1.1179</v>
      </c>
      <c r="DG200" s="0" t="n">
        <v>0.6479</v>
      </c>
      <c r="DH200" s="0" t="n">
        <v>0.7238</v>
      </c>
      <c r="DI200" s="0" t="n">
        <v>0.6192</v>
      </c>
      <c r="DJ200" s="0" t="n">
        <v>0.3824</v>
      </c>
      <c r="DK200" s="0" t="n">
        <v>0.3497</v>
      </c>
      <c r="DL200" s="0" t="n">
        <v>0.4382</v>
      </c>
      <c r="DM200" s="0" t="n">
        <v>0.365</v>
      </c>
      <c r="DN200" s="0" t="n">
        <v>0.9137</v>
      </c>
      <c r="DO200" s="0" t="n">
        <v>0.3542</v>
      </c>
      <c r="DP200" s="0" t="n">
        <v>0.6768</v>
      </c>
      <c r="DQ200" s="0" t="n">
        <v>0.5998</v>
      </c>
      <c r="DR200" s="0" t="n">
        <v>0.2406</v>
      </c>
      <c r="DS200" s="0" t="n">
        <v>0.1836</v>
      </c>
      <c r="DT200" s="0" t="n">
        <v>0.0186</v>
      </c>
      <c r="DU200" s="0" t="n">
        <v>0.0183</v>
      </c>
      <c r="DV200" s="0" t="n">
        <v>0.5009</v>
      </c>
      <c r="DW200" s="0" t="n">
        <v>0.0985</v>
      </c>
      <c r="DX200" s="0" t="n">
        <v>0.5896</v>
      </c>
      <c r="DY200" s="0" t="n">
        <v>0.7259</v>
      </c>
      <c r="DZ200" s="0" t="n">
        <v>0.2366</v>
      </c>
      <c r="EA200" s="0" t="n">
        <v>0.152</v>
      </c>
      <c r="EB200" s="0" t="n">
        <v>1.429</v>
      </c>
      <c r="EC200" s="0" t="n">
        <v>0.5441</v>
      </c>
      <c r="ED200" s="0" t="n">
        <v>1.2509</v>
      </c>
      <c r="EE200" s="0" t="n">
        <v>0.632</v>
      </c>
      <c r="EF200" s="0" t="n">
        <v>0.2771</v>
      </c>
      <c r="EG200" s="0" t="n">
        <v>0.6391</v>
      </c>
      <c r="EH200" s="0" t="n">
        <v>0.6037</v>
      </c>
      <c r="EI200" s="0" t="n">
        <v>0.0632</v>
      </c>
      <c r="EJ200" s="0" t="n">
        <v>0.0275</v>
      </c>
      <c r="EK200" s="0" t="n">
        <v>0</v>
      </c>
      <c r="EL200" s="0" t="n">
        <v>0</v>
      </c>
      <c r="EM200" s="0" t="n">
        <v>0.0642</v>
      </c>
      <c r="EN200" s="0" t="n">
        <v>0.0057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0</v>
      </c>
      <c r="EY200" s="0" t="n">
        <v>0</v>
      </c>
      <c r="EZ200" s="0" t="n">
        <v>0</v>
      </c>
      <c r="FA200" s="0" t="n">
        <v>0</v>
      </c>
      <c r="FB200" s="0" t="n">
        <v>0</v>
      </c>
      <c r="FC200" s="0" t="n">
        <v>0</v>
      </c>
      <c r="FD200" s="0" t="n">
        <v>0</v>
      </c>
      <c r="FE200" s="0" t="n">
        <v>0</v>
      </c>
      <c r="FF200" s="0" t="n">
        <v>0</v>
      </c>
      <c r="FG200" s="0" t="n">
        <v>0</v>
      </c>
      <c r="FH200" s="0" t="n">
        <v>0</v>
      </c>
      <c r="FI200" s="0" t="n">
        <v>0</v>
      </c>
      <c r="FJ200" s="0" t="n">
        <v>0</v>
      </c>
      <c r="FK200" s="0" t="n">
        <v>0</v>
      </c>
      <c r="FL200" s="0" t="n">
        <v>0</v>
      </c>
      <c r="FM200" s="0" t="n">
        <v>0</v>
      </c>
      <c r="FN200" s="0" t="n">
        <v>0</v>
      </c>
      <c r="FO200" s="0" t="n">
        <v>0</v>
      </c>
      <c r="FP200" s="0" t="n">
        <v>0</v>
      </c>
    </row>
    <row r="201" customFormat="false" ht="13.8" hidden="false" customHeight="false" outlineLevel="0" collapsed="false">
      <c r="A201" s="2" t="s">
        <v>559</v>
      </c>
      <c r="B201" s="0" t="s">
        <v>173</v>
      </c>
      <c r="C201" s="0" t="n">
        <v>32</v>
      </c>
      <c r="D201" s="0" t="s">
        <v>560</v>
      </c>
      <c r="G201" s="0" t="n">
        <v>3033.9284</v>
      </c>
      <c r="H201" s="0" t="n">
        <v>202.124</v>
      </c>
      <c r="I201" s="0" t="n">
        <v>634.9913</v>
      </c>
      <c r="J201" s="0" t="n">
        <v>0.659766666666667</v>
      </c>
      <c r="K201" s="0" t="n">
        <v>0</v>
      </c>
      <c r="L201" s="0" t="n">
        <v>446.2435</v>
      </c>
      <c r="M201" s="0" t="n">
        <v>518.9219</v>
      </c>
      <c r="N201" s="0" t="n">
        <v>316.6738</v>
      </c>
      <c r="O201" s="0" t="n">
        <v>0.4628</v>
      </c>
      <c r="P201" s="0" t="n">
        <v>272.7883</v>
      </c>
      <c r="Q201" s="0" t="n">
        <v>97.7109</v>
      </c>
      <c r="R201" s="0" t="n">
        <v>155.7548</v>
      </c>
      <c r="S201" s="0" t="n">
        <v>90.0046</v>
      </c>
      <c r="T201" s="0" t="n">
        <v>16.1047</v>
      </c>
      <c r="U201" s="0" t="n">
        <v>79.0651</v>
      </c>
      <c r="V201" s="0" t="n">
        <v>66.5648</v>
      </c>
      <c r="W201" s="0" t="n">
        <v>41.8664</v>
      </c>
      <c r="X201" s="0" t="n">
        <v>44.9402</v>
      </c>
      <c r="Y201" s="0" t="n">
        <v>32.2516</v>
      </c>
      <c r="Z201" s="0" t="n">
        <v>32.5416</v>
      </c>
      <c r="AA201" s="0" t="n">
        <v>22.5582</v>
      </c>
      <c r="AB201" s="0" t="n">
        <v>39.8596</v>
      </c>
      <c r="AC201" s="0" t="n">
        <v>15.6728</v>
      </c>
      <c r="AD201" s="0" t="n">
        <v>38.4946</v>
      </c>
      <c r="AE201" s="0" t="n">
        <v>15.6872</v>
      </c>
      <c r="AF201" s="0" t="n">
        <v>36.0797</v>
      </c>
      <c r="AG201" s="0" t="n">
        <v>16.4994</v>
      </c>
      <c r="AH201" s="0" t="n">
        <v>26.4201</v>
      </c>
      <c r="AI201" s="0" t="n">
        <v>41.3749</v>
      </c>
      <c r="AJ201" s="0" t="n">
        <v>10.9197</v>
      </c>
      <c r="AK201" s="0" t="n">
        <v>56.7302</v>
      </c>
      <c r="AL201" s="0" t="n">
        <v>44.9795</v>
      </c>
      <c r="AM201" s="0" t="n">
        <v>25.8312</v>
      </c>
      <c r="AN201" s="0" t="n">
        <v>18.1287</v>
      </c>
      <c r="AO201" s="0" t="n">
        <v>42.4507</v>
      </c>
      <c r="AP201" s="0" t="n">
        <v>28.9743</v>
      </c>
      <c r="AQ201" s="0" t="n">
        <v>35.0627</v>
      </c>
      <c r="AR201" s="0" t="n">
        <v>26.0675</v>
      </c>
      <c r="AS201" s="0" t="n">
        <v>25.6003</v>
      </c>
      <c r="AT201" s="0" t="n">
        <v>34.3523</v>
      </c>
      <c r="AU201" s="0" t="n">
        <v>34.3603</v>
      </c>
      <c r="AV201" s="0" t="n">
        <v>3.0233</v>
      </c>
      <c r="AW201" s="0" t="n">
        <v>24.0681</v>
      </c>
      <c r="AX201" s="0" t="n">
        <v>24.3299</v>
      </c>
      <c r="AY201" s="0" t="n">
        <v>15.0538</v>
      </c>
      <c r="AZ201" s="0" t="n">
        <v>8.4851</v>
      </c>
      <c r="BA201" s="0" t="n">
        <v>9.2671</v>
      </c>
      <c r="BB201" s="0" t="n">
        <v>10.4932</v>
      </c>
      <c r="BC201" s="0" t="n">
        <v>6.9463</v>
      </c>
      <c r="BD201" s="0" t="n">
        <v>4.0495</v>
      </c>
      <c r="BE201" s="0" t="n">
        <v>8.2118</v>
      </c>
      <c r="BF201" s="0" t="n">
        <v>3.5725</v>
      </c>
      <c r="BG201" s="0" t="n">
        <v>8.5347</v>
      </c>
      <c r="BH201" s="0" t="n">
        <v>4.7413</v>
      </c>
      <c r="BI201" s="0" t="n">
        <v>1.065</v>
      </c>
      <c r="BJ201" s="0" t="n">
        <v>3.2137</v>
      </c>
      <c r="BK201" s="0" t="n">
        <v>6.2932</v>
      </c>
      <c r="BL201" s="0" t="n">
        <v>3.4934</v>
      </c>
      <c r="BM201" s="0" t="n">
        <v>1.5494</v>
      </c>
      <c r="BN201" s="0" t="n">
        <v>4.5275</v>
      </c>
      <c r="BO201" s="0" t="n">
        <v>0.5851</v>
      </c>
      <c r="BP201" s="0" t="n">
        <v>3.5633</v>
      </c>
      <c r="BQ201" s="0" t="n">
        <v>2.0675</v>
      </c>
      <c r="BR201" s="0" t="n">
        <v>1.7411</v>
      </c>
      <c r="BS201" s="0" t="n">
        <v>2.8719</v>
      </c>
      <c r="BT201" s="0" t="n">
        <v>1.1885</v>
      </c>
      <c r="BU201" s="0" t="n">
        <v>1.3533</v>
      </c>
      <c r="BV201" s="0" t="n">
        <v>1.6238</v>
      </c>
      <c r="BW201" s="0" t="n">
        <v>2.5318</v>
      </c>
      <c r="BX201" s="0" t="n">
        <v>1.285</v>
      </c>
      <c r="BY201" s="0" t="n">
        <v>0.129</v>
      </c>
      <c r="BZ201" s="0" t="n">
        <v>1.4062</v>
      </c>
      <c r="CA201" s="0" t="n">
        <v>2.0356</v>
      </c>
      <c r="CB201" s="0" t="n">
        <v>0.9414</v>
      </c>
      <c r="CC201" s="0" t="n">
        <v>0.1808</v>
      </c>
      <c r="CD201" s="0" t="n">
        <v>0.6892</v>
      </c>
      <c r="CE201" s="0" t="n">
        <v>0.1958</v>
      </c>
      <c r="CF201" s="0" t="n">
        <v>0.8649</v>
      </c>
      <c r="CG201" s="0" t="n">
        <v>0.8413</v>
      </c>
      <c r="CH201" s="0" t="n">
        <v>0.0127</v>
      </c>
      <c r="CI201" s="0" t="n">
        <v>1.0078</v>
      </c>
      <c r="CJ201" s="0" t="n">
        <v>0.9037</v>
      </c>
      <c r="CK201" s="0" t="n">
        <v>0.2992</v>
      </c>
      <c r="CL201" s="0" t="n">
        <v>0.0275</v>
      </c>
      <c r="CM201" s="0" t="n">
        <v>5.6767</v>
      </c>
      <c r="CN201" s="0" t="n">
        <v>0</v>
      </c>
      <c r="CO201" s="0" t="n">
        <v>9.5469</v>
      </c>
      <c r="CP201" s="0" t="n">
        <v>21.9899</v>
      </c>
      <c r="CQ201" s="0" t="n">
        <v>19.3349</v>
      </c>
      <c r="CR201" s="0" t="n">
        <v>0.032</v>
      </c>
      <c r="CS201" s="0" t="n">
        <v>22.6646</v>
      </c>
      <c r="CT201" s="0" t="n">
        <v>9.9259</v>
      </c>
      <c r="CU201" s="0" t="n">
        <v>18.2406</v>
      </c>
      <c r="CV201" s="0" t="n">
        <v>12.5007</v>
      </c>
      <c r="CW201" s="0" t="n">
        <v>2.3286</v>
      </c>
      <c r="CX201" s="0" t="n">
        <v>12.8448</v>
      </c>
      <c r="CY201" s="0" t="n">
        <v>12.1708</v>
      </c>
      <c r="CZ201" s="0" t="n">
        <v>8.3081</v>
      </c>
      <c r="DA201" s="0" t="n">
        <v>9.44</v>
      </c>
      <c r="DB201" s="0" t="n">
        <v>7.3299</v>
      </c>
      <c r="DC201" s="0" t="n">
        <v>7.9866</v>
      </c>
      <c r="DD201" s="0" t="n">
        <v>5.7808</v>
      </c>
      <c r="DE201" s="0" t="n">
        <v>10.905</v>
      </c>
      <c r="DF201" s="0" t="n">
        <v>4.5322</v>
      </c>
      <c r="DG201" s="0" t="n">
        <v>11.6918</v>
      </c>
      <c r="DH201" s="0" t="n">
        <v>5.0385</v>
      </c>
      <c r="DI201" s="0" t="n">
        <v>12.2454</v>
      </c>
      <c r="DJ201" s="0" t="n">
        <v>5.8609</v>
      </c>
      <c r="DK201" s="0" t="n">
        <v>9.7661</v>
      </c>
      <c r="DL201" s="0" t="n">
        <v>16.096</v>
      </c>
      <c r="DM201" s="0" t="n">
        <v>4.3492</v>
      </c>
      <c r="DN201" s="0" t="n">
        <v>23.5722</v>
      </c>
      <c r="DO201" s="0" t="n">
        <v>19.5918</v>
      </c>
      <c r="DP201" s="0" t="n">
        <v>11.7329</v>
      </c>
      <c r="DQ201" s="0" t="n">
        <v>8.3363</v>
      </c>
      <c r="DR201" s="0" t="n">
        <v>20.2768</v>
      </c>
      <c r="DS201" s="0" t="n">
        <v>14.3927</v>
      </c>
      <c r="DT201" s="0" t="n">
        <v>17.9971</v>
      </c>
      <c r="DU201" s="0" t="n">
        <v>13.7279</v>
      </c>
      <c r="DV201" s="0" t="n">
        <v>13.7531</v>
      </c>
      <c r="DW201" s="0" t="n">
        <v>19.1125</v>
      </c>
      <c r="DX201" s="0" t="n">
        <v>19.8362</v>
      </c>
      <c r="DY201" s="0" t="n">
        <v>1.7914</v>
      </c>
      <c r="DZ201" s="0" t="n">
        <v>14.4125</v>
      </c>
      <c r="EA201" s="0" t="n">
        <v>15.075</v>
      </c>
      <c r="EB201" s="0" t="n">
        <v>9.622</v>
      </c>
      <c r="EC201" s="0" t="n">
        <v>5.5358</v>
      </c>
      <c r="ED201" s="0" t="n">
        <v>6.1493</v>
      </c>
      <c r="EE201" s="0" t="n">
        <v>7.1603</v>
      </c>
      <c r="EF201" s="0" t="n">
        <v>4.8693</v>
      </c>
      <c r="EG201" s="0" t="n">
        <v>2.8983</v>
      </c>
      <c r="EH201" s="0" t="n">
        <v>6.0116</v>
      </c>
      <c r="EI201" s="0" t="n">
        <v>2.6565</v>
      </c>
      <c r="EJ201" s="0" t="n">
        <v>6.4933</v>
      </c>
      <c r="EK201" s="0" t="n">
        <v>3.7117</v>
      </c>
      <c r="EL201" s="0" t="n">
        <v>0.8471</v>
      </c>
      <c r="EM201" s="0" t="n">
        <v>2.5896</v>
      </c>
      <c r="EN201" s="0" t="n">
        <v>5.18</v>
      </c>
      <c r="EO201" s="0" t="n">
        <v>2.946</v>
      </c>
      <c r="EP201" s="0" t="n">
        <v>1.3274</v>
      </c>
      <c r="EQ201" s="0" t="n">
        <v>3.9508</v>
      </c>
      <c r="ER201" s="0" t="n">
        <v>0.5197</v>
      </c>
      <c r="ES201" s="0" t="n">
        <v>3.2177</v>
      </c>
      <c r="ET201" s="0" t="n">
        <v>1.903</v>
      </c>
      <c r="EU201" s="0" t="n">
        <v>1.6222</v>
      </c>
      <c r="EV201" s="0" t="n">
        <v>2.7307</v>
      </c>
      <c r="EW201" s="0" t="n">
        <v>1.1514</v>
      </c>
      <c r="EX201" s="0" t="n">
        <v>1.333</v>
      </c>
      <c r="EY201" s="0" t="n">
        <v>1.6116</v>
      </c>
      <c r="EZ201" s="0" t="n">
        <v>2.5647</v>
      </c>
      <c r="FA201" s="0" t="n">
        <v>1.3288</v>
      </c>
      <c r="FB201" s="0" t="n">
        <v>0.1343</v>
      </c>
      <c r="FC201" s="0" t="n">
        <v>1.4852</v>
      </c>
      <c r="FD201" s="0" t="n">
        <v>2.1931</v>
      </c>
      <c r="FE201" s="0" t="n">
        <v>1.0308</v>
      </c>
      <c r="FF201" s="0" t="n">
        <v>0.1993</v>
      </c>
      <c r="FG201" s="0" t="n">
        <v>0.7718</v>
      </c>
      <c r="FH201" s="0" t="n">
        <v>0.2225</v>
      </c>
      <c r="FI201" s="0" t="n">
        <v>1.0003</v>
      </c>
      <c r="FJ201" s="0" t="n">
        <v>0.9892</v>
      </c>
      <c r="FK201" s="0" t="n">
        <v>0.0151</v>
      </c>
      <c r="FL201" s="0" t="n">
        <v>1.2071</v>
      </c>
      <c r="FM201" s="0" t="n">
        <v>1.1003</v>
      </c>
      <c r="FN201" s="0" t="n">
        <v>0.3709</v>
      </c>
      <c r="FO201" s="0" t="n">
        <v>0.0342</v>
      </c>
      <c r="FP201" s="0" t="n">
        <v>7.6242</v>
      </c>
    </row>
    <row r="202" customFormat="false" ht="13.8" hidden="false" customHeight="false" outlineLevel="0" collapsed="false">
      <c r="A202" s="2" t="s">
        <v>561</v>
      </c>
      <c r="B202" s="0" t="s">
        <v>176</v>
      </c>
      <c r="C202" s="0" t="n">
        <v>267</v>
      </c>
      <c r="D202" s="0" t="s">
        <v>562</v>
      </c>
      <c r="G202" s="0" t="n">
        <v>4187.5508</v>
      </c>
      <c r="H202" s="0" t="n">
        <v>242.9756</v>
      </c>
      <c r="I202" s="0" t="n">
        <v>763.3304</v>
      </c>
      <c r="J202" s="0" t="n">
        <v>0.5414</v>
      </c>
      <c r="K202" s="0" t="n">
        <v>0</v>
      </c>
      <c r="L202" s="0" t="n">
        <v>371.4837</v>
      </c>
      <c r="M202" s="0" t="n">
        <v>340.3525</v>
      </c>
      <c r="N202" s="0" t="n">
        <v>537.8197</v>
      </c>
      <c r="O202" s="0" t="n">
        <v>474.8202</v>
      </c>
      <c r="P202" s="0" t="n">
        <v>344.348</v>
      </c>
      <c r="Q202" s="0" t="n">
        <v>236.8823</v>
      </c>
      <c r="R202" s="0" t="n">
        <v>218.3595</v>
      </c>
      <c r="S202" s="0" t="n">
        <v>131.2966</v>
      </c>
      <c r="T202" s="0" t="n">
        <v>118.7848</v>
      </c>
      <c r="U202" s="0" t="n">
        <v>109.4125</v>
      </c>
      <c r="V202" s="0" t="n">
        <v>96.7573</v>
      </c>
      <c r="W202" s="0" t="n">
        <v>81.5692</v>
      </c>
      <c r="X202" s="0" t="n">
        <v>72.2237</v>
      </c>
      <c r="Y202" s="0" t="n">
        <v>51.3147</v>
      </c>
      <c r="Z202" s="0" t="n">
        <v>41.7369</v>
      </c>
      <c r="AA202" s="0" t="n">
        <v>43.4464</v>
      </c>
      <c r="AB202" s="0" t="n">
        <v>47.2401</v>
      </c>
      <c r="AC202" s="0" t="n">
        <v>47.6984</v>
      </c>
      <c r="AD202" s="0" t="n">
        <v>43.0666</v>
      </c>
      <c r="AE202" s="0" t="n">
        <v>37.596</v>
      </c>
      <c r="AF202" s="0" t="n">
        <v>35.3481</v>
      </c>
      <c r="AG202" s="0" t="n">
        <v>31.4052</v>
      </c>
      <c r="AH202" s="0" t="n">
        <v>32.2202</v>
      </c>
      <c r="AI202" s="0" t="n">
        <v>31.0202</v>
      </c>
      <c r="AJ202" s="0" t="n">
        <v>36.3504</v>
      </c>
      <c r="AK202" s="0" t="n">
        <v>43.7931</v>
      </c>
      <c r="AL202" s="0" t="n">
        <v>35.9132</v>
      </c>
      <c r="AM202" s="0" t="n">
        <v>33.6762</v>
      </c>
      <c r="AN202" s="0" t="n">
        <v>33.9695</v>
      </c>
      <c r="AO202" s="0" t="n">
        <v>36.9198</v>
      </c>
      <c r="AP202" s="0" t="n">
        <v>32.3737</v>
      </c>
      <c r="AQ202" s="0" t="n">
        <v>35.062</v>
      </c>
      <c r="AR202" s="0" t="n">
        <v>29.124</v>
      </c>
      <c r="AS202" s="0" t="n">
        <v>29.0209</v>
      </c>
      <c r="AT202" s="0" t="n">
        <v>36.8298</v>
      </c>
      <c r="AU202" s="0" t="n">
        <v>35.2624</v>
      </c>
      <c r="AV202" s="0" t="n">
        <v>27.4957</v>
      </c>
      <c r="AW202" s="0" t="n">
        <v>24.289</v>
      </c>
      <c r="AX202" s="0" t="n">
        <v>21.9854</v>
      </c>
      <c r="AY202" s="0" t="n">
        <v>21.1727</v>
      </c>
      <c r="AZ202" s="0" t="n">
        <v>13.6174</v>
      </c>
      <c r="BA202" s="0" t="n">
        <v>17.8646</v>
      </c>
      <c r="BB202" s="0" t="n">
        <v>10.6851</v>
      </c>
      <c r="BC202" s="0" t="n">
        <v>9.7729</v>
      </c>
      <c r="BD202" s="0" t="n">
        <v>11.6507</v>
      </c>
      <c r="BE202" s="0" t="n">
        <v>5.5282</v>
      </c>
      <c r="BF202" s="0" t="n">
        <v>7.9754</v>
      </c>
      <c r="BG202" s="0" t="n">
        <v>4.3026</v>
      </c>
      <c r="BH202" s="0" t="n">
        <v>3.627</v>
      </c>
      <c r="BI202" s="0" t="n">
        <v>3.0559</v>
      </c>
      <c r="BJ202" s="0" t="n">
        <v>2.3395</v>
      </c>
      <c r="BK202" s="0" t="n">
        <v>1.1157</v>
      </c>
      <c r="BL202" s="0" t="n">
        <v>0.578</v>
      </c>
      <c r="BM202" s="0" t="n">
        <v>0.4532</v>
      </c>
      <c r="BN202" s="0" t="n">
        <v>0.5731</v>
      </c>
      <c r="BO202" s="0" t="n">
        <v>0.2591</v>
      </c>
      <c r="BP202" s="0" t="n">
        <v>0.4425</v>
      </c>
      <c r="BQ202" s="0" t="n">
        <v>0.3516</v>
      </c>
      <c r="BR202" s="0" t="n">
        <v>0.4986</v>
      </c>
      <c r="BS202" s="0" t="n">
        <v>0.0945</v>
      </c>
      <c r="BT202" s="0" t="n">
        <v>0.0676</v>
      </c>
      <c r="BU202" s="0" t="n">
        <v>0.1695</v>
      </c>
      <c r="BV202" s="0" t="n">
        <v>0.4453</v>
      </c>
      <c r="BW202" s="0" t="n">
        <v>0.2164</v>
      </c>
      <c r="BX202" s="0" t="n">
        <v>0.2366</v>
      </c>
      <c r="BY202" s="0" t="n">
        <v>0.0127</v>
      </c>
      <c r="BZ202" s="0" t="n">
        <v>0.0227</v>
      </c>
      <c r="CA202" s="0" t="n">
        <v>0.1188</v>
      </c>
      <c r="CB202" s="0" t="n">
        <v>0.3955</v>
      </c>
      <c r="CC202" s="0" t="n">
        <v>0.0972</v>
      </c>
      <c r="CD202" s="0" t="n">
        <v>0.057</v>
      </c>
      <c r="CE202" s="0" t="n">
        <v>0.0158</v>
      </c>
      <c r="CF202" s="0" t="n">
        <v>0.1883</v>
      </c>
      <c r="CG202" s="0" t="n">
        <v>0.0158</v>
      </c>
      <c r="CH202" s="0" t="n">
        <v>0.0734</v>
      </c>
      <c r="CI202" s="0" t="n">
        <v>0</v>
      </c>
      <c r="CJ202" s="0" t="n">
        <v>0.0433</v>
      </c>
      <c r="CK202" s="0" t="n">
        <v>0.0063</v>
      </c>
      <c r="CL202" s="0" t="n">
        <v>0.2161</v>
      </c>
      <c r="CM202" s="0" t="n">
        <v>0.0555</v>
      </c>
      <c r="CN202" s="0" t="n">
        <v>0</v>
      </c>
      <c r="CO202" s="0" t="n">
        <v>9.7148</v>
      </c>
      <c r="CP202" s="0" t="n">
        <v>13.1478</v>
      </c>
      <c r="CQ202" s="0" t="n">
        <v>29.7073</v>
      </c>
      <c r="CR202" s="0" t="n">
        <v>33.0481</v>
      </c>
      <c r="CS202" s="0" t="n">
        <v>29.5919</v>
      </c>
      <c r="CT202" s="0" t="n">
        <v>24.0799</v>
      </c>
      <c r="CU202" s="0" t="n">
        <v>25.7242</v>
      </c>
      <c r="CV202" s="0" t="n">
        <v>17.4993</v>
      </c>
      <c r="CW202" s="0" t="n">
        <v>17.698</v>
      </c>
      <c r="CX202" s="0" t="n">
        <v>18.0035</v>
      </c>
      <c r="CY202" s="0" t="n">
        <v>17.5172</v>
      </c>
      <c r="CZ202" s="0" t="n">
        <v>15.9792</v>
      </c>
      <c r="DA202" s="0" t="n">
        <v>15.2986</v>
      </c>
      <c r="DB202" s="0" t="n">
        <v>11.6856</v>
      </c>
      <c r="DC202" s="0" t="n">
        <v>10.1885</v>
      </c>
      <c r="DD202" s="0" t="n">
        <v>11.2492</v>
      </c>
      <c r="DE202" s="0" t="n">
        <v>12.9813</v>
      </c>
      <c r="DF202" s="0" t="n">
        <v>13.8557</v>
      </c>
      <c r="DG202" s="0" t="n">
        <v>13.1815</v>
      </c>
      <c r="DH202" s="0" t="n">
        <v>12.0916</v>
      </c>
      <c r="DI202" s="0" t="n">
        <v>11.9587</v>
      </c>
      <c r="DJ202" s="0" t="n">
        <v>11.0896</v>
      </c>
      <c r="DK202" s="0" t="n">
        <v>11.9067</v>
      </c>
      <c r="DL202" s="0" t="n">
        <v>11.9622</v>
      </c>
      <c r="DM202" s="0" t="n">
        <v>14.5449</v>
      </c>
      <c r="DN202" s="0" t="n">
        <v>18.2238</v>
      </c>
      <c r="DO202" s="0" t="n">
        <v>15.5289</v>
      </c>
      <c r="DP202" s="0" t="n">
        <v>15.0834</v>
      </c>
      <c r="DQ202" s="0" t="n">
        <v>15.7274</v>
      </c>
      <c r="DR202" s="0" t="n">
        <v>17.6602</v>
      </c>
      <c r="DS202" s="0" t="n">
        <v>16.0217</v>
      </c>
      <c r="DT202" s="0" t="n">
        <v>17.9058</v>
      </c>
      <c r="DU202" s="0" t="n">
        <v>15.3156</v>
      </c>
      <c r="DV202" s="0" t="n">
        <v>15.7193</v>
      </c>
      <c r="DW202" s="0" t="n">
        <v>20.5285</v>
      </c>
      <c r="DX202" s="0" t="n">
        <v>20.2365</v>
      </c>
      <c r="DY202" s="0" t="n">
        <v>16.1877</v>
      </c>
      <c r="DZ202" s="0" t="n">
        <v>14.6786</v>
      </c>
      <c r="EA202" s="0" t="n">
        <v>13.6392</v>
      </c>
      <c r="EB202" s="0" t="n">
        <v>13.474</v>
      </c>
      <c r="EC202" s="0" t="n">
        <v>8.8709</v>
      </c>
      <c r="ED202" s="0" t="n">
        <v>11.9064</v>
      </c>
      <c r="EE202" s="0" t="n">
        <v>7.3037</v>
      </c>
      <c r="EF202" s="0" t="n">
        <v>6.8239</v>
      </c>
      <c r="EG202" s="0" t="n">
        <v>8.3409</v>
      </c>
      <c r="EH202" s="0" t="n">
        <v>4.032</v>
      </c>
      <c r="EI202" s="0" t="n">
        <v>5.946</v>
      </c>
      <c r="EJ202" s="0" t="n">
        <v>3.2762</v>
      </c>
      <c r="EK202" s="0" t="n">
        <v>2.8238</v>
      </c>
      <c r="EL202" s="0" t="n">
        <v>2.4248</v>
      </c>
      <c r="EM202" s="0" t="n">
        <v>1.8891</v>
      </c>
      <c r="EN202" s="0" t="n">
        <v>0.9196</v>
      </c>
      <c r="EO202" s="0" t="n">
        <v>0.4867</v>
      </c>
      <c r="EP202" s="0" t="n">
        <v>0.3877</v>
      </c>
      <c r="EQ202" s="0" t="n">
        <v>0.4987</v>
      </c>
      <c r="ER202" s="0" t="n">
        <v>0.2296</v>
      </c>
      <c r="ES202" s="0" t="n">
        <v>0.4334</v>
      </c>
      <c r="ET202" s="0" t="n">
        <v>0.3227</v>
      </c>
      <c r="EU202" s="0" t="n">
        <v>0.4658</v>
      </c>
      <c r="EV202" s="0" t="n">
        <v>0.0898</v>
      </c>
      <c r="EW202" s="0" t="n">
        <v>0.0652</v>
      </c>
      <c r="EX202" s="0" t="n">
        <v>0.1672</v>
      </c>
      <c r="EY202" s="0" t="n">
        <v>0.4441</v>
      </c>
      <c r="EZ202" s="0" t="n">
        <v>0.2206</v>
      </c>
      <c r="FA202" s="0" t="n">
        <v>0.2436</v>
      </c>
      <c r="FB202" s="0" t="n">
        <v>0.0132</v>
      </c>
      <c r="FC202" s="0" t="n">
        <v>0.0241</v>
      </c>
      <c r="FD202" s="0" t="n">
        <v>0.1276</v>
      </c>
      <c r="FE202" s="0" t="n">
        <v>0.433</v>
      </c>
      <c r="FF202" s="0" t="n">
        <v>0.1075</v>
      </c>
      <c r="FG202" s="0" t="n">
        <v>0.0637</v>
      </c>
      <c r="FH202" s="0" t="n">
        <v>0.0181</v>
      </c>
      <c r="FI202" s="0" t="n">
        <v>0.2182</v>
      </c>
      <c r="FJ202" s="0" t="n">
        <v>0.0185</v>
      </c>
      <c r="FK202" s="0" t="n">
        <v>0.0875</v>
      </c>
      <c r="FL202" s="0" t="n">
        <v>0</v>
      </c>
      <c r="FM202" s="0" t="n">
        <v>0.0526</v>
      </c>
      <c r="FN202" s="0" t="n">
        <v>0.0079</v>
      </c>
      <c r="FO202" s="0" t="n">
        <v>0.2694</v>
      </c>
      <c r="FP202" s="0" t="n">
        <v>0.0726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2" activeCellId="0" sqref="V2"/>
    </sheetView>
  </sheetViews>
  <sheetFormatPr defaultRowHeight="15" zeroHeight="false" outlineLevelRow="0" outlineLevelCol="0"/>
  <cols>
    <col collapsed="false" customWidth="false" hidden="false" outlineLevel="0" max="1025" min="1" style="0" width="11.42"/>
  </cols>
  <sheetData>
    <row r="1" customFormat="false" ht="15" hidden="false" customHeight="false" outlineLevel="0" collapsed="false">
      <c r="A1" s="0" t="str">
        <f aca="false">Sheet1!A1</f>
        <v>label ID</v>
      </c>
      <c r="B1" s="0" t="str">
        <f aca="false">Sheet1!B1</f>
        <v>CROSS</v>
      </c>
      <c r="C1" s="0" t="str">
        <f aca="false">Sheet1!C1</f>
        <v>LINE</v>
      </c>
      <c r="D1" s="0" t="str">
        <f aca="false">Sheet1!D1</f>
        <v>PLANT_ID</v>
      </c>
      <c r="E1" s="0" t="str">
        <f aca="false">Sheet1!E1</f>
        <v>Rhizomes</v>
      </c>
      <c r="F1" s="0" t="str">
        <f aca="false">Sheet1!F1</f>
        <v>Weight (g DW)</v>
      </c>
      <c r="G1" s="0" t="str">
        <f aca="false">Sheet1!G1</f>
        <v>Length(cm)</v>
      </c>
      <c r="H1" s="0" t="str">
        <f aca="false">Sheet1!H1</f>
        <v>ProjArea(cm2)</v>
      </c>
      <c r="I1" s="0" t="str">
        <f aca="false">Sheet1!I1</f>
        <v>SurfArea(cm2)</v>
      </c>
      <c r="J1" s="0" t="str">
        <f aca="false">Sheet1!J1</f>
        <v>AvgDiam(mm)</v>
      </c>
      <c r="K1" s="0" t="s">
        <v>563</v>
      </c>
      <c r="L1" s="0" t="s">
        <v>564</v>
      </c>
      <c r="M1" s="0" t="s">
        <v>565</v>
      </c>
      <c r="N1" s="0" t="s">
        <v>566</v>
      </c>
      <c r="O1" s="0" t="s">
        <v>567</v>
      </c>
      <c r="P1" s="0" t="s">
        <v>568</v>
      </c>
      <c r="Q1" s="0" t="s">
        <v>569</v>
      </c>
      <c r="R1" s="0" t="s">
        <v>570</v>
      </c>
      <c r="S1" s="0" t="s">
        <v>571</v>
      </c>
      <c r="T1" s="0" t="s">
        <v>572</v>
      </c>
      <c r="U1" s="0" t="s">
        <v>573</v>
      </c>
      <c r="V1" s="0" t="str">
        <f aca="false">Sheet1!CM1</f>
        <v>.L.&gt;4.0000000</v>
      </c>
    </row>
    <row r="2" customFormat="false" ht="15" hidden="false" customHeight="false" outlineLevel="0" collapsed="false">
      <c r="A2" s="0" t="str">
        <f aca="false">Sheet1!A2</f>
        <v>N1001</v>
      </c>
      <c r="B2" s="0" t="str">
        <f aca="false">Sheet1!B2</f>
        <v>VWAD</v>
      </c>
      <c r="C2" s="0" t="n">
        <f aca="false">Sheet1!C2</f>
        <v>88</v>
      </c>
      <c r="D2" s="0" t="str">
        <f aca="false">Sheet1!D2</f>
        <v>VWAD.88.4</v>
      </c>
      <c r="E2" s="0" t="n">
        <f aca="false">Sheet1!E2</f>
        <v>0</v>
      </c>
      <c r="F2" s="0" t="n">
        <f aca="false">Sheet1!F2</f>
        <v>0</v>
      </c>
      <c r="G2" s="0" t="n">
        <f aca="false">Sheet1!G2</f>
        <v>3797.3749</v>
      </c>
      <c r="H2" s="0" t="n">
        <f aca="false">Sheet1!H2</f>
        <v>231.6935</v>
      </c>
      <c r="I2" s="0" t="n">
        <f aca="false">Sheet1!I2</f>
        <v>727.8866</v>
      </c>
      <c r="J2" s="0" t="n">
        <f aca="false">Sheet1!J2</f>
        <v>0.6193875</v>
      </c>
      <c r="K2" s="0" t="n">
        <f aca="false">SUM(Sheet1!K2:N2)</f>
        <v>473.2057</v>
      </c>
      <c r="L2" s="0" t="n">
        <f aca="false">SUM(Sheet1!O2:R2)</f>
        <v>1943.8024</v>
      </c>
      <c r="M2" s="0" t="n">
        <f aca="false">SUM(Sheet1!S2:V2)</f>
        <v>538.3578</v>
      </c>
      <c r="N2" s="0" t="n">
        <f aca="false">SUM(Sheet1!W2:Z2)</f>
        <v>213.7229</v>
      </c>
      <c r="O2" s="0" t="n">
        <f aca="false">SUM(Sheet1!AA2:AD2)</f>
        <v>151.9746</v>
      </c>
      <c r="P2" s="0" t="n">
        <f aca="false">SUM(Sheet1!AE2:AN2)</f>
        <v>277.9083</v>
      </c>
      <c r="Q2" s="0" t="n">
        <f aca="false">SUM(Sheet1!AO2:AX2)</f>
        <v>173.558</v>
      </c>
      <c r="R2" s="0" t="n">
        <f aca="false">SUM(Sheet1!AY2:BH2)</f>
        <v>19.1381</v>
      </c>
      <c r="S2" s="0" t="n">
        <f aca="false">SUM(Sheet1!BI2:BR2)</f>
        <v>3.1325</v>
      </c>
      <c r="T2" s="0" t="n">
        <f aca="false">SUM(Sheet1!BS2:CB2)</f>
        <v>1.1908</v>
      </c>
      <c r="U2" s="0" t="n">
        <f aca="false">SUM(Sheet1!CC2:CL2)</f>
        <v>0.5457</v>
      </c>
      <c r="V2" s="0" t="n">
        <f aca="false">Sheet1!CM2</f>
        <v>0</v>
      </c>
    </row>
    <row r="3" customFormat="false" ht="15" hidden="false" customHeight="false" outlineLevel="0" collapsed="false">
      <c r="A3" s="0" t="str">
        <f aca="false">Sheet1!A3</f>
        <v>N1002</v>
      </c>
      <c r="B3" s="0" t="str">
        <f aca="false">Sheet1!B3</f>
        <v>ADVW</v>
      </c>
      <c r="C3" s="0" t="n">
        <f aca="false">Sheet1!C3</f>
        <v>209</v>
      </c>
      <c r="D3" s="0" t="str">
        <f aca="false">Sheet1!D3</f>
        <v>ADVW.209.4</v>
      </c>
      <c r="E3" s="0" t="e">
        <f aca="false">Sheet1!E3</f>
        <v>#N/A</v>
      </c>
      <c r="F3" s="0" t="e">
        <f aca="false">Sheet1!F3</f>
        <v>#N/A</v>
      </c>
      <c r="G3" s="0" t="n">
        <f aca="false">Sheet1!G3</f>
        <v>2145.3141</v>
      </c>
      <c r="H3" s="0" t="n">
        <f aca="false">Sheet1!H3</f>
        <v>127.7677</v>
      </c>
      <c r="I3" s="0" t="n">
        <f aca="false">Sheet1!I3</f>
        <v>401.3938</v>
      </c>
      <c r="J3" s="0" t="n">
        <f aca="false">Sheet1!J3</f>
        <v>0.589866666666667</v>
      </c>
      <c r="K3" s="0" t="n">
        <f aca="false">Sheet1!K3</f>
        <v>0</v>
      </c>
      <c r="L3" s="0" t="n">
        <f aca="false">SUM(Sheet1!O3:R3)</f>
        <v>403.2705</v>
      </c>
      <c r="M3" s="0" t="n">
        <f aca="false">SUM(Sheet1!S3:V3)</f>
        <v>180.1038</v>
      </c>
      <c r="N3" s="0" t="n">
        <f aca="false">SUM(Sheet1!W3:Z3)</f>
        <v>131.4138</v>
      </c>
      <c r="O3" s="0" t="n">
        <f aca="false">SUM(Sheet1!AA3:AD3)</f>
        <v>113.6527</v>
      </c>
      <c r="P3" s="0" t="n">
        <f aca="false">SUM(Sheet1!AE3:AN3)</f>
        <v>248.3685</v>
      </c>
      <c r="Q3" s="0" t="n">
        <f aca="false">SUM(Sheet1!AO3:AX3)</f>
        <v>109.9831</v>
      </c>
      <c r="R3" s="0" t="n">
        <f aca="false">SUM(Sheet1!AY3:BH3)</f>
        <v>43.047</v>
      </c>
      <c r="S3" s="0" t="n">
        <f aca="false">SUM(Sheet1!BI3:BR3)</f>
        <v>12.1022</v>
      </c>
      <c r="T3" s="0" t="n">
        <f aca="false">SUM(Sheet1!BS3:CB3)</f>
        <v>6.2164</v>
      </c>
      <c r="U3" s="0" t="n">
        <f aca="false">SUM(Sheet1!CC3:CL3)</f>
        <v>1.2136</v>
      </c>
      <c r="V3" s="0" t="n">
        <f aca="false">Sheet1!CM3</f>
        <v>0.2279</v>
      </c>
    </row>
    <row r="4" customFormat="false" ht="15" hidden="false" customHeight="false" outlineLevel="0" collapsed="false">
      <c r="A4" s="0" t="str">
        <f aca="false">Sheet1!A4</f>
        <v>N1003</v>
      </c>
      <c r="B4" s="0" t="str">
        <f aca="false">Sheet1!B4</f>
        <v>VWAD</v>
      </c>
      <c r="C4" s="0" t="n">
        <f aca="false">Sheet1!C4</f>
        <v>110</v>
      </c>
      <c r="D4" s="0" t="str">
        <f aca="false">Sheet1!D4</f>
        <v>VWAD.110.4</v>
      </c>
      <c r="E4" s="0" t="n">
        <f aca="false">Sheet1!E4</f>
        <v>0</v>
      </c>
      <c r="F4" s="0" t="n">
        <f aca="false">Sheet1!F4</f>
        <v>0</v>
      </c>
      <c r="G4" s="0" t="n">
        <f aca="false">Sheet1!G4</f>
        <v>3070.1213</v>
      </c>
      <c r="H4" s="0" t="n">
        <f aca="false">Sheet1!H4</f>
        <v>123.4252</v>
      </c>
      <c r="I4" s="0" t="n">
        <f aca="false">Sheet1!I4</f>
        <v>387.7514</v>
      </c>
      <c r="J4" s="0" t="n">
        <f aca="false">Sheet1!J4</f>
        <v>0.405325</v>
      </c>
      <c r="K4" s="0" t="n">
        <f aca="false">Sheet1!K4</f>
        <v>0.0055</v>
      </c>
      <c r="L4" s="0" t="n">
        <f aca="false">SUM(Sheet1!O4:R4)</f>
        <v>1041.8294</v>
      </c>
      <c r="M4" s="0" t="n">
        <f aca="false">SUM(Sheet1!S4:V4)</f>
        <v>284.8917</v>
      </c>
      <c r="N4" s="0" t="n">
        <f aca="false">SUM(Sheet1!W4:Z4)</f>
        <v>135.1524</v>
      </c>
      <c r="O4" s="0" t="n">
        <f aca="false">SUM(Sheet1!AA4:AD4)</f>
        <v>50.4259</v>
      </c>
      <c r="P4" s="0" t="n">
        <f aca="false">SUM(Sheet1!AE4:AN4)</f>
        <v>100.8247</v>
      </c>
      <c r="Q4" s="0" t="n">
        <f aca="false">SUM(Sheet1!AO4:AX4)</f>
        <v>106.3176</v>
      </c>
      <c r="R4" s="0" t="n">
        <f aca="false">SUM(Sheet1!AY4:BH4)</f>
        <v>39.2825</v>
      </c>
      <c r="S4" s="0" t="n">
        <f aca="false">SUM(Sheet1!BI4:BR4)</f>
        <v>5.4151</v>
      </c>
      <c r="T4" s="0" t="n">
        <f aca="false">SUM(Sheet1!BS4:CB4)</f>
        <v>1.9773</v>
      </c>
      <c r="U4" s="0" t="n">
        <f aca="false">SUM(Sheet1!CC4:CL4)</f>
        <v>0.0264</v>
      </c>
      <c r="V4" s="0" t="n">
        <f aca="false">Sheet1!CM4</f>
        <v>0</v>
      </c>
    </row>
    <row r="5" customFormat="false" ht="15" hidden="false" customHeight="false" outlineLevel="0" collapsed="false">
      <c r="A5" s="0" t="str">
        <f aca="false">Sheet1!A5</f>
        <v>N1006</v>
      </c>
      <c r="B5" s="0" t="str">
        <f aca="false">Sheet1!B5</f>
        <v>VWAD</v>
      </c>
      <c r="C5" s="0" t="n">
        <f aca="false">Sheet1!C5</f>
        <v>113</v>
      </c>
      <c r="D5" s="0" t="str">
        <f aca="false">Sheet1!D5</f>
        <v>VWAD.113.4</v>
      </c>
      <c r="E5" s="0" t="n">
        <f aca="false">Sheet1!E5</f>
        <v>0</v>
      </c>
      <c r="F5" s="0" t="n">
        <f aca="false">Sheet1!F5</f>
        <v>0</v>
      </c>
      <c r="G5" s="0" t="n">
        <f aca="false">Sheet1!G5</f>
        <v>2593.1142</v>
      </c>
      <c r="H5" s="0" t="n">
        <f aca="false">Sheet1!H5</f>
        <v>164.7268</v>
      </c>
      <c r="I5" s="0" t="n">
        <f aca="false">Sheet1!I5</f>
        <v>517.5046</v>
      </c>
      <c r="J5" s="0" t="n">
        <f aca="false">Sheet1!J5</f>
        <v>0.602133333333333</v>
      </c>
      <c r="K5" s="0" t="n">
        <f aca="false">Sheet1!K5</f>
        <v>0.0345</v>
      </c>
      <c r="L5" s="0" t="n">
        <f aca="false">SUM(Sheet1!O5:R5)</f>
        <v>744.7917</v>
      </c>
      <c r="M5" s="0" t="n">
        <f aca="false">SUM(Sheet1!S5:V5)</f>
        <v>300.3267</v>
      </c>
      <c r="N5" s="0" t="n">
        <f aca="false">SUM(Sheet1!W5:Z5)</f>
        <v>161.6794</v>
      </c>
      <c r="O5" s="0" t="n">
        <f aca="false">SUM(Sheet1!AA5:AD5)</f>
        <v>79.7428</v>
      </c>
      <c r="P5" s="0" t="n">
        <f aca="false">SUM(Sheet1!AE5:AN5)</f>
        <v>219.9058</v>
      </c>
      <c r="Q5" s="0" t="n">
        <f aca="false">SUM(Sheet1!AO5:AX5)</f>
        <v>238.9095</v>
      </c>
      <c r="R5" s="0" t="n">
        <f aca="false">SUM(Sheet1!AY5:BH5)</f>
        <v>93.9788</v>
      </c>
      <c r="S5" s="0" t="n">
        <f aca="false">SUM(Sheet1!BI5:BR5)</f>
        <v>9.4989</v>
      </c>
      <c r="T5" s="0" t="n">
        <f aca="false">SUM(Sheet1!BS5:CB5)</f>
        <v>0.6038</v>
      </c>
      <c r="U5" s="0" t="n">
        <f aca="false">SUM(Sheet1!CC5:CL5)</f>
        <v>0.0343</v>
      </c>
      <c r="V5" s="0" t="n">
        <f aca="false">Sheet1!CM5</f>
        <v>0</v>
      </c>
    </row>
    <row r="6" customFormat="false" ht="15" hidden="false" customHeight="false" outlineLevel="0" collapsed="false">
      <c r="A6" s="0" t="str">
        <f aca="false">Sheet1!A6</f>
        <v>N1007</v>
      </c>
      <c r="B6" s="0" t="e">
        <f aca="false">Sheet1!B6</f>
        <v>#N/A</v>
      </c>
      <c r="C6" s="0" t="e">
        <f aca="false">Sheet1!C6</f>
        <v>#N/A</v>
      </c>
      <c r="D6" s="0" t="e">
        <f aca="false">Sheet1!D6</f>
        <v>#N/A</v>
      </c>
      <c r="E6" s="0" t="n">
        <f aca="false">Sheet1!E6</f>
        <v>0</v>
      </c>
      <c r="F6" s="0" t="n">
        <f aca="false">Sheet1!F6</f>
        <v>0</v>
      </c>
      <c r="G6" s="0" t="n">
        <f aca="false">Sheet1!G6</f>
        <v>3805.0056</v>
      </c>
      <c r="H6" s="0" t="n">
        <f aca="false">Sheet1!H6</f>
        <v>300.6121</v>
      </c>
      <c r="I6" s="0" t="n">
        <f aca="false">Sheet1!I6</f>
        <v>944.4006</v>
      </c>
      <c r="J6" s="0" t="n">
        <f aca="false">Sheet1!J6</f>
        <v>0.797675</v>
      </c>
      <c r="K6" s="0" t="n">
        <f aca="false">Sheet1!K6</f>
        <v>0</v>
      </c>
      <c r="L6" s="0" t="n">
        <f aca="false">SUM(Sheet1!O6:R6)</f>
        <v>711.2252</v>
      </c>
      <c r="M6" s="0" t="n">
        <f aca="false">SUM(Sheet1!S6:V6)</f>
        <v>291.6061</v>
      </c>
      <c r="N6" s="0" t="n">
        <f aca="false">SUM(Sheet1!W6:Z6)</f>
        <v>221.27</v>
      </c>
      <c r="O6" s="0" t="n">
        <f aca="false">SUM(Sheet1!AA6:AD6)</f>
        <v>221.7405</v>
      </c>
      <c r="P6" s="0" t="n">
        <f aca="false">SUM(Sheet1!AE6:AN6)</f>
        <v>669.519</v>
      </c>
      <c r="Q6" s="0" t="n">
        <f aca="false">SUM(Sheet1!AO6:AX6)</f>
        <v>577.4697</v>
      </c>
      <c r="R6" s="0" t="n">
        <f aca="false">SUM(Sheet1!AY6:BH6)</f>
        <v>90.7804</v>
      </c>
      <c r="S6" s="0" t="n">
        <f aca="false">SUM(Sheet1!BI6:BR6)</f>
        <v>8.8084</v>
      </c>
      <c r="T6" s="0" t="n">
        <f aca="false">SUM(Sheet1!BS6:CB6)</f>
        <v>1.2221</v>
      </c>
      <c r="U6" s="0" t="n">
        <f aca="false">SUM(Sheet1!CC6:CL6)</f>
        <v>0.8287</v>
      </c>
      <c r="V6" s="0" t="n">
        <f aca="false">Sheet1!CM6</f>
        <v>0</v>
      </c>
    </row>
    <row r="7" customFormat="false" ht="15" hidden="false" customHeight="false" outlineLevel="0" collapsed="false">
      <c r="A7" s="0" t="str">
        <f aca="false">Sheet1!A7</f>
        <v>N1008</v>
      </c>
      <c r="B7" s="0" t="str">
        <f aca="false">Sheet1!B7</f>
        <v>ADVW</v>
      </c>
      <c r="C7" s="0" t="n">
        <f aca="false">Sheet1!C7</f>
        <v>229</v>
      </c>
      <c r="D7" s="0" t="str">
        <f aca="false">Sheet1!D7</f>
        <v>ADVW.229.16</v>
      </c>
      <c r="E7" s="0" t="n">
        <f aca="false">Sheet1!E7</f>
        <v>0</v>
      </c>
      <c r="F7" s="0" t="n">
        <f aca="false">Sheet1!F7</f>
        <v>0</v>
      </c>
      <c r="G7" s="0" t="n">
        <f aca="false">Sheet1!G7</f>
        <v>4860.4815</v>
      </c>
      <c r="H7" s="0" t="n">
        <f aca="false">Sheet1!H7</f>
        <v>296.3589</v>
      </c>
      <c r="I7" s="0" t="n">
        <f aca="false">Sheet1!I7</f>
        <v>931.0394</v>
      </c>
      <c r="J7" s="0" t="n">
        <f aca="false">Sheet1!J7</f>
        <v>0.532275</v>
      </c>
      <c r="K7" s="0" t="n">
        <f aca="false">Sheet1!K7</f>
        <v>0</v>
      </c>
      <c r="L7" s="0" t="n">
        <f aca="false">SUM(Sheet1!O7:R7)</f>
        <v>1720.2363</v>
      </c>
      <c r="M7" s="0" t="n">
        <f aca="false">SUM(Sheet1!S7:V7)</f>
        <v>677.253</v>
      </c>
      <c r="N7" s="0" t="n">
        <f aca="false">SUM(Sheet1!W7:Z7)</f>
        <v>331.5244</v>
      </c>
      <c r="O7" s="0" t="n">
        <f aca="false">SUM(Sheet1!AA7:AD7)</f>
        <v>189.1437</v>
      </c>
      <c r="P7" s="0" t="n">
        <f aca="false">SUM(Sheet1!AE7:AN7)</f>
        <v>355.5008</v>
      </c>
      <c r="Q7" s="0" t="n">
        <f aca="false">SUM(Sheet1!AO7:AX7)</f>
        <v>372.1297</v>
      </c>
      <c r="R7" s="0" t="n">
        <f aca="false">SUM(Sheet1!AY7:BH7)</f>
        <v>134.5223</v>
      </c>
      <c r="S7" s="0" t="n">
        <f aca="false">SUM(Sheet1!BI7:BR7)</f>
        <v>24.8336</v>
      </c>
      <c r="T7" s="0" t="n">
        <f aca="false">SUM(Sheet1!BS7:CB7)</f>
        <v>1.3227</v>
      </c>
      <c r="U7" s="0" t="n">
        <f aca="false">SUM(Sheet1!CC7:CL7)</f>
        <v>0.3728</v>
      </c>
      <c r="V7" s="0" t="n">
        <f aca="false">Sheet1!CM7</f>
        <v>0.1474</v>
      </c>
    </row>
    <row r="8" customFormat="false" ht="15" hidden="false" customHeight="false" outlineLevel="0" collapsed="false">
      <c r="A8" s="0" t="str">
        <f aca="false">Sheet1!A8</f>
        <v>N1009</v>
      </c>
      <c r="B8" s="0" t="str">
        <f aca="false">Sheet1!B8</f>
        <v>VWAD</v>
      </c>
      <c r="C8" s="0" t="n">
        <f aca="false">Sheet1!C8</f>
        <v>34</v>
      </c>
      <c r="D8" s="0" t="str">
        <f aca="false">Sheet1!D8</f>
        <v>VWAD.34.4</v>
      </c>
      <c r="E8" s="0" t="n">
        <f aca="false">Sheet1!E8</f>
        <v>0</v>
      </c>
      <c r="F8" s="0" t="n">
        <f aca="false">Sheet1!F8</f>
        <v>0</v>
      </c>
      <c r="G8" s="0" t="n">
        <f aca="false">Sheet1!G8</f>
        <v>1748.8858</v>
      </c>
      <c r="H8" s="0" t="n">
        <f aca="false">Sheet1!H8</f>
        <v>86.7061</v>
      </c>
      <c r="I8" s="0" t="n">
        <f aca="false">Sheet1!I8</f>
        <v>272.3952</v>
      </c>
      <c r="J8" s="0" t="n">
        <f aca="false">Sheet1!J8</f>
        <v>0.47745</v>
      </c>
      <c r="K8" s="0" t="n">
        <f aca="false">Sheet1!K8</f>
        <v>0.0287</v>
      </c>
      <c r="L8" s="0" t="n">
        <f aca="false">SUM(Sheet1!O8:R8)</f>
        <v>489.9715</v>
      </c>
      <c r="M8" s="0" t="n">
        <f aca="false">SUM(Sheet1!S8:V8)</f>
        <v>150.6833</v>
      </c>
      <c r="N8" s="0" t="n">
        <f aca="false">SUM(Sheet1!W8:Z8)</f>
        <v>99.5641</v>
      </c>
      <c r="O8" s="0" t="n">
        <f aca="false">SUM(Sheet1!AA8:AD8)</f>
        <v>53.458</v>
      </c>
      <c r="P8" s="0" t="n">
        <f aca="false">SUM(Sheet1!AE8:AN8)</f>
        <v>113.4869</v>
      </c>
      <c r="Q8" s="0" t="n">
        <f aca="false">SUM(Sheet1!AO8:AX8)</f>
        <v>106.3951</v>
      </c>
      <c r="R8" s="0" t="n">
        <f aca="false">SUM(Sheet1!AY8:BH8)</f>
        <v>29.7666</v>
      </c>
      <c r="S8" s="0" t="n">
        <f aca="false">SUM(Sheet1!BI8:BR8)</f>
        <v>2.7529</v>
      </c>
      <c r="T8" s="0" t="n">
        <f aca="false">SUM(Sheet1!BS8:CB8)</f>
        <v>0.2557</v>
      </c>
      <c r="U8" s="0" t="n">
        <f aca="false">SUM(Sheet1!CC8:CL8)</f>
        <v>0</v>
      </c>
      <c r="V8" s="0" t="n">
        <f aca="false">Sheet1!CM8</f>
        <v>0</v>
      </c>
    </row>
    <row r="9" customFormat="false" ht="15" hidden="false" customHeight="false" outlineLevel="0" collapsed="false">
      <c r="A9" s="0" t="str">
        <f aca="false">Sheet1!A9</f>
        <v>N1011</v>
      </c>
      <c r="B9" s="0" t="str">
        <f aca="false">Sheet1!B9</f>
        <v>VWAD</v>
      </c>
      <c r="C9" s="0" t="n">
        <f aca="false">Sheet1!C9</f>
        <v>93</v>
      </c>
      <c r="D9" s="0" t="str">
        <f aca="false">Sheet1!D9</f>
        <v>VWAD.93.4</v>
      </c>
      <c r="E9" s="0" t="n">
        <f aca="false">Sheet1!E9</f>
        <v>0</v>
      </c>
      <c r="F9" s="0" t="e">
        <f aca="false">Sheet1!F9</f>
        <v>#N/A</v>
      </c>
      <c r="G9" s="0" t="n">
        <f aca="false">Sheet1!G9</f>
        <v>3607.0072</v>
      </c>
      <c r="H9" s="0" t="n">
        <f aca="false">Sheet1!H9</f>
        <v>154.2429</v>
      </c>
      <c r="I9" s="0" t="n">
        <f aca="false">Sheet1!I9</f>
        <v>484.5682</v>
      </c>
      <c r="J9" s="0" t="n">
        <f aca="false">Sheet1!J9</f>
        <v>0.42716</v>
      </c>
      <c r="K9" s="0" t="n">
        <f aca="false">Sheet1!K9</f>
        <v>0</v>
      </c>
      <c r="L9" s="0" t="n">
        <f aca="false">SUM(Sheet1!O9:R9)</f>
        <v>893.4691</v>
      </c>
      <c r="M9" s="0" t="n">
        <f aca="false">SUM(Sheet1!S9:V9)</f>
        <v>310.2739</v>
      </c>
      <c r="N9" s="0" t="n">
        <f aca="false">SUM(Sheet1!W9:Z9)</f>
        <v>164.7689</v>
      </c>
      <c r="O9" s="0" t="n">
        <f aca="false">SUM(Sheet1!AA9:AD9)</f>
        <v>110.865</v>
      </c>
      <c r="P9" s="0" t="n">
        <f aca="false">SUM(Sheet1!AE9:AN9)</f>
        <v>168.7183</v>
      </c>
      <c r="Q9" s="0" t="n">
        <f aca="false">SUM(Sheet1!AO9:AX9)</f>
        <v>122.4493</v>
      </c>
      <c r="R9" s="0" t="n">
        <f aca="false">SUM(Sheet1!AY9:BH9)</f>
        <v>31.2931</v>
      </c>
      <c r="S9" s="0" t="n">
        <f aca="false">SUM(Sheet1!BI9:BR9)</f>
        <v>7.6999</v>
      </c>
      <c r="T9" s="0" t="n">
        <f aca="false">SUM(Sheet1!BS9:CB9)</f>
        <v>1.1952</v>
      </c>
      <c r="U9" s="0" t="n">
        <f aca="false">SUM(Sheet1!CC9:CL9)</f>
        <v>0.8698</v>
      </c>
      <c r="V9" s="0" t="n">
        <f aca="false">Sheet1!CM9</f>
        <v>0.1628</v>
      </c>
    </row>
    <row r="10" customFormat="false" ht="15" hidden="false" customHeight="false" outlineLevel="0" collapsed="false">
      <c r="A10" s="0" t="str">
        <f aca="false">Sheet1!A10</f>
        <v>N1013</v>
      </c>
      <c r="B10" s="0" t="str">
        <f aca="false">Sheet1!B10</f>
        <v>VWAD</v>
      </c>
      <c r="C10" s="0" t="n">
        <f aca="false">Sheet1!C10</f>
        <v>132</v>
      </c>
      <c r="D10" s="0" t="str">
        <f aca="false">Sheet1!D10</f>
        <v>VWAD.132.4</v>
      </c>
      <c r="E10" s="0" t="n">
        <f aca="false">Sheet1!E10</f>
        <v>0</v>
      </c>
      <c r="F10" s="0" t="n">
        <f aca="false">Sheet1!F10</f>
        <v>0</v>
      </c>
      <c r="G10" s="0" t="n">
        <f aca="false">Sheet1!G10</f>
        <v>4021.144</v>
      </c>
      <c r="H10" s="0" t="n">
        <f aca="false">Sheet1!H10</f>
        <v>278.5149</v>
      </c>
      <c r="I10" s="0" t="n">
        <f aca="false">Sheet1!I10</f>
        <v>874.9805</v>
      </c>
      <c r="J10" s="0" t="n">
        <f aca="false">Sheet1!J10</f>
        <v>0.7852</v>
      </c>
      <c r="K10" s="0" t="n">
        <f aca="false">Sheet1!K10</f>
        <v>0.0317</v>
      </c>
      <c r="L10" s="0" t="n">
        <f aca="false">SUM(Sheet1!O10:R10)</f>
        <v>1772.6909</v>
      </c>
      <c r="M10" s="0" t="n">
        <f aca="false">SUM(Sheet1!S10:V10)</f>
        <v>691.8061</v>
      </c>
      <c r="N10" s="0" t="n">
        <f aca="false">SUM(Sheet1!W10:Z10)</f>
        <v>350.6218</v>
      </c>
      <c r="O10" s="0" t="n">
        <f aca="false">SUM(Sheet1!AA10:AD10)</f>
        <v>204.8784</v>
      </c>
      <c r="P10" s="0" t="n">
        <f aca="false">SUM(Sheet1!AE10:AN10)</f>
        <v>314.3144</v>
      </c>
      <c r="Q10" s="0" t="n">
        <f aca="false">SUM(Sheet1!AO10:AX10)</f>
        <v>245.1172</v>
      </c>
      <c r="R10" s="0" t="n">
        <f aca="false">SUM(Sheet1!AY10:BH10)</f>
        <v>54.6189</v>
      </c>
      <c r="S10" s="0" t="n">
        <f aca="false">SUM(Sheet1!BI10:BR10)</f>
        <v>8.7715</v>
      </c>
      <c r="T10" s="0" t="n">
        <f aca="false">SUM(Sheet1!BS10:CB10)</f>
        <v>1.9614</v>
      </c>
      <c r="U10" s="0" t="n">
        <f aca="false">SUM(Sheet1!CC10:CL10)</f>
        <v>0.6282</v>
      </c>
      <c r="V10" s="0" t="n">
        <f aca="false">Sheet1!CM10</f>
        <v>0.1644</v>
      </c>
    </row>
    <row r="11" customFormat="false" ht="15" hidden="false" customHeight="false" outlineLevel="0" collapsed="false">
      <c r="A11" s="0" t="str">
        <f aca="false">Sheet1!A11</f>
        <v>N1016</v>
      </c>
      <c r="B11" s="0" t="e">
        <f aca="false">Sheet1!B11</f>
        <v>#N/A</v>
      </c>
      <c r="C11" s="0" t="e">
        <f aca="false">Sheet1!C11</f>
        <v>#N/A</v>
      </c>
      <c r="D11" s="0" t="e">
        <f aca="false">Sheet1!D11</f>
        <v>#N/A</v>
      </c>
      <c r="E11" s="0" t="n">
        <f aca="false">Sheet1!E11</f>
        <v>0</v>
      </c>
      <c r="F11" s="0" t="n">
        <f aca="false">Sheet1!F11</f>
        <v>0</v>
      </c>
      <c r="G11" s="0" t="n">
        <f aca="false">Sheet1!G11</f>
        <v>2435.1772</v>
      </c>
      <c r="H11" s="0" t="n">
        <f aca="false">Sheet1!H11</f>
        <v>209.2967</v>
      </c>
      <c r="I11" s="0" t="n">
        <f aca="false">Sheet1!I11</f>
        <v>657.5249</v>
      </c>
      <c r="J11" s="0" t="n">
        <f aca="false">Sheet1!J11</f>
        <v>0.7793</v>
      </c>
      <c r="K11" s="0" t="n">
        <f aca="false">Sheet1!K11</f>
        <v>0</v>
      </c>
      <c r="L11" s="0" t="n">
        <f aca="false">SUM(Sheet1!O11:R11)</f>
        <v>455.1335</v>
      </c>
      <c r="M11" s="0" t="n">
        <f aca="false">SUM(Sheet1!S11:V11)</f>
        <v>175.9437</v>
      </c>
      <c r="N11" s="0" t="n">
        <f aca="false">SUM(Sheet1!W11:Z11)</f>
        <v>104.4659</v>
      </c>
      <c r="O11" s="0" t="n">
        <f aca="false">SUM(Sheet1!AA11:AD11)</f>
        <v>101.1372</v>
      </c>
      <c r="P11" s="0" t="n">
        <f aca="false">SUM(Sheet1!AE11:AN11)</f>
        <v>462.9392</v>
      </c>
      <c r="Q11" s="0" t="n">
        <f aca="false">SUM(Sheet1!AO11:AX11)</f>
        <v>435.759</v>
      </c>
      <c r="R11" s="0" t="n">
        <f aca="false">SUM(Sheet1!AY11:BH11)</f>
        <v>81.9885</v>
      </c>
      <c r="S11" s="0" t="n">
        <f aca="false">SUM(Sheet1!BI11:BR11)</f>
        <v>12.8204</v>
      </c>
      <c r="T11" s="0" t="n">
        <f aca="false">SUM(Sheet1!BS11:CB11)</f>
        <v>2.8984</v>
      </c>
      <c r="U11" s="0" t="n">
        <f aca="false">SUM(Sheet1!CC11:CL11)</f>
        <v>0.8101</v>
      </c>
      <c r="V11" s="0" t="n">
        <f aca="false">Sheet1!CM11</f>
        <v>0.1348</v>
      </c>
    </row>
    <row r="12" customFormat="false" ht="15" hidden="false" customHeight="false" outlineLevel="0" collapsed="false">
      <c r="A12" s="0" t="str">
        <f aca="false">Sheet1!A12</f>
        <v>N1017</v>
      </c>
      <c r="B12" s="0" t="str">
        <f aca="false">Sheet1!B12</f>
        <v>ADVW</v>
      </c>
      <c r="C12" s="0" t="n">
        <f aca="false">Sheet1!C12</f>
        <v>232</v>
      </c>
      <c r="D12" s="0" t="str">
        <f aca="false">Sheet1!D12</f>
        <v>ADVW.232.4</v>
      </c>
      <c r="E12" s="0" t="n">
        <f aca="false">Sheet1!E12</f>
        <v>0</v>
      </c>
      <c r="F12" s="0" t="n">
        <f aca="false">Sheet1!F12</f>
        <v>3.7361</v>
      </c>
      <c r="G12" s="0" t="n">
        <f aca="false">Sheet1!G12</f>
        <v>3422.334</v>
      </c>
      <c r="H12" s="0" t="n">
        <f aca="false">Sheet1!H12</f>
        <v>204.5562</v>
      </c>
      <c r="I12" s="0" t="n">
        <f aca="false">Sheet1!I12</f>
        <v>642.6322</v>
      </c>
      <c r="J12" s="0" t="n">
        <f aca="false">Sheet1!J12</f>
        <v>0.6112</v>
      </c>
      <c r="K12" s="0" t="n">
        <f aca="false">Sheet1!K12</f>
        <v>0</v>
      </c>
      <c r="L12" s="0" t="n">
        <f aca="false">SUM(Sheet1!O12:R12)</f>
        <v>602.6697</v>
      </c>
      <c r="M12" s="0" t="n">
        <f aca="false">SUM(Sheet1!S12:V12)</f>
        <v>255.3783</v>
      </c>
      <c r="N12" s="0" t="n">
        <f aca="false">SUM(Sheet1!W12:Z12)</f>
        <v>174.3394</v>
      </c>
      <c r="O12" s="0" t="n">
        <f aca="false">SUM(Sheet1!AA12:AD12)</f>
        <v>138.1567</v>
      </c>
      <c r="P12" s="0" t="n">
        <f aca="false">SUM(Sheet1!AE12:AN12)</f>
        <v>448.2341</v>
      </c>
      <c r="Q12" s="0" t="n">
        <f aca="false">SUM(Sheet1!AO12:AX12)</f>
        <v>276.1974</v>
      </c>
      <c r="R12" s="0" t="n">
        <f aca="false">SUM(Sheet1!AY12:BH12)</f>
        <v>53.7965</v>
      </c>
      <c r="S12" s="0" t="n">
        <f aca="false">SUM(Sheet1!BI12:BR12)</f>
        <v>4.5369</v>
      </c>
      <c r="T12" s="0" t="n">
        <f aca="false">SUM(Sheet1!BS12:CB12)</f>
        <v>0.7826</v>
      </c>
      <c r="U12" s="0" t="n">
        <f aca="false">SUM(Sheet1!CC12:CL12)</f>
        <v>0.1645</v>
      </c>
      <c r="V12" s="0" t="n">
        <f aca="false">Sheet1!CM12</f>
        <v>0</v>
      </c>
    </row>
    <row r="13" customFormat="false" ht="15" hidden="false" customHeight="false" outlineLevel="0" collapsed="false">
      <c r="A13" s="0" t="str">
        <f aca="false">Sheet1!A13</f>
        <v>N1019</v>
      </c>
      <c r="B13" s="0" t="str">
        <f aca="false">Sheet1!B13</f>
        <v>ADVW</v>
      </c>
      <c r="C13" s="0" t="n">
        <f aca="false">Sheet1!C13</f>
        <v>290</v>
      </c>
      <c r="D13" s="0" t="str">
        <f aca="false">Sheet1!D13</f>
        <v>ADVW.290.4</v>
      </c>
      <c r="E13" s="0" t="n">
        <f aca="false">Sheet1!E13</f>
        <v>0</v>
      </c>
      <c r="F13" s="0" t="n">
        <f aca="false">Sheet1!F13</f>
        <v>0</v>
      </c>
      <c r="G13" s="0" t="n">
        <f aca="false">Sheet1!G13</f>
        <v>4310.778</v>
      </c>
      <c r="H13" s="0" t="n">
        <f aca="false">Sheet1!H13</f>
        <v>204.2557</v>
      </c>
      <c r="I13" s="0" t="n">
        <f aca="false">Sheet1!I13</f>
        <v>641.688</v>
      </c>
      <c r="J13" s="0" t="n">
        <f aca="false">Sheet1!J13</f>
        <v>0.48185</v>
      </c>
      <c r="K13" s="0" t="n">
        <f aca="false">Sheet1!K13</f>
        <v>0.0452</v>
      </c>
      <c r="L13" s="0" t="n">
        <f aca="false">SUM(Sheet1!O13:R13)</f>
        <v>1297.4157</v>
      </c>
      <c r="M13" s="0" t="n">
        <f aca="false">SUM(Sheet1!S13:V13)</f>
        <v>301.6857</v>
      </c>
      <c r="N13" s="0" t="n">
        <f aca="false">SUM(Sheet1!W13:Z13)</f>
        <v>170.941</v>
      </c>
      <c r="O13" s="0" t="n">
        <f aca="false">SUM(Sheet1!AA13:AD13)</f>
        <v>131.0407</v>
      </c>
      <c r="P13" s="0" t="n">
        <f aca="false">SUM(Sheet1!AE13:AN13)</f>
        <v>353.891</v>
      </c>
      <c r="Q13" s="0" t="n">
        <f aca="false">SUM(Sheet1!AO13:AX13)</f>
        <v>232.4085</v>
      </c>
      <c r="R13" s="0" t="n">
        <f aca="false">SUM(Sheet1!AY13:BH13)</f>
        <v>34.9585</v>
      </c>
      <c r="S13" s="0" t="n">
        <f aca="false">SUM(Sheet1!BI13:BR13)</f>
        <v>4.3134</v>
      </c>
      <c r="T13" s="0" t="n">
        <f aca="false">SUM(Sheet1!BS13:CB13)</f>
        <v>0.6689</v>
      </c>
      <c r="U13" s="0" t="n">
        <f aca="false">SUM(Sheet1!CC13:CL13)</f>
        <v>0.0415</v>
      </c>
      <c r="V13" s="0" t="n">
        <f aca="false">Sheet1!CM13</f>
        <v>0.1806</v>
      </c>
    </row>
    <row r="14" customFormat="false" ht="15" hidden="false" customHeight="false" outlineLevel="0" collapsed="false">
      <c r="A14" s="0" t="str">
        <f aca="false">Sheet1!A14</f>
        <v>N1020</v>
      </c>
      <c r="B14" s="0" t="str">
        <f aca="false">Sheet1!B14</f>
        <v>VWAD</v>
      </c>
      <c r="C14" s="0" t="n">
        <f aca="false">Sheet1!C14</f>
        <v>71</v>
      </c>
      <c r="D14" s="0" t="str">
        <f aca="false">Sheet1!D14</f>
        <v>VWAD.71.4</v>
      </c>
      <c r="E14" s="0" t="n">
        <f aca="false">Sheet1!E14</f>
        <v>0</v>
      </c>
      <c r="F14" s="0" t="n">
        <f aca="false">Sheet1!F14</f>
        <v>0</v>
      </c>
      <c r="G14" s="0" t="n">
        <f aca="false">Sheet1!G14</f>
        <v>2770.7851</v>
      </c>
      <c r="H14" s="0" t="n">
        <f aca="false">Sheet1!H14</f>
        <v>179.4354</v>
      </c>
      <c r="I14" s="0" t="n">
        <f aca="false">Sheet1!I14</f>
        <v>563.7129</v>
      </c>
      <c r="J14" s="0" t="n">
        <f aca="false">Sheet1!J14</f>
        <v>0.6406</v>
      </c>
      <c r="K14" s="0" t="n">
        <f aca="false">Sheet1!K14</f>
        <v>0.0231</v>
      </c>
      <c r="L14" s="0" t="n">
        <f aca="false">SUM(Sheet1!O14:R14)</f>
        <v>692.3679</v>
      </c>
      <c r="M14" s="0" t="n">
        <f aca="false">SUM(Sheet1!S14:V14)</f>
        <v>202.8042</v>
      </c>
      <c r="N14" s="0" t="n">
        <f aca="false">SUM(Sheet1!W14:Z14)</f>
        <v>158.3969</v>
      </c>
      <c r="O14" s="0" t="n">
        <f aca="false">SUM(Sheet1!AA14:AD14)</f>
        <v>105.9101</v>
      </c>
      <c r="P14" s="0" t="n">
        <f aca="false">SUM(Sheet1!AE14:AN14)</f>
        <v>198.4601</v>
      </c>
      <c r="Q14" s="0" t="n">
        <f aca="false">SUM(Sheet1!AO14:AX14)</f>
        <v>269.3883</v>
      </c>
      <c r="R14" s="0" t="n">
        <f aca="false">SUM(Sheet1!AY14:BH14)</f>
        <v>136.8352</v>
      </c>
      <c r="S14" s="0" t="n">
        <f aca="false">SUM(Sheet1!BI14:BR14)</f>
        <v>13.49</v>
      </c>
      <c r="T14" s="0" t="n">
        <f aca="false">SUM(Sheet1!BS14:CB14)</f>
        <v>1.3909</v>
      </c>
      <c r="U14" s="0" t="n">
        <f aca="false">SUM(Sheet1!CC14:CL14)</f>
        <v>0.2202</v>
      </c>
      <c r="V14" s="0" t="n">
        <f aca="false">Sheet1!CM14</f>
        <v>0.0586</v>
      </c>
    </row>
    <row r="15" customFormat="false" ht="15" hidden="false" customHeight="false" outlineLevel="0" collapsed="false">
      <c r="A15" s="0" t="str">
        <f aca="false">Sheet1!A15</f>
        <v>N1102</v>
      </c>
      <c r="B15" s="0" t="str">
        <f aca="false">Sheet1!B15</f>
        <v>F0</v>
      </c>
      <c r="C15" s="0" t="str">
        <f aca="false">Sheet1!C15</f>
        <v>AP13</v>
      </c>
      <c r="D15" s="0" t="str">
        <f aca="false">Sheet1!D15</f>
        <v>F0.AP13</v>
      </c>
      <c r="E15" s="0" t="n">
        <f aca="false">Sheet1!E15</f>
        <v>0</v>
      </c>
      <c r="F15" s="0" t="n">
        <f aca="false">Sheet1!F15</f>
        <v>0</v>
      </c>
      <c r="G15" s="0" t="n">
        <f aca="false">Sheet1!G15</f>
        <v>1936.9365</v>
      </c>
      <c r="H15" s="0" t="n">
        <f aca="false">Sheet1!H15</f>
        <v>221.9747</v>
      </c>
      <c r="I15" s="0" t="n">
        <f aca="false">Sheet1!I15</f>
        <v>697.3541</v>
      </c>
      <c r="J15" s="0" t="n">
        <f aca="false">Sheet1!J15</f>
        <v>1.1499</v>
      </c>
      <c r="K15" s="0" t="n">
        <f aca="false">Sheet1!K15</f>
        <v>0.1111</v>
      </c>
      <c r="L15" s="0" t="n">
        <f aca="false">SUM(Sheet1!O15:R15)</f>
        <v>377.8957</v>
      </c>
      <c r="M15" s="0" t="n">
        <f aca="false">SUM(Sheet1!S15:V15)</f>
        <v>296.6324</v>
      </c>
      <c r="N15" s="0" t="n">
        <f aca="false">SUM(Sheet1!W15:Z15)</f>
        <v>225.7752</v>
      </c>
      <c r="O15" s="0" t="n">
        <f aca="false">SUM(Sheet1!AA15:AD15)</f>
        <v>187.501</v>
      </c>
      <c r="P15" s="0" t="n">
        <f aca="false">SUM(Sheet1!AE15:AN15)</f>
        <v>261.811</v>
      </c>
      <c r="Q15" s="0" t="n">
        <f aca="false">SUM(Sheet1!AO15:AX15)</f>
        <v>234.2711</v>
      </c>
      <c r="R15" s="0" t="n">
        <f aca="false">SUM(Sheet1!AY15:BH15)</f>
        <v>167.7106</v>
      </c>
      <c r="S15" s="0" t="n">
        <f aca="false">SUM(Sheet1!BI15:BR15)</f>
        <v>61.6875</v>
      </c>
      <c r="T15" s="0" t="n">
        <f aca="false">SUM(Sheet1!BS15:CB15)</f>
        <v>16.6096</v>
      </c>
      <c r="U15" s="0" t="n">
        <f aca="false">SUM(Sheet1!CC15:CL15)</f>
        <v>4.7597</v>
      </c>
      <c r="V15" s="0" t="n">
        <f aca="false">Sheet1!CM15</f>
        <v>1.8728</v>
      </c>
    </row>
    <row r="16" customFormat="false" ht="15" hidden="false" customHeight="false" outlineLevel="0" collapsed="false">
      <c r="A16" s="0" t="str">
        <f aca="false">Sheet1!A16</f>
        <v>N1105</v>
      </c>
      <c r="B16" s="0" t="str">
        <f aca="false">Sheet1!B16</f>
        <v>VWAD</v>
      </c>
      <c r="C16" s="0" t="n">
        <f aca="false">Sheet1!C16</f>
        <v>173</v>
      </c>
      <c r="D16" s="0" t="str">
        <f aca="false">Sheet1!D16</f>
        <v>VWAD.173.4</v>
      </c>
      <c r="E16" s="0" t="n">
        <f aca="false">Sheet1!E16</f>
        <v>0</v>
      </c>
      <c r="F16" s="0" t="n">
        <f aca="false">Sheet1!F16</f>
        <v>0</v>
      </c>
      <c r="G16" s="0" t="n">
        <f aca="false">Sheet1!G16</f>
        <v>2853.9117</v>
      </c>
      <c r="H16" s="0" t="n">
        <f aca="false">Sheet1!H16</f>
        <v>183.6711</v>
      </c>
      <c r="I16" s="0" t="n">
        <f aca="false">Sheet1!I16</f>
        <v>577.0201</v>
      </c>
      <c r="J16" s="0" t="n">
        <f aca="false">Sheet1!J16</f>
        <v>0.64085</v>
      </c>
      <c r="K16" s="0" t="n">
        <f aca="false">Sheet1!K16</f>
        <v>0.3333</v>
      </c>
      <c r="L16" s="0" t="n">
        <f aca="false">SUM(Sheet1!O16:R16)</f>
        <v>733.7787</v>
      </c>
      <c r="M16" s="0" t="n">
        <f aca="false">SUM(Sheet1!S16:V16)</f>
        <v>251.1373</v>
      </c>
      <c r="N16" s="0" t="n">
        <f aca="false">SUM(Sheet1!W16:Z16)</f>
        <v>189.1461</v>
      </c>
      <c r="O16" s="0" t="n">
        <f aca="false">SUM(Sheet1!AA16:AD16)</f>
        <v>148.9775</v>
      </c>
      <c r="P16" s="0" t="n">
        <f aca="false">SUM(Sheet1!AE16:AN16)</f>
        <v>405.3783</v>
      </c>
      <c r="Q16" s="0" t="n">
        <f aca="false">SUM(Sheet1!AO16:AX16)</f>
        <v>224.2112</v>
      </c>
      <c r="R16" s="0" t="n">
        <f aca="false">SUM(Sheet1!AY16:BH16)</f>
        <v>29.7562</v>
      </c>
      <c r="S16" s="0" t="n">
        <f aca="false">SUM(Sheet1!BI16:BR16)</f>
        <v>11.6012</v>
      </c>
      <c r="T16" s="0" t="n">
        <f aca="false">SUM(Sheet1!BS16:CB16)</f>
        <v>3.668</v>
      </c>
      <c r="U16" s="0" t="n">
        <f aca="false">SUM(Sheet1!CC16:CL16)</f>
        <v>0.6046</v>
      </c>
      <c r="V16" s="0" t="n">
        <f aca="false">Sheet1!CM16</f>
        <v>0.436</v>
      </c>
    </row>
    <row r="17" customFormat="false" ht="15" hidden="false" customHeight="false" outlineLevel="0" collapsed="false">
      <c r="A17" s="0" t="str">
        <f aca="false">Sheet1!A17</f>
        <v>N1106</v>
      </c>
      <c r="B17" s="0" t="str">
        <f aca="false">Sheet1!B17</f>
        <v>ADVW</v>
      </c>
      <c r="C17" s="0" t="n">
        <f aca="false">Sheet1!C17</f>
        <v>326</v>
      </c>
      <c r="D17" s="0" t="str">
        <f aca="false">Sheet1!D17</f>
        <v>ADVW.326.4</v>
      </c>
      <c r="E17" s="0" t="n">
        <f aca="false">Sheet1!E17</f>
        <v>0</v>
      </c>
      <c r="F17" s="0" t="n">
        <f aca="false">Sheet1!F17</f>
        <v>0</v>
      </c>
      <c r="G17" s="0" t="n">
        <f aca="false">Sheet1!G17</f>
        <v>1432.7978</v>
      </c>
      <c r="H17" s="0" t="n">
        <f aca="false">Sheet1!H17</f>
        <v>87.9623</v>
      </c>
      <c r="I17" s="0" t="n">
        <f aca="false">Sheet1!I17</f>
        <v>276.3416</v>
      </c>
      <c r="J17" s="0" t="n">
        <f aca="false">Sheet1!J17</f>
        <v>0.63865</v>
      </c>
      <c r="K17" s="0" t="n">
        <f aca="false">Sheet1!K17</f>
        <v>0.0132</v>
      </c>
      <c r="L17" s="0" t="n">
        <f aca="false">SUM(Sheet1!O17:R17)</f>
        <v>340.3425</v>
      </c>
      <c r="M17" s="0" t="n">
        <f aca="false">SUM(Sheet1!S17:V17)</f>
        <v>140.2391</v>
      </c>
      <c r="N17" s="0" t="n">
        <f aca="false">SUM(Sheet1!W17:Z17)</f>
        <v>123.4095</v>
      </c>
      <c r="O17" s="0" t="n">
        <f aca="false">SUM(Sheet1!AA17:AD17)</f>
        <v>77.2675</v>
      </c>
      <c r="P17" s="0" t="n">
        <f aca="false">SUM(Sheet1!AE17:AN17)</f>
        <v>169.9647</v>
      </c>
      <c r="Q17" s="0" t="n">
        <f aca="false">SUM(Sheet1!AO17:AX17)</f>
        <v>129.8896</v>
      </c>
      <c r="R17" s="0" t="n">
        <f aca="false">SUM(Sheet1!AY17:BH17)</f>
        <v>9.019</v>
      </c>
      <c r="S17" s="0" t="n">
        <f aca="false">SUM(Sheet1!BI17:BR17)</f>
        <v>0.2899</v>
      </c>
      <c r="T17" s="0" t="n">
        <f aca="false">SUM(Sheet1!BS17:CB17)</f>
        <v>0</v>
      </c>
      <c r="U17" s="0" t="n">
        <f aca="false">SUM(Sheet1!CC17:CL17)</f>
        <v>0</v>
      </c>
      <c r="V17" s="0" t="n">
        <f aca="false">Sheet1!CM17</f>
        <v>0</v>
      </c>
    </row>
    <row r="18" customFormat="false" ht="15" hidden="false" customHeight="false" outlineLevel="0" collapsed="false">
      <c r="A18" s="0" t="str">
        <f aca="false">Sheet1!A18</f>
        <v>N1107</v>
      </c>
      <c r="B18" s="0" t="str">
        <f aca="false">Sheet1!B18</f>
        <v>VWAD</v>
      </c>
      <c r="C18" s="0" t="n">
        <f aca="false">Sheet1!C18</f>
        <v>195</v>
      </c>
      <c r="D18" s="0" t="str">
        <f aca="false">Sheet1!D18</f>
        <v>VWAD.195.4</v>
      </c>
      <c r="E18" s="0" t="n">
        <f aca="false">Sheet1!E18</f>
        <v>0</v>
      </c>
      <c r="F18" s="0" t="e">
        <f aca="false">Sheet1!F18</f>
        <v>#N/A</v>
      </c>
      <c r="G18" s="0" t="n">
        <f aca="false">Sheet1!G18</f>
        <v>3568.3422</v>
      </c>
      <c r="H18" s="0" t="n">
        <f aca="false">Sheet1!H18</f>
        <v>239.3569</v>
      </c>
      <c r="I18" s="0" t="n">
        <f aca="false">Sheet1!I18</f>
        <v>751.9622</v>
      </c>
      <c r="J18" s="0" t="n">
        <f aca="false">Sheet1!J18</f>
        <v>0.68465</v>
      </c>
      <c r="K18" s="0" t="n">
        <f aca="false">Sheet1!K18</f>
        <v>0</v>
      </c>
      <c r="L18" s="0" t="n">
        <f aca="false">SUM(Sheet1!O18:R18)</f>
        <v>507.3212</v>
      </c>
      <c r="M18" s="0" t="n">
        <f aca="false">SUM(Sheet1!S18:V18)</f>
        <v>214.8289</v>
      </c>
      <c r="N18" s="0" t="n">
        <f aca="false">SUM(Sheet1!W18:Z18)</f>
        <v>172.4111</v>
      </c>
      <c r="O18" s="0" t="n">
        <f aca="false">SUM(Sheet1!AA18:AD18)</f>
        <v>157.1057</v>
      </c>
      <c r="P18" s="0" t="n">
        <f aca="false">SUM(Sheet1!AE18:AN18)</f>
        <v>459.362</v>
      </c>
      <c r="Q18" s="0" t="n">
        <f aca="false">SUM(Sheet1!AO18:AX18)</f>
        <v>371.4014</v>
      </c>
      <c r="R18" s="0" t="n">
        <f aca="false">SUM(Sheet1!AY18:BH18)</f>
        <v>71.913</v>
      </c>
      <c r="S18" s="0" t="n">
        <f aca="false">SUM(Sheet1!BI18:BR18)</f>
        <v>22.9002</v>
      </c>
      <c r="T18" s="0" t="n">
        <f aca="false">SUM(Sheet1!BS18:CB18)</f>
        <v>7.9885</v>
      </c>
      <c r="U18" s="0" t="n">
        <f aca="false">SUM(Sheet1!CC18:CL18)</f>
        <v>2.5906</v>
      </c>
      <c r="V18" s="0" t="n">
        <f aca="false">Sheet1!CM18</f>
        <v>0.6672</v>
      </c>
    </row>
    <row r="19" customFormat="false" ht="15" hidden="false" customHeight="false" outlineLevel="0" collapsed="false">
      <c r="A19" s="0" t="str">
        <f aca="false">Sheet1!A19</f>
        <v>N1108</v>
      </c>
      <c r="B19" s="0" t="str">
        <f aca="false">Sheet1!B19</f>
        <v>ADVW</v>
      </c>
      <c r="C19" s="0" t="n">
        <f aca="false">Sheet1!C19</f>
        <v>341</v>
      </c>
      <c r="D19" s="0" t="str">
        <f aca="false">Sheet1!D19</f>
        <v>ADVW.341.4</v>
      </c>
      <c r="E19" s="0" t="n">
        <f aca="false">Sheet1!E19</f>
        <v>0</v>
      </c>
      <c r="F19" s="0" t="n">
        <f aca="false">Sheet1!F19</f>
        <v>0</v>
      </c>
      <c r="G19" s="0" t="n">
        <f aca="false">Sheet1!G19</f>
        <v>2836.5166</v>
      </c>
      <c r="H19" s="0" t="n">
        <f aca="false">Sheet1!H19</f>
        <v>224.4443</v>
      </c>
      <c r="I19" s="0" t="n">
        <f aca="false">Sheet1!I19</f>
        <v>705.1126</v>
      </c>
      <c r="J19" s="0" t="n">
        <f aca="false">Sheet1!J19</f>
        <v>0.7667</v>
      </c>
      <c r="K19" s="0" t="n">
        <f aca="false">Sheet1!K19</f>
        <v>0</v>
      </c>
      <c r="L19" s="0" t="n">
        <f aca="false">SUM(Sheet1!O19:R19)</f>
        <v>1083.219</v>
      </c>
      <c r="M19" s="0" t="n">
        <f aca="false">SUM(Sheet1!S19:V19)</f>
        <v>526.6452</v>
      </c>
      <c r="N19" s="0" t="n">
        <f aca="false">SUM(Sheet1!W19:Z19)</f>
        <v>219.2693</v>
      </c>
      <c r="O19" s="0" t="n">
        <f aca="false">SUM(Sheet1!AA19:AD19)</f>
        <v>163.3617</v>
      </c>
      <c r="P19" s="0" t="n">
        <f aca="false">SUM(Sheet1!AE19:AN19)</f>
        <v>311.1126</v>
      </c>
      <c r="Q19" s="0" t="n">
        <f aca="false">SUM(Sheet1!AO19:AX19)</f>
        <v>249.6724</v>
      </c>
      <c r="R19" s="0" t="n">
        <f aca="false">SUM(Sheet1!AY19:BH19)</f>
        <v>67.4132</v>
      </c>
      <c r="S19" s="0" t="n">
        <f aca="false">SUM(Sheet1!BI19:BR19)</f>
        <v>4.6788</v>
      </c>
      <c r="T19" s="0" t="n">
        <f aca="false">SUM(Sheet1!BS19:CB19)</f>
        <v>0.7754</v>
      </c>
      <c r="U19" s="0" t="n">
        <f aca="false">SUM(Sheet1!CC19:CL19)</f>
        <v>0</v>
      </c>
      <c r="V19" s="0" t="n">
        <f aca="false">Sheet1!CM19</f>
        <v>0</v>
      </c>
    </row>
    <row r="20" customFormat="false" ht="15" hidden="false" customHeight="false" outlineLevel="0" collapsed="false">
      <c r="A20" s="0" t="str">
        <f aca="false">Sheet1!A20</f>
        <v>N1109</v>
      </c>
      <c r="B20" s="0" t="str">
        <f aca="false">Sheet1!B20</f>
        <v>VWAD</v>
      </c>
      <c r="C20" s="0" t="n">
        <f aca="false">Sheet1!C20</f>
        <v>74</v>
      </c>
      <c r="D20" s="0" t="str">
        <f aca="false">Sheet1!D20</f>
        <v>VWAD.74.4</v>
      </c>
      <c r="E20" s="0" t="n">
        <f aca="false">Sheet1!E20</f>
        <v>0</v>
      </c>
      <c r="F20" s="0" t="n">
        <f aca="false">Sheet1!F20</f>
        <v>6.1796</v>
      </c>
      <c r="G20" s="0" t="n">
        <f aca="false">Sheet1!G20</f>
        <v>4227.4407</v>
      </c>
      <c r="H20" s="0" t="n">
        <f aca="false">Sheet1!H20</f>
        <v>303.512</v>
      </c>
      <c r="I20" s="0" t="n">
        <f aca="false">Sheet1!I20</f>
        <v>953.5112</v>
      </c>
      <c r="J20" s="0" t="n">
        <f aca="false">Sheet1!J20</f>
        <v>0.676366666666667</v>
      </c>
      <c r="K20" s="0" t="n">
        <f aca="false">Sheet1!K20</f>
        <v>0</v>
      </c>
      <c r="L20" s="0" t="n">
        <f aca="false">SUM(Sheet1!O20:R20)</f>
        <v>823.3935</v>
      </c>
      <c r="M20" s="0" t="n">
        <f aca="false">SUM(Sheet1!S20:V20)</f>
        <v>439.0058</v>
      </c>
      <c r="N20" s="0" t="n">
        <f aca="false">SUM(Sheet1!W20:Z20)</f>
        <v>258.5452</v>
      </c>
      <c r="O20" s="0" t="n">
        <f aca="false">SUM(Sheet1!AA20:AD20)</f>
        <v>197.3115</v>
      </c>
      <c r="P20" s="0" t="n">
        <f aca="false">SUM(Sheet1!AE20:AN20)</f>
        <v>473.5521</v>
      </c>
      <c r="Q20" s="0" t="n">
        <f aca="false">SUM(Sheet1!AO20:AX20)</f>
        <v>438.2111</v>
      </c>
      <c r="R20" s="0" t="n">
        <f aca="false">SUM(Sheet1!AY20:BH20)</f>
        <v>181.7402</v>
      </c>
      <c r="S20" s="0" t="n">
        <f aca="false">SUM(Sheet1!BI20:BR20)</f>
        <v>28.6292</v>
      </c>
      <c r="T20" s="0" t="n">
        <f aca="false">SUM(Sheet1!BS20:CB20)</f>
        <v>3.0781</v>
      </c>
      <c r="U20" s="0" t="n">
        <f aca="false">SUM(Sheet1!CC20:CL20)</f>
        <v>0.8381</v>
      </c>
      <c r="V20" s="0" t="n">
        <f aca="false">Sheet1!CM20</f>
        <v>0.0449</v>
      </c>
    </row>
    <row r="21" customFormat="false" ht="15" hidden="false" customHeight="false" outlineLevel="0" collapsed="false">
      <c r="A21" s="0" t="str">
        <f aca="false">Sheet1!A21</f>
        <v>N1111</v>
      </c>
      <c r="B21" s="0" t="str">
        <f aca="false">Sheet1!B21</f>
        <v>F0</v>
      </c>
      <c r="C21" s="0" t="str">
        <f aca="false">Sheet1!C21</f>
        <v>VS16</v>
      </c>
      <c r="D21" s="0" t="str">
        <f aca="false">Sheet1!D21</f>
        <v>F0.VS16</v>
      </c>
      <c r="E21" s="0" t="n">
        <f aca="false">Sheet1!E21</f>
        <v>0</v>
      </c>
      <c r="F21" s="0" t="n">
        <f aca="false">Sheet1!F21</f>
        <v>0</v>
      </c>
      <c r="G21" s="0" t="n">
        <f aca="false">Sheet1!G21</f>
        <v>5380.7057</v>
      </c>
      <c r="H21" s="0" t="n">
        <f aca="false">Sheet1!H21</f>
        <v>273.2422</v>
      </c>
      <c r="I21" s="0" t="n">
        <f aca="false">Sheet1!I21</f>
        <v>858.4157</v>
      </c>
      <c r="J21" s="0" t="n">
        <f aca="false">Sheet1!J21</f>
        <v>0.547725</v>
      </c>
      <c r="K21" s="0" t="n">
        <f aca="false">Sheet1!K21</f>
        <v>0.0127</v>
      </c>
      <c r="L21" s="0" t="n">
        <f aca="false">SUM(Sheet1!O21:R21)</f>
        <v>1586.9519</v>
      </c>
      <c r="M21" s="0" t="n">
        <f aca="false">SUM(Sheet1!S21:V21)</f>
        <v>518.2914</v>
      </c>
      <c r="N21" s="0" t="n">
        <f aca="false">SUM(Sheet1!W21:Z21)</f>
        <v>357.8464</v>
      </c>
      <c r="O21" s="0" t="n">
        <f aca="false">SUM(Sheet1!AA21:AD21)</f>
        <v>309.979</v>
      </c>
      <c r="P21" s="0" t="n">
        <f aca="false">SUM(Sheet1!AE21:AN21)</f>
        <v>501.6658</v>
      </c>
      <c r="Q21" s="0" t="n">
        <f aca="false">SUM(Sheet1!AO21:AX21)</f>
        <v>111.1806</v>
      </c>
      <c r="R21" s="0" t="n">
        <f aca="false">SUM(Sheet1!AY21:BH21)</f>
        <v>12.8477</v>
      </c>
      <c r="S21" s="0" t="n">
        <f aca="false">SUM(Sheet1!BI21:BR21)</f>
        <v>2.1946</v>
      </c>
      <c r="T21" s="0" t="n">
        <f aca="false">SUM(Sheet1!BS21:CB21)</f>
        <v>0.7201</v>
      </c>
      <c r="U21" s="0" t="n">
        <f aca="false">SUM(Sheet1!CC21:CL21)</f>
        <v>0.2474</v>
      </c>
      <c r="V21" s="0" t="n">
        <f aca="false">Sheet1!CM21</f>
        <v>0.0333</v>
      </c>
    </row>
    <row r="22" customFormat="false" ht="15" hidden="false" customHeight="false" outlineLevel="0" collapsed="false">
      <c r="A22" s="0" t="str">
        <f aca="false">Sheet1!A22</f>
        <v>N1112</v>
      </c>
      <c r="B22" s="0" t="str">
        <f aca="false">Sheet1!B22</f>
        <v>ADVW</v>
      </c>
      <c r="C22" s="0" t="n">
        <f aca="false">Sheet1!C22</f>
        <v>258</v>
      </c>
      <c r="D22" s="0" t="str">
        <f aca="false">Sheet1!D22</f>
        <v>ADVW.258.4</v>
      </c>
      <c r="E22" s="0" t="n">
        <f aca="false">Sheet1!E22</f>
        <v>0</v>
      </c>
      <c r="F22" s="0" t="n">
        <f aca="false">Sheet1!F22</f>
        <v>0</v>
      </c>
      <c r="G22" s="0" t="n">
        <f aca="false">Sheet1!G22</f>
        <v>6157.8174</v>
      </c>
      <c r="H22" s="0" t="n">
        <f aca="false">Sheet1!H22</f>
        <v>484.4884</v>
      </c>
      <c r="I22" s="0" t="n">
        <f aca="false">Sheet1!I22</f>
        <v>1522.0648</v>
      </c>
      <c r="J22" s="0" t="n">
        <f aca="false">Sheet1!J22</f>
        <v>0.764416666666667</v>
      </c>
      <c r="K22" s="0" t="n">
        <f aca="false">Sheet1!K22</f>
        <v>0.0195</v>
      </c>
      <c r="L22" s="0" t="n">
        <f aca="false">SUM(Sheet1!O22:R22)</f>
        <v>2609.2872</v>
      </c>
      <c r="M22" s="0" t="n">
        <f aca="false">SUM(Sheet1!S22:V22)</f>
        <v>859.615</v>
      </c>
      <c r="N22" s="0" t="n">
        <f aca="false">SUM(Sheet1!W22:Z22)</f>
        <v>374.6896</v>
      </c>
      <c r="O22" s="0" t="n">
        <f aca="false">SUM(Sheet1!AA22:AD22)</f>
        <v>330.9289</v>
      </c>
      <c r="P22" s="0" t="n">
        <f aca="false">SUM(Sheet1!AE22:AN22)</f>
        <v>679.1616</v>
      </c>
      <c r="Q22" s="0" t="n">
        <f aca="false">SUM(Sheet1!AO22:AX22)</f>
        <v>584.3423</v>
      </c>
      <c r="R22" s="0" t="n">
        <f aca="false">SUM(Sheet1!AY22:BH22)</f>
        <v>128.4893</v>
      </c>
      <c r="S22" s="0" t="n">
        <f aca="false">SUM(Sheet1!BI22:BR22)</f>
        <v>22.9692</v>
      </c>
      <c r="T22" s="0" t="n">
        <f aca="false">SUM(Sheet1!BS22:CB22)</f>
        <v>5.914</v>
      </c>
      <c r="U22" s="0" t="n">
        <f aca="false">SUM(Sheet1!CC22:CL22)</f>
        <v>2.0222</v>
      </c>
      <c r="V22" s="0" t="n">
        <f aca="false">Sheet1!CM22</f>
        <v>0.8281</v>
      </c>
    </row>
    <row r="23" customFormat="false" ht="15" hidden="false" customHeight="false" outlineLevel="0" collapsed="false">
      <c r="A23" s="0" t="str">
        <f aca="false">Sheet1!A23</f>
        <v>N1114</v>
      </c>
      <c r="B23" s="0" t="str">
        <f aca="false">Sheet1!B23</f>
        <v>ADVW</v>
      </c>
      <c r="C23" s="0" t="n">
        <f aca="false">Sheet1!C23</f>
        <v>271</v>
      </c>
      <c r="D23" s="0" t="str">
        <f aca="false">Sheet1!D23</f>
        <v>ADVW.271.4</v>
      </c>
      <c r="E23" s="0" t="n">
        <f aca="false">Sheet1!E23</f>
        <v>0</v>
      </c>
      <c r="F23" s="0" t="e">
        <f aca="false">Sheet1!F23</f>
        <v>#N/A</v>
      </c>
      <c r="G23" s="0" t="n">
        <f aca="false">Sheet1!G23</f>
        <v>2420.6118</v>
      </c>
      <c r="H23" s="0" t="n">
        <f aca="false">Sheet1!H23</f>
        <v>132.5038</v>
      </c>
      <c r="I23" s="0" t="n">
        <f aca="false">Sheet1!I23</f>
        <v>416.2732</v>
      </c>
      <c r="J23" s="0" t="n">
        <f aca="false">Sheet1!J23</f>
        <v>0.53305</v>
      </c>
      <c r="K23" s="0" t="n">
        <f aca="false">Sheet1!K23</f>
        <v>0</v>
      </c>
      <c r="L23" s="0" t="n">
        <f aca="false">SUM(Sheet1!O23:R23)</f>
        <v>502.2279</v>
      </c>
      <c r="M23" s="0" t="n">
        <f aca="false">SUM(Sheet1!S23:V23)</f>
        <v>227.2329</v>
      </c>
      <c r="N23" s="0" t="n">
        <f aca="false">SUM(Sheet1!W23:Z23)</f>
        <v>141.8101</v>
      </c>
      <c r="O23" s="0" t="n">
        <f aca="false">SUM(Sheet1!AA23:AD23)</f>
        <v>100.223</v>
      </c>
      <c r="P23" s="0" t="n">
        <f aca="false">SUM(Sheet1!AE23:AN23)</f>
        <v>206.7387</v>
      </c>
      <c r="Q23" s="0" t="n">
        <f aca="false">SUM(Sheet1!AO23:AX23)</f>
        <v>140.9783</v>
      </c>
      <c r="R23" s="0" t="n">
        <f aca="false">SUM(Sheet1!AY23:BH23)</f>
        <v>35.579</v>
      </c>
      <c r="S23" s="0" t="n">
        <f aca="false">SUM(Sheet1!BI23:BR23)</f>
        <v>7.038</v>
      </c>
      <c r="T23" s="0" t="n">
        <f aca="false">SUM(Sheet1!BS23:CB23)</f>
        <v>1.2951</v>
      </c>
      <c r="U23" s="0" t="n">
        <f aca="false">SUM(Sheet1!CC23:CL23)</f>
        <v>1.0362</v>
      </c>
      <c r="V23" s="0" t="n">
        <f aca="false">Sheet1!CM23</f>
        <v>0.1698</v>
      </c>
    </row>
    <row r="24" customFormat="false" ht="15" hidden="false" customHeight="false" outlineLevel="0" collapsed="false">
      <c r="A24" s="0" t="str">
        <f aca="false">Sheet1!A24</f>
        <v>N1116</v>
      </c>
      <c r="B24" s="0" t="str">
        <f aca="false">Sheet1!B24</f>
        <v>ADVW</v>
      </c>
      <c r="C24" s="0" t="n">
        <f aca="false">Sheet1!C24</f>
        <v>379</v>
      </c>
      <c r="D24" s="0" t="str">
        <f aca="false">Sheet1!D24</f>
        <v>ADVW.379.4</v>
      </c>
      <c r="E24" s="0" t="n">
        <f aca="false">Sheet1!E24</f>
        <v>0</v>
      </c>
      <c r="F24" s="0" t="n">
        <f aca="false">Sheet1!F24</f>
        <v>0</v>
      </c>
      <c r="G24" s="0" t="n">
        <f aca="false">Sheet1!G24</f>
        <v>3888.5392</v>
      </c>
      <c r="H24" s="0" t="n">
        <f aca="false">Sheet1!H24</f>
        <v>195.8685</v>
      </c>
      <c r="I24" s="0" t="n">
        <f aca="false">Sheet1!I24</f>
        <v>615.3393</v>
      </c>
      <c r="J24" s="0" t="n">
        <f aca="false">Sheet1!J24</f>
        <v>0.49526</v>
      </c>
      <c r="K24" s="0" t="n">
        <f aca="false">Sheet1!K24</f>
        <v>0</v>
      </c>
      <c r="L24" s="0" t="n">
        <f aca="false">SUM(Sheet1!O24:R24)</f>
        <v>1262.298</v>
      </c>
      <c r="M24" s="0" t="n">
        <f aca="false">SUM(Sheet1!S24:V24)</f>
        <v>336.8932</v>
      </c>
      <c r="N24" s="0" t="n">
        <f aca="false">SUM(Sheet1!W24:Z24)</f>
        <v>228.7604</v>
      </c>
      <c r="O24" s="0" t="n">
        <f aca="false">SUM(Sheet1!AA24:AD24)</f>
        <v>157.495</v>
      </c>
      <c r="P24" s="0" t="n">
        <f aca="false">SUM(Sheet1!AE24:AN24)</f>
        <v>295.4603</v>
      </c>
      <c r="Q24" s="0" t="n">
        <f aca="false">SUM(Sheet1!AO24:AX24)</f>
        <v>203.8529</v>
      </c>
      <c r="R24" s="0" t="n">
        <f aca="false">SUM(Sheet1!AY24:BH24)</f>
        <v>46.7361</v>
      </c>
      <c r="S24" s="0" t="n">
        <f aca="false">SUM(Sheet1!BI24:BR24)</f>
        <v>3.0547</v>
      </c>
      <c r="T24" s="0" t="n">
        <f aca="false">SUM(Sheet1!BS24:CB24)</f>
        <v>0.5487</v>
      </c>
      <c r="U24" s="0" t="n">
        <f aca="false">SUM(Sheet1!CC24:CL24)</f>
        <v>0</v>
      </c>
      <c r="V24" s="0" t="n">
        <f aca="false">Sheet1!CM24</f>
        <v>0</v>
      </c>
    </row>
    <row r="25" customFormat="false" ht="15" hidden="false" customHeight="false" outlineLevel="0" collapsed="false">
      <c r="A25" s="0" t="str">
        <f aca="false">Sheet1!A25</f>
        <v>N1117</v>
      </c>
      <c r="B25" s="0" t="str">
        <f aca="false">Sheet1!B25</f>
        <v>F0</v>
      </c>
      <c r="C25" s="0" t="str">
        <f aca="false">Sheet1!C25</f>
        <v>WBC</v>
      </c>
      <c r="D25" s="0" t="str">
        <f aca="false">Sheet1!D25</f>
        <v>F0.WBC</v>
      </c>
      <c r="E25" s="0" t="e">
        <f aca="false">Sheet1!E25</f>
        <v>#N/A</v>
      </c>
      <c r="F25" s="0" t="n">
        <f aca="false">Sheet1!F25</f>
        <v>0</v>
      </c>
      <c r="G25" s="0" t="n">
        <f aca="false">Sheet1!G25</f>
        <v>2128.1218</v>
      </c>
      <c r="H25" s="0" t="n">
        <f aca="false">Sheet1!H25</f>
        <v>232.8784</v>
      </c>
      <c r="I25" s="0" t="n">
        <f aca="false">Sheet1!I25</f>
        <v>731.6088</v>
      </c>
      <c r="J25" s="0" t="n">
        <f aca="false">Sheet1!J25</f>
        <v>1.06523333333333</v>
      </c>
      <c r="K25" s="0" t="n">
        <f aca="false">Sheet1!K25</f>
        <v>0.0433</v>
      </c>
      <c r="L25" s="0" t="n">
        <f aca="false">SUM(Sheet1!O25:R25)</f>
        <v>631.0748</v>
      </c>
      <c r="M25" s="0" t="n">
        <f aca="false">SUM(Sheet1!S25:V25)</f>
        <v>289.2976</v>
      </c>
      <c r="N25" s="0" t="n">
        <f aca="false">SUM(Sheet1!W25:Z25)</f>
        <v>146.2229</v>
      </c>
      <c r="O25" s="0" t="n">
        <f aca="false">SUM(Sheet1!AA25:AD25)</f>
        <v>124.8544</v>
      </c>
      <c r="P25" s="0" t="n">
        <f aca="false">SUM(Sheet1!AE25:AN25)</f>
        <v>255.5947</v>
      </c>
      <c r="Q25" s="0" t="n">
        <f aca="false">SUM(Sheet1!AO25:AX25)</f>
        <v>270.252</v>
      </c>
      <c r="R25" s="0" t="n">
        <f aca="false">SUM(Sheet1!AY25:BH25)</f>
        <v>176.4299</v>
      </c>
      <c r="S25" s="0" t="n">
        <f aca="false">SUM(Sheet1!BI25:BR25)</f>
        <v>70.1127</v>
      </c>
      <c r="T25" s="0" t="n">
        <f aca="false">SUM(Sheet1!BS25:CB25)</f>
        <v>16.3439</v>
      </c>
      <c r="U25" s="0" t="n">
        <f aca="false">SUM(Sheet1!CC25:CL25)</f>
        <v>4.0563</v>
      </c>
      <c r="V25" s="0" t="n">
        <f aca="false">Sheet1!CM25</f>
        <v>3.217</v>
      </c>
    </row>
    <row r="26" customFormat="false" ht="15" hidden="false" customHeight="false" outlineLevel="0" collapsed="false">
      <c r="A26" s="0" t="str">
        <f aca="false">Sheet1!A26</f>
        <v>N1118</v>
      </c>
      <c r="B26" s="0" t="str">
        <f aca="false">Sheet1!B26</f>
        <v>VWAD</v>
      </c>
      <c r="C26" s="0" t="n">
        <f aca="false">Sheet1!C26</f>
        <v>103</v>
      </c>
      <c r="D26" s="0" t="str">
        <f aca="false">Sheet1!D26</f>
        <v>VWAD.103.4</v>
      </c>
      <c r="E26" s="0" t="n">
        <f aca="false">Sheet1!E26</f>
        <v>0</v>
      </c>
      <c r="F26" s="0" t="e">
        <f aca="false">Sheet1!F26</f>
        <v>#N/A</v>
      </c>
      <c r="G26" s="0" t="n">
        <f aca="false">Sheet1!G26</f>
        <v>3933.7813</v>
      </c>
      <c r="H26" s="0" t="n">
        <f aca="false">Sheet1!H26</f>
        <v>266.8411</v>
      </c>
      <c r="I26" s="0" t="n">
        <f aca="false">Sheet1!I26</f>
        <v>838.3059</v>
      </c>
      <c r="J26" s="0" t="n">
        <f aca="false">Sheet1!J26</f>
        <v>0.94279</v>
      </c>
      <c r="K26" s="0" t="n">
        <f aca="false">Sheet1!K26</f>
        <v>0</v>
      </c>
      <c r="L26" s="0" t="n">
        <f aca="false">SUM(Sheet1!O26:R26)</f>
        <v>749.1908</v>
      </c>
      <c r="M26" s="0" t="n">
        <f aca="false">SUM(Sheet1!S26:V26)</f>
        <v>331.98</v>
      </c>
      <c r="N26" s="0" t="n">
        <f aca="false">SUM(Sheet1!W26:Z26)</f>
        <v>216.0827</v>
      </c>
      <c r="O26" s="0" t="n">
        <f aca="false">SUM(Sheet1!AA26:AD26)</f>
        <v>162.0045</v>
      </c>
      <c r="P26" s="0" t="n">
        <f aca="false">SUM(Sheet1!AE26:AN26)</f>
        <v>307.4842</v>
      </c>
      <c r="Q26" s="0" t="n">
        <f aca="false">SUM(Sheet1!AO26:AX26)</f>
        <v>394.6797</v>
      </c>
      <c r="R26" s="0" t="n">
        <f aca="false">SUM(Sheet1!AY26:BH26)</f>
        <v>132.9926</v>
      </c>
      <c r="S26" s="0" t="n">
        <f aca="false">SUM(Sheet1!BI26:BR26)</f>
        <v>28.9514</v>
      </c>
      <c r="T26" s="0" t="n">
        <f aca="false">SUM(Sheet1!BS26:CB26)</f>
        <v>12.0292</v>
      </c>
      <c r="U26" s="0" t="n">
        <f aca="false">SUM(Sheet1!CC26:CL26)</f>
        <v>8.622</v>
      </c>
      <c r="V26" s="0" t="n">
        <f aca="false">Sheet1!CM26</f>
        <v>3.1638</v>
      </c>
    </row>
    <row r="27" customFormat="false" ht="15" hidden="false" customHeight="false" outlineLevel="0" collapsed="false">
      <c r="A27" s="0" t="str">
        <f aca="false">Sheet1!A27</f>
        <v>N1119</v>
      </c>
      <c r="B27" s="0" t="e">
        <f aca="false">Sheet1!B27</f>
        <v>#N/A</v>
      </c>
      <c r="C27" s="0" t="e">
        <f aca="false">Sheet1!C27</f>
        <v>#N/A</v>
      </c>
      <c r="D27" s="0" t="e">
        <f aca="false">Sheet1!D27</f>
        <v>#N/A</v>
      </c>
      <c r="E27" s="0" t="n">
        <f aca="false">Sheet1!E27</f>
        <v>0</v>
      </c>
      <c r="F27" s="0" t="n">
        <f aca="false">Sheet1!F27</f>
        <v>0</v>
      </c>
      <c r="G27" s="0" t="n">
        <f aca="false">Sheet1!G27</f>
        <v>2499.3389</v>
      </c>
      <c r="H27" s="0" t="n">
        <f aca="false">Sheet1!H27</f>
        <v>127.6126</v>
      </c>
      <c r="I27" s="0" t="n">
        <f aca="false">Sheet1!I27</f>
        <v>400.9069</v>
      </c>
      <c r="J27" s="0" t="n">
        <f aca="false">Sheet1!J27</f>
        <v>0.514333333333333</v>
      </c>
      <c r="K27" s="0" t="n">
        <f aca="false">Sheet1!K27</f>
        <v>0.0107</v>
      </c>
      <c r="L27" s="0" t="n">
        <f aca="false">SUM(Sheet1!O27:R27)</f>
        <v>816.9086</v>
      </c>
      <c r="M27" s="0" t="n">
        <f aca="false">SUM(Sheet1!S27:V27)</f>
        <v>238.7754</v>
      </c>
      <c r="N27" s="0" t="n">
        <f aca="false">SUM(Sheet1!W27:Z27)</f>
        <v>141.9597</v>
      </c>
      <c r="O27" s="0" t="n">
        <f aca="false">SUM(Sheet1!AA27:AD27)</f>
        <v>118.1401</v>
      </c>
      <c r="P27" s="0" t="n">
        <f aca="false">SUM(Sheet1!AE27:AN27)</f>
        <v>180.0648</v>
      </c>
      <c r="Q27" s="0" t="n">
        <f aca="false">SUM(Sheet1!AO27:AX27)</f>
        <v>141.6928</v>
      </c>
      <c r="R27" s="0" t="n">
        <f aca="false">SUM(Sheet1!AY27:BH27)</f>
        <v>27.5526</v>
      </c>
      <c r="S27" s="0" t="n">
        <f aca="false">SUM(Sheet1!BI27:BR27)</f>
        <v>2.1806</v>
      </c>
      <c r="T27" s="0" t="n">
        <f aca="false">SUM(Sheet1!BS27:CB27)</f>
        <v>0.3855</v>
      </c>
      <c r="U27" s="0" t="n">
        <f aca="false">SUM(Sheet1!CC27:CL27)</f>
        <v>0</v>
      </c>
      <c r="V27" s="0" t="n">
        <f aca="false">Sheet1!CM27</f>
        <v>0</v>
      </c>
    </row>
    <row r="28" customFormat="false" ht="15" hidden="false" customHeight="false" outlineLevel="0" collapsed="false">
      <c r="A28" s="0" t="str">
        <f aca="false">Sheet1!A28</f>
        <v>N1202</v>
      </c>
      <c r="B28" s="0" t="str">
        <f aca="false">Sheet1!B28</f>
        <v>ADVW</v>
      </c>
      <c r="C28" s="0" t="n">
        <f aca="false">Sheet1!C28</f>
        <v>304</v>
      </c>
      <c r="D28" s="0" t="str">
        <f aca="false">Sheet1!D28</f>
        <v>ADVW.304.4</v>
      </c>
      <c r="E28" s="0" t="n">
        <f aca="false">Sheet1!E28</f>
        <v>0</v>
      </c>
      <c r="F28" s="0" t="n">
        <f aca="false">Sheet1!F28</f>
        <v>2.5268</v>
      </c>
      <c r="G28" s="0" t="n">
        <f aca="false">Sheet1!G28</f>
        <v>3161.3819</v>
      </c>
      <c r="H28" s="0" t="n">
        <f aca="false">Sheet1!H28</f>
        <v>158.0761</v>
      </c>
      <c r="I28" s="0" t="n">
        <f aca="false">Sheet1!I28</f>
        <v>496.6109</v>
      </c>
      <c r="J28" s="0" t="n">
        <f aca="false">Sheet1!J28</f>
        <v>0.4421</v>
      </c>
      <c r="K28" s="0" t="n">
        <f aca="false">Sheet1!K28</f>
        <v>0</v>
      </c>
      <c r="L28" s="0" t="n">
        <f aca="false">SUM(Sheet1!O28:R28)</f>
        <v>574.5013</v>
      </c>
      <c r="M28" s="0" t="n">
        <f aca="false">SUM(Sheet1!S28:V28)</f>
        <v>226.3681</v>
      </c>
      <c r="N28" s="0" t="n">
        <f aca="false">SUM(Sheet1!W28:Z28)</f>
        <v>157.5595</v>
      </c>
      <c r="O28" s="0" t="n">
        <f aca="false">SUM(Sheet1!AA28:AD28)</f>
        <v>91.254</v>
      </c>
      <c r="P28" s="0" t="n">
        <f aca="false">SUM(Sheet1!AE28:AN28)</f>
        <v>304.9273</v>
      </c>
      <c r="Q28" s="0" t="n">
        <f aca="false">SUM(Sheet1!AO28:AX28)</f>
        <v>179.0571</v>
      </c>
      <c r="R28" s="0" t="n">
        <f aca="false">SUM(Sheet1!AY28:BH28)</f>
        <v>38.331</v>
      </c>
      <c r="S28" s="0" t="n">
        <f aca="false">SUM(Sheet1!BI28:BR28)</f>
        <v>4.8731</v>
      </c>
      <c r="T28" s="0" t="n">
        <f aca="false">SUM(Sheet1!BS28:CB28)</f>
        <v>0.5247</v>
      </c>
      <c r="U28" s="0" t="n">
        <f aca="false">SUM(Sheet1!CC28:CL28)</f>
        <v>0.1258</v>
      </c>
      <c r="V28" s="0" t="n">
        <f aca="false">Sheet1!CM28</f>
        <v>0</v>
      </c>
    </row>
    <row r="29" customFormat="false" ht="15" hidden="false" customHeight="false" outlineLevel="0" collapsed="false">
      <c r="A29" s="0" t="str">
        <f aca="false">Sheet1!A29</f>
        <v>N1203</v>
      </c>
      <c r="B29" s="0" t="str">
        <f aca="false">Sheet1!B29</f>
        <v>VWAD</v>
      </c>
      <c r="C29" s="0" t="n">
        <f aca="false">Sheet1!C29</f>
        <v>102</v>
      </c>
      <c r="D29" s="0" t="str">
        <f aca="false">Sheet1!D29</f>
        <v>VWAD.102.4</v>
      </c>
      <c r="E29" s="0" t="n">
        <f aca="false">Sheet1!E29</f>
        <v>0</v>
      </c>
      <c r="F29" s="0" t="e">
        <f aca="false">Sheet1!F29</f>
        <v>#N/A</v>
      </c>
      <c r="G29" s="0" t="n">
        <f aca="false">Sheet1!G29</f>
        <v>2879.7467</v>
      </c>
      <c r="H29" s="0" t="n">
        <f aca="false">Sheet1!H29</f>
        <v>217.1138</v>
      </c>
      <c r="I29" s="0" t="n">
        <f aca="false">Sheet1!I29</f>
        <v>682.083</v>
      </c>
      <c r="J29" s="0" t="n">
        <f aca="false">Sheet1!J29</f>
        <v>0.75545</v>
      </c>
      <c r="K29" s="0" t="n">
        <f aca="false">Sheet1!K29</f>
        <v>0</v>
      </c>
      <c r="L29" s="0" t="n">
        <f aca="false">SUM(Sheet1!O29:R29)</f>
        <v>490.7494</v>
      </c>
      <c r="M29" s="0" t="n">
        <f aca="false">SUM(Sheet1!S29:V29)</f>
        <v>234.1623</v>
      </c>
      <c r="N29" s="0" t="n">
        <f aca="false">SUM(Sheet1!W29:Z29)</f>
        <v>139.6239</v>
      </c>
      <c r="O29" s="0" t="n">
        <f aca="false">SUM(Sheet1!AA29:AD29)</f>
        <v>91.8708</v>
      </c>
      <c r="P29" s="0" t="n">
        <f aca="false">SUM(Sheet1!AE29:AN29)</f>
        <v>373.393</v>
      </c>
      <c r="Q29" s="0" t="n">
        <f aca="false">SUM(Sheet1!AO29:AX29)</f>
        <v>492.7485</v>
      </c>
      <c r="R29" s="0" t="n">
        <f aca="false">SUM(Sheet1!AY29:BH29)</f>
        <v>67.0801</v>
      </c>
      <c r="S29" s="0" t="n">
        <f aca="false">SUM(Sheet1!BI29:BR29)</f>
        <v>3.0657</v>
      </c>
      <c r="T29" s="0" t="n">
        <f aca="false">SUM(Sheet1!BS29:CB29)</f>
        <v>0.283</v>
      </c>
      <c r="U29" s="0" t="n">
        <f aca="false">SUM(Sheet1!CC29:CL29)</f>
        <v>0.0518</v>
      </c>
      <c r="V29" s="0" t="n">
        <f aca="false">Sheet1!CM29</f>
        <v>0</v>
      </c>
    </row>
    <row r="30" customFormat="false" ht="15" hidden="false" customHeight="false" outlineLevel="0" collapsed="false">
      <c r="A30" s="0" t="str">
        <f aca="false">Sheet1!A30</f>
        <v>N1206</v>
      </c>
      <c r="B30" s="0" t="str">
        <f aca="false">Sheet1!C30</f>
        <v>AP13</v>
      </c>
      <c r="C30" s="0" t="str">
        <f aca="false">Sheet1!D30</f>
        <v>F0.AP13</v>
      </c>
      <c r="D30" s="0" t="e">
        <f aca="false">sheet1!#ref!</f>
        <v>#NAME?</v>
      </c>
      <c r="E30" s="0" t="str">
        <f aca="false">Sheet1!E30</f>
        <v>REDO</v>
      </c>
      <c r="F30" s="0" t="n">
        <f aca="false">Sheet1!F30</f>
        <v>0</v>
      </c>
      <c r="G30" s="0" t="n">
        <f aca="false">Sheet1!G30</f>
        <v>5573.1669</v>
      </c>
      <c r="H30" s="0" t="n">
        <f aca="false">Sheet1!H30</f>
        <v>460.8756</v>
      </c>
      <c r="I30" s="0" t="n">
        <f aca="false">Sheet1!I30</f>
        <v>1447.8831</v>
      </c>
      <c r="J30" s="0" t="n">
        <f aca="false">Sheet1!J30</f>
        <v>0.8343375</v>
      </c>
      <c r="K30" s="0" t="n">
        <f aca="false">Sheet1!K30</f>
        <v>0</v>
      </c>
      <c r="L30" s="0" t="n">
        <f aca="false">SUM(Sheet1!O30:R30)</f>
        <v>1377.6303</v>
      </c>
      <c r="M30" s="0" t="n">
        <f aca="false">SUM(Sheet1!S30:V30)</f>
        <v>749.3842</v>
      </c>
      <c r="N30" s="0" t="n">
        <f aca="false">SUM(Sheet1!W30:Z30)</f>
        <v>556.7555</v>
      </c>
      <c r="O30" s="0" t="n">
        <f aca="false">SUM(Sheet1!AA30:AD30)</f>
        <v>400.3172</v>
      </c>
      <c r="P30" s="0" t="n">
        <f aca="false">SUM(Sheet1!AE30:AN30)</f>
        <v>814.7616</v>
      </c>
      <c r="Q30" s="0" t="n">
        <f aca="false">SUM(Sheet1!AO30:AX30)</f>
        <v>531.9549</v>
      </c>
      <c r="R30" s="0" t="n">
        <f aca="false">SUM(Sheet1!AY30:BH30)</f>
        <v>238.9263</v>
      </c>
      <c r="S30" s="0" t="n">
        <f aca="false">SUM(Sheet1!BI30:BR30)</f>
        <v>69.9711</v>
      </c>
      <c r="T30" s="0" t="n">
        <f aca="false">SUM(Sheet1!BS30:CB30)</f>
        <v>19.8278</v>
      </c>
      <c r="U30" s="0" t="n">
        <f aca="false">SUM(Sheet1!CC30:CL30)</f>
        <v>3.9308</v>
      </c>
      <c r="V30" s="0" t="n">
        <f aca="false">Sheet1!CM30</f>
        <v>1.3285</v>
      </c>
    </row>
    <row r="31" customFormat="false" ht="15" hidden="false" customHeight="false" outlineLevel="0" collapsed="false">
      <c r="A31" s="0" t="str">
        <f aca="false">Sheet1!A31</f>
        <v>N1207</v>
      </c>
      <c r="B31" s="0" t="str">
        <f aca="false">Sheet1!B31</f>
        <v>ADVW</v>
      </c>
      <c r="C31" s="0" t="n">
        <f aca="false">Sheet1!C31</f>
        <v>275</v>
      </c>
      <c r="D31" s="0" t="str">
        <f aca="false">Sheet1!D31</f>
        <v>ADVW.275.16</v>
      </c>
      <c r="E31" s="0" t="n">
        <f aca="false">Sheet1!E31</f>
        <v>0</v>
      </c>
      <c r="F31" s="0" t="e">
        <f aca="false">Sheet1!F31</f>
        <v>#N/A</v>
      </c>
      <c r="G31" s="0" t="n">
        <f aca="false">Sheet1!G31</f>
        <v>1446.9662</v>
      </c>
      <c r="H31" s="0" t="n">
        <f aca="false">Sheet1!H31</f>
        <v>75.0872</v>
      </c>
      <c r="I31" s="0" t="n">
        <f aca="false">Sheet1!I31</f>
        <v>235.8936</v>
      </c>
      <c r="J31" s="0" t="n">
        <f aca="false">Sheet1!J31</f>
        <v>0.554366666666667</v>
      </c>
      <c r="K31" s="0" t="n">
        <f aca="false">Sheet1!K31</f>
        <v>0</v>
      </c>
      <c r="L31" s="0" t="n">
        <f aca="false">SUM(Sheet1!O31:R31)</f>
        <v>351.9724</v>
      </c>
      <c r="M31" s="0" t="n">
        <f aca="false">SUM(Sheet1!S31:V31)</f>
        <v>201.4948</v>
      </c>
      <c r="N31" s="0" t="n">
        <f aca="false">SUM(Sheet1!W31:Z31)</f>
        <v>103.8044</v>
      </c>
      <c r="O31" s="0" t="n">
        <f aca="false">SUM(Sheet1!AA31:AD31)</f>
        <v>79.8568</v>
      </c>
      <c r="P31" s="0" t="n">
        <f aca="false">SUM(Sheet1!AE31:AN31)</f>
        <v>106.3088</v>
      </c>
      <c r="Q31" s="0" t="n">
        <f aca="false">SUM(Sheet1!AO31:AX31)</f>
        <v>61.7682</v>
      </c>
      <c r="R31" s="0" t="n">
        <f aca="false">SUM(Sheet1!AY31:BH31)</f>
        <v>15.6636</v>
      </c>
      <c r="S31" s="0" t="n">
        <f aca="false">SUM(Sheet1!BI31:BR31)</f>
        <v>0.6004</v>
      </c>
      <c r="T31" s="0" t="n">
        <f aca="false">SUM(Sheet1!BS31:CB31)</f>
        <v>0.1601</v>
      </c>
      <c r="U31" s="0" t="n">
        <f aca="false">SUM(Sheet1!CC31:CL31)</f>
        <v>0.1886</v>
      </c>
      <c r="V31" s="0" t="n">
        <f aca="false">Sheet1!CM31</f>
        <v>0.0263</v>
      </c>
    </row>
    <row r="32" customFormat="false" ht="15" hidden="false" customHeight="false" outlineLevel="0" collapsed="false">
      <c r="A32" s="0" t="str">
        <f aca="false">Sheet1!A32</f>
        <v>N1210</v>
      </c>
      <c r="B32" s="0" t="str">
        <f aca="false">Sheet1!B32</f>
        <v>VWAD</v>
      </c>
      <c r="C32" s="0" t="n">
        <f aca="false">Sheet1!C32</f>
        <v>145</v>
      </c>
      <c r="D32" s="0" t="str">
        <f aca="false">Sheet1!D32</f>
        <v>VWAD.145.4</v>
      </c>
      <c r="E32" s="0" t="n">
        <f aca="false">Sheet1!E32</f>
        <v>0</v>
      </c>
      <c r="F32" s="0" t="e">
        <f aca="false">Sheet1!F32</f>
        <v>#N/A</v>
      </c>
      <c r="G32" s="0" t="n">
        <f aca="false">Sheet1!G32</f>
        <v>2441.3123</v>
      </c>
      <c r="H32" s="0" t="n">
        <f aca="false">Sheet1!H32</f>
        <v>191.7887</v>
      </c>
      <c r="I32" s="0" t="n">
        <f aca="false">Sheet1!I32</f>
        <v>602.5219</v>
      </c>
      <c r="J32" s="0" t="n">
        <f aca="false">Sheet1!J32</f>
        <v>0.7855</v>
      </c>
      <c r="K32" s="0" t="n">
        <f aca="false">Sheet1!K32</f>
        <v>0.0196</v>
      </c>
      <c r="L32" s="0" t="n">
        <f aca="false">SUM(Sheet1!O32:R32)</f>
        <v>783.6881</v>
      </c>
      <c r="M32" s="0" t="n">
        <f aca="false">SUM(Sheet1!S32:V32)</f>
        <v>547.3044</v>
      </c>
      <c r="N32" s="0" t="n">
        <f aca="false">SUM(Sheet1!W32:Z32)</f>
        <v>290.7649</v>
      </c>
      <c r="O32" s="0" t="n">
        <f aca="false">SUM(Sheet1!AA32:AD32)</f>
        <v>130.87</v>
      </c>
      <c r="P32" s="0" t="n">
        <f aca="false">SUM(Sheet1!AE32:AN32)</f>
        <v>177.5941</v>
      </c>
      <c r="Q32" s="0" t="n">
        <f aca="false">SUM(Sheet1!AO32:AX32)</f>
        <v>207.2773</v>
      </c>
      <c r="R32" s="0" t="n">
        <f aca="false">SUM(Sheet1!AY32:BH32)</f>
        <v>64.2841</v>
      </c>
      <c r="S32" s="0" t="n">
        <f aca="false">SUM(Sheet1!BI32:BR32)</f>
        <v>12.8684</v>
      </c>
      <c r="T32" s="0" t="n">
        <f aca="false">SUM(Sheet1!BS32:CB32)</f>
        <v>1.9873</v>
      </c>
      <c r="U32" s="0" t="n">
        <f aca="false">SUM(Sheet1!CC32:CL32)</f>
        <v>1.5214</v>
      </c>
      <c r="V32" s="0" t="n">
        <f aca="false">Sheet1!CM32</f>
        <v>0.9675</v>
      </c>
    </row>
    <row r="33" customFormat="false" ht="15" hidden="false" customHeight="false" outlineLevel="0" collapsed="false">
      <c r="A33" s="0" t="str">
        <f aca="false">Sheet1!A33</f>
        <v>N1211</v>
      </c>
      <c r="B33" s="0" t="str">
        <f aca="false">Sheet1!B33</f>
        <v>ADVW</v>
      </c>
      <c r="C33" s="0" t="n">
        <f aca="false">Sheet1!C33</f>
        <v>305</v>
      </c>
      <c r="D33" s="0" t="str">
        <f aca="false">Sheet1!D33</f>
        <v>ADVW.305.4</v>
      </c>
      <c r="E33" s="0" t="n">
        <f aca="false">Sheet1!E33</f>
        <v>0</v>
      </c>
      <c r="F33" s="0" t="n">
        <f aca="false">Sheet1!F33</f>
        <v>0</v>
      </c>
      <c r="G33" s="0" t="n">
        <f aca="false">Sheet1!G33</f>
        <v>3858.4617</v>
      </c>
      <c r="H33" s="0" t="n">
        <f aca="false">Sheet1!H33</f>
        <v>298.3743</v>
      </c>
      <c r="I33" s="0" t="n">
        <f aca="false">Sheet1!I33</f>
        <v>937.3703</v>
      </c>
      <c r="J33" s="0" t="n">
        <f aca="false">Sheet1!J33</f>
        <v>0.745825</v>
      </c>
      <c r="K33" s="0" t="n">
        <f aca="false">Sheet1!K33</f>
        <v>0</v>
      </c>
      <c r="L33" s="0" t="n">
        <f aca="false">SUM(Sheet1!O33:R33)</f>
        <v>742.0303</v>
      </c>
      <c r="M33" s="0" t="n">
        <f aca="false">SUM(Sheet1!S33:V33)</f>
        <v>273.353</v>
      </c>
      <c r="N33" s="0" t="n">
        <f aca="false">SUM(Sheet1!W33:Z33)</f>
        <v>198.1738</v>
      </c>
      <c r="O33" s="0" t="n">
        <f aca="false">SUM(Sheet1!AA33:AD33)</f>
        <v>189.0583</v>
      </c>
      <c r="P33" s="0" t="n">
        <f aca="false">SUM(Sheet1!AE33:AN33)</f>
        <v>693.0929</v>
      </c>
      <c r="Q33" s="0" t="n">
        <f aca="false">SUM(Sheet1!AO33:AX33)</f>
        <v>559.1466</v>
      </c>
      <c r="R33" s="0" t="n">
        <f aca="false">SUM(Sheet1!AY33:BH33)</f>
        <v>81.6958</v>
      </c>
      <c r="S33" s="0" t="n">
        <f aca="false">SUM(Sheet1!BI33:BR33)</f>
        <v>12.0521</v>
      </c>
      <c r="T33" s="0" t="n">
        <f aca="false">SUM(Sheet1!BS33:CB33)</f>
        <v>2.5497</v>
      </c>
      <c r="U33" s="0" t="n">
        <f aca="false">SUM(Sheet1!CC33:CL33)</f>
        <v>0.3289</v>
      </c>
      <c r="V33" s="0" t="n">
        <f aca="false">Sheet1!CM33</f>
        <v>0.19</v>
      </c>
    </row>
    <row r="34" customFormat="false" ht="15" hidden="false" customHeight="false" outlineLevel="0" collapsed="false">
      <c r="A34" s="0" t="str">
        <f aca="false">Sheet1!A34</f>
        <v>N1212</v>
      </c>
      <c r="B34" s="0" t="str">
        <f aca="false">Sheet1!B34</f>
        <v>VWAD</v>
      </c>
      <c r="C34" s="0" t="n">
        <f aca="false">Sheet1!C34</f>
        <v>24</v>
      </c>
      <c r="D34" s="0" t="str">
        <f aca="false">Sheet1!D34</f>
        <v>VWAD.24.4</v>
      </c>
      <c r="E34" s="0" t="n">
        <f aca="false">Sheet1!E34</f>
        <v>0</v>
      </c>
      <c r="F34" s="0" t="n">
        <f aca="false">Sheet1!F34</f>
        <v>0</v>
      </c>
      <c r="G34" s="0" t="n">
        <f aca="false">Sheet1!G34</f>
        <v>1286.9387</v>
      </c>
      <c r="H34" s="0" t="n">
        <f aca="false">Sheet1!H34</f>
        <v>76.2582</v>
      </c>
      <c r="I34" s="0" t="n">
        <f aca="false">Sheet1!I34</f>
        <v>239.5722</v>
      </c>
      <c r="J34" s="0" t="n">
        <f aca="false">Sheet1!J34</f>
        <v>0.58955</v>
      </c>
      <c r="K34" s="0" t="n">
        <f aca="false">Sheet1!K34</f>
        <v>0</v>
      </c>
      <c r="L34" s="0" t="n">
        <f aca="false">SUM(Sheet1!O34:R34)</f>
        <v>275.2626</v>
      </c>
      <c r="M34" s="0" t="n">
        <f aca="false">SUM(Sheet1!S34:V34)</f>
        <v>141.9706</v>
      </c>
      <c r="N34" s="0" t="n">
        <f aca="false">SUM(Sheet1!W34:Z34)</f>
        <v>101.8519</v>
      </c>
      <c r="O34" s="0" t="n">
        <f aca="false">SUM(Sheet1!AA34:AD34)</f>
        <v>86.5261</v>
      </c>
      <c r="P34" s="0" t="n">
        <f aca="false">SUM(Sheet1!AE34:AN34)</f>
        <v>164.9908</v>
      </c>
      <c r="Q34" s="0" t="n">
        <f aca="false">SUM(Sheet1!AO34:AX34)</f>
        <v>104.1611</v>
      </c>
      <c r="R34" s="0" t="n">
        <f aca="false">SUM(Sheet1!AY34:BH34)</f>
        <v>4.1372</v>
      </c>
      <c r="S34" s="0" t="n">
        <f aca="false">SUM(Sheet1!BI34:BR34)</f>
        <v>0.0206</v>
      </c>
      <c r="T34" s="0" t="n">
        <f aca="false">SUM(Sheet1!BS34:CB34)</f>
        <v>0.1296</v>
      </c>
      <c r="U34" s="0" t="n">
        <f aca="false">SUM(Sheet1!CC34:CL34)</f>
        <v>0</v>
      </c>
      <c r="V34" s="0" t="n">
        <f aca="false">Sheet1!CM34</f>
        <v>0</v>
      </c>
    </row>
    <row r="35" customFormat="false" ht="15" hidden="false" customHeight="false" outlineLevel="0" collapsed="false">
      <c r="A35" s="0" t="str">
        <f aca="false">Sheet1!A35</f>
        <v>N1214</v>
      </c>
      <c r="B35" s="0" t="str">
        <f aca="false">Sheet1!B35</f>
        <v>F0</v>
      </c>
      <c r="C35" s="0" t="str">
        <f aca="false">Sheet1!C35</f>
        <v>DAC</v>
      </c>
      <c r="D35" s="0" t="str">
        <f aca="false">Sheet1!D35</f>
        <v>F0.DAC</v>
      </c>
      <c r="E35" s="0" t="e">
        <f aca="false">Sheet1!E35</f>
        <v>#N/A</v>
      </c>
      <c r="F35" s="0" t="n">
        <f aca="false">Sheet1!F35</f>
        <v>0.4262</v>
      </c>
      <c r="G35" s="0" t="n">
        <f aca="false">Sheet1!G35</f>
        <v>1610.1328</v>
      </c>
      <c r="H35" s="0" t="n">
        <f aca="false">Sheet1!H35</f>
        <v>115.9344</v>
      </c>
      <c r="I35" s="0" t="n">
        <f aca="false">Sheet1!I35</f>
        <v>364.2188</v>
      </c>
      <c r="J35" s="0" t="n">
        <f aca="false">Sheet1!J35</f>
        <v>0.693925</v>
      </c>
      <c r="K35" s="0" t="n">
        <f aca="false">Sheet1!K35</f>
        <v>0.0572</v>
      </c>
      <c r="L35" s="0" t="n">
        <f aca="false">SUM(Sheet1!O35:R35)</f>
        <v>449.6766</v>
      </c>
      <c r="M35" s="0" t="n">
        <f aca="false">SUM(Sheet1!S35:V35)</f>
        <v>248.1997</v>
      </c>
      <c r="N35" s="0" t="n">
        <f aca="false">SUM(Sheet1!W35:Z35)</f>
        <v>191.5395</v>
      </c>
      <c r="O35" s="0" t="n">
        <f aca="false">SUM(Sheet1!AA35:AD35)</f>
        <v>194.1535</v>
      </c>
      <c r="P35" s="0" t="n">
        <f aca="false">SUM(Sheet1!AE35:AN35)</f>
        <v>251.7385</v>
      </c>
      <c r="Q35" s="0" t="n">
        <f aca="false">SUM(Sheet1!AO35:AX35)</f>
        <v>43.2194</v>
      </c>
      <c r="R35" s="0" t="n">
        <f aca="false">SUM(Sheet1!AY35:BH35)</f>
        <v>2.8378</v>
      </c>
      <c r="S35" s="0" t="n">
        <f aca="false">SUM(Sheet1!BI35:BR35)</f>
        <v>1.8031</v>
      </c>
      <c r="T35" s="0" t="n">
        <f aca="false">SUM(Sheet1!BS35:CB35)</f>
        <v>0.5447</v>
      </c>
      <c r="U35" s="0" t="n">
        <f aca="false">SUM(Sheet1!CC35:CL35)</f>
        <v>0</v>
      </c>
      <c r="V35" s="0" t="n">
        <f aca="false">Sheet1!CM35</f>
        <v>0</v>
      </c>
    </row>
    <row r="36" customFormat="false" ht="15" hidden="false" customHeight="false" outlineLevel="0" collapsed="false">
      <c r="A36" s="0" t="str">
        <f aca="false">Sheet1!A36</f>
        <v>N1215</v>
      </c>
      <c r="B36" s="0" t="str">
        <f aca="false">Sheet1!B36</f>
        <v>VWAD</v>
      </c>
      <c r="C36" s="0" t="n">
        <f aca="false">Sheet1!C36</f>
        <v>38</v>
      </c>
      <c r="D36" s="0" t="str">
        <f aca="false">Sheet1!D36</f>
        <v>VWAD.38.4</v>
      </c>
      <c r="E36" s="0" t="n">
        <f aca="false">Sheet1!E36</f>
        <v>0</v>
      </c>
      <c r="F36" s="0" t="n">
        <f aca="false">Sheet1!F36</f>
        <v>0</v>
      </c>
      <c r="G36" s="0" t="n">
        <f aca="false">Sheet1!G36</f>
        <v>3359.9556</v>
      </c>
      <c r="H36" s="0" t="n">
        <f aca="false">Sheet1!H36</f>
        <v>210.6019</v>
      </c>
      <c r="I36" s="0" t="n">
        <f aca="false">Sheet1!I36</f>
        <v>661.6247</v>
      </c>
      <c r="J36" s="0" t="n">
        <f aca="false">Sheet1!J36</f>
        <v>0.597433333333333</v>
      </c>
      <c r="K36" s="0" t="n">
        <f aca="false">Sheet1!K36</f>
        <v>0</v>
      </c>
      <c r="L36" s="0" t="n">
        <f aca="false">SUM(Sheet1!O36:R36)</f>
        <v>777.406</v>
      </c>
      <c r="M36" s="0" t="n">
        <f aca="false">SUM(Sheet1!S36:V36)</f>
        <v>220.6955</v>
      </c>
      <c r="N36" s="0" t="n">
        <f aca="false">SUM(Sheet1!W36:Z36)</f>
        <v>183.8191</v>
      </c>
      <c r="O36" s="0" t="n">
        <f aca="false">SUM(Sheet1!AA36:AD36)</f>
        <v>169.7351</v>
      </c>
      <c r="P36" s="0" t="n">
        <f aca="false">SUM(Sheet1!AE36:AN36)</f>
        <v>488.6415</v>
      </c>
      <c r="Q36" s="0" t="n">
        <f aca="false">SUM(Sheet1!AO36:AX36)</f>
        <v>307.4444</v>
      </c>
      <c r="R36" s="0" t="n">
        <f aca="false">SUM(Sheet1!AY36:BH36)</f>
        <v>38.218</v>
      </c>
      <c r="S36" s="0" t="n">
        <f aca="false">SUM(Sheet1!BI36:BR36)</f>
        <v>4.0914</v>
      </c>
      <c r="T36" s="0" t="n">
        <f aca="false">SUM(Sheet1!BS36:CB36)</f>
        <v>1.0614</v>
      </c>
      <c r="U36" s="0" t="n">
        <f aca="false">SUM(Sheet1!CC36:CL36)</f>
        <v>0.1721</v>
      </c>
      <c r="V36" s="0" t="n">
        <f aca="false">Sheet1!CM36</f>
        <v>0</v>
      </c>
    </row>
    <row r="37" customFormat="false" ht="15" hidden="false" customHeight="false" outlineLevel="0" collapsed="false">
      <c r="A37" s="0" t="str">
        <f aca="false">Sheet1!A37</f>
        <v>N1216</v>
      </c>
      <c r="B37" s="0" t="str">
        <f aca="false">Sheet1!B37</f>
        <v>ADVW</v>
      </c>
      <c r="C37" s="0" t="n">
        <f aca="false">Sheet1!C37</f>
        <v>248</v>
      </c>
      <c r="D37" s="0" t="str">
        <f aca="false">Sheet1!D37</f>
        <v>ADVW.248.4</v>
      </c>
      <c r="E37" s="0" t="e">
        <f aca="false">Sheet1!E37</f>
        <v>#N/A</v>
      </c>
      <c r="F37" s="0" t="n">
        <f aca="false">Sheet1!F37</f>
        <v>4.233</v>
      </c>
      <c r="G37" s="0" t="n">
        <f aca="false">Sheet1!G37</f>
        <v>1466.8714</v>
      </c>
      <c r="H37" s="0" t="n">
        <f aca="false">Sheet1!H37</f>
        <v>203.7666</v>
      </c>
      <c r="I37" s="0" t="n">
        <f aca="false">Sheet1!I37</f>
        <v>640.1517</v>
      </c>
      <c r="J37" s="0" t="n">
        <f aca="false">Sheet1!J37</f>
        <v>1.14275</v>
      </c>
      <c r="K37" s="0" t="n">
        <f aca="false">Sheet1!K37</f>
        <v>0</v>
      </c>
      <c r="L37" s="0" t="n">
        <f aca="false">SUM(Sheet1!O37:R37)</f>
        <v>327.2795</v>
      </c>
      <c r="M37" s="0" t="n">
        <f aca="false">SUM(Sheet1!S37:V37)</f>
        <v>140.8734</v>
      </c>
      <c r="N37" s="0" t="n">
        <f aca="false">SUM(Sheet1!W37:Z37)</f>
        <v>90.5021</v>
      </c>
      <c r="O37" s="0" t="n">
        <f aca="false">SUM(Sheet1!AA37:AD37)</f>
        <v>85.4985</v>
      </c>
      <c r="P37" s="0" t="n">
        <f aca="false">SUM(Sheet1!AE37:AN37)</f>
        <v>175.6304</v>
      </c>
      <c r="Q37" s="0" t="n">
        <f aca="false">SUM(Sheet1!AO37:AX37)</f>
        <v>302.7372</v>
      </c>
      <c r="R37" s="0" t="n">
        <f aca="false">SUM(Sheet1!AY37:BH37)</f>
        <v>170.5036</v>
      </c>
      <c r="S37" s="0" t="n">
        <f aca="false">SUM(Sheet1!BI37:BR37)</f>
        <v>52.456</v>
      </c>
      <c r="T37" s="0" t="n">
        <f aca="false">SUM(Sheet1!BS37:CB37)</f>
        <v>28.1858</v>
      </c>
      <c r="U37" s="0" t="n">
        <f aca="false">SUM(Sheet1!CC37:CL37)</f>
        <v>12.383</v>
      </c>
      <c r="V37" s="0" t="n">
        <f aca="false">Sheet1!CM37</f>
        <v>21.165</v>
      </c>
    </row>
    <row r="38" customFormat="false" ht="15" hidden="false" customHeight="false" outlineLevel="0" collapsed="false">
      <c r="A38" s="0" t="str">
        <f aca="false">Sheet1!A38</f>
        <v>N1217</v>
      </c>
      <c r="B38" s="0" t="str">
        <f aca="false">Sheet1!B38</f>
        <v>VWAD</v>
      </c>
      <c r="C38" s="0" t="n">
        <f aca="false">Sheet1!C38</f>
        <v>142</v>
      </c>
      <c r="D38" s="0" t="str">
        <f aca="false">Sheet1!D38</f>
        <v>VWAD.142.4</v>
      </c>
      <c r="E38" s="0" t="n">
        <f aca="false">Sheet1!E38</f>
        <v>0</v>
      </c>
      <c r="F38" s="0" t="e">
        <f aca="false">Sheet1!F38</f>
        <v>#N/A</v>
      </c>
      <c r="G38" s="0" t="n">
        <f aca="false">Sheet1!G38</f>
        <v>4824.3176</v>
      </c>
      <c r="H38" s="0" t="n">
        <f aca="false">Sheet1!H38</f>
        <v>189.9723</v>
      </c>
      <c r="I38" s="0" t="n">
        <f aca="false">Sheet1!I38</f>
        <v>596.8153</v>
      </c>
      <c r="J38" s="0" t="n">
        <f aca="false">Sheet1!J38</f>
        <v>0.390233333333333</v>
      </c>
      <c r="K38" s="0" t="n">
        <f aca="false">Sheet1!K38</f>
        <v>0</v>
      </c>
      <c r="L38" s="0" t="n">
        <f aca="false">SUM(Sheet1!O38:R38)</f>
        <v>910.3989</v>
      </c>
      <c r="M38" s="0" t="n">
        <f aca="false">SUM(Sheet1!S38:V38)</f>
        <v>300.0865</v>
      </c>
      <c r="N38" s="0" t="n">
        <f aca="false">SUM(Sheet1!W38:Z38)</f>
        <v>218.1027</v>
      </c>
      <c r="O38" s="0" t="n">
        <f aca="false">SUM(Sheet1!AA38:AD38)</f>
        <v>125.4996</v>
      </c>
      <c r="P38" s="0" t="n">
        <f aca="false">SUM(Sheet1!AE38:AN38)</f>
        <v>255.6043</v>
      </c>
      <c r="Q38" s="0" t="n">
        <f aca="false">SUM(Sheet1!AO38:AX38)</f>
        <v>160.6693</v>
      </c>
      <c r="R38" s="0" t="n">
        <f aca="false">SUM(Sheet1!AY38:BH38)</f>
        <v>31.7101</v>
      </c>
      <c r="S38" s="0" t="n">
        <f aca="false">SUM(Sheet1!BI38:BR38)</f>
        <v>3.3558</v>
      </c>
      <c r="T38" s="0" t="n">
        <f aca="false">SUM(Sheet1!BS38:CB38)</f>
        <v>0.3073</v>
      </c>
      <c r="U38" s="0" t="n">
        <f aca="false">SUM(Sheet1!CC38:CL38)</f>
        <v>0</v>
      </c>
      <c r="V38" s="0" t="n">
        <f aca="false">Sheet1!CM38</f>
        <v>0</v>
      </c>
    </row>
    <row r="39" customFormat="false" ht="15" hidden="false" customHeight="false" outlineLevel="0" collapsed="false">
      <c r="A39" s="0" t="str">
        <f aca="false">Sheet1!A39</f>
        <v>N1218</v>
      </c>
      <c r="B39" s="0" t="str">
        <f aca="false">Sheet1!B39</f>
        <v>ADVW</v>
      </c>
      <c r="C39" s="0" t="n">
        <f aca="false">Sheet1!C39</f>
        <v>301</v>
      </c>
      <c r="D39" s="0" t="str">
        <f aca="false">Sheet1!D39</f>
        <v>ADVW.301.4</v>
      </c>
      <c r="E39" s="0" t="n">
        <f aca="false">Sheet1!E39</f>
        <v>0</v>
      </c>
      <c r="F39" s="0" t="e">
        <f aca="false">Sheet1!F39</f>
        <v>#N/A</v>
      </c>
      <c r="G39" s="0" t="n">
        <f aca="false">Sheet1!G39</f>
        <v>3601.8852</v>
      </c>
      <c r="H39" s="0" t="n">
        <f aca="false">Sheet1!H39</f>
        <v>174.7418</v>
      </c>
      <c r="I39" s="0" t="n">
        <f aca="false">Sheet1!I39</f>
        <v>548.9679</v>
      </c>
      <c r="J39" s="0" t="n">
        <f aca="false">Sheet1!J39</f>
        <v>0.50492</v>
      </c>
      <c r="K39" s="0" t="n">
        <f aca="false">Sheet1!K39</f>
        <v>0</v>
      </c>
      <c r="L39" s="0" t="n">
        <f aca="false">SUM(Sheet1!O39:R39)</f>
        <v>846.7121</v>
      </c>
      <c r="M39" s="0" t="n">
        <f aca="false">SUM(Sheet1!S39:V39)</f>
        <v>351.654</v>
      </c>
      <c r="N39" s="0" t="n">
        <f aca="false">SUM(Sheet1!W39:Z39)</f>
        <v>163.8368</v>
      </c>
      <c r="O39" s="0" t="n">
        <f aca="false">SUM(Sheet1!AA39:AD39)</f>
        <v>104.3492</v>
      </c>
      <c r="P39" s="0" t="n">
        <f aca="false">SUM(Sheet1!AE39:AN39)</f>
        <v>222.9833</v>
      </c>
      <c r="Q39" s="0" t="n">
        <f aca="false">SUM(Sheet1!AO39:AX39)</f>
        <v>185.8925</v>
      </c>
      <c r="R39" s="0" t="n">
        <f aca="false">SUM(Sheet1!AY39:BH39)</f>
        <v>49.7878</v>
      </c>
      <c r="S39" s="0" t="n">
        <f aca="false">SUM(Sheet1!BI39:BR39)</f>
        <v>8.6918</v>
      </c>
      <c r="T39" s="0" t="n">
        <f aca="false">SUM(Sheet1!BS39:CB39)</f>
        <v>1.8917</v>
      </c>
      <c r="U39" s="0" t="n">
        <f aca="false">SUM(Sheet1!CC39:CL39)</f>
        <v>0.3967</v>
      </c>
      <c r="V39" s="0" t="n">
        <f aca="false">Sheet1!CM39</f>
        <v>0</v>
      </c>
    </row>
    <row r="40" customFormat="false" ht="15" hidden="false" customHeight="false" outlineLevel="0" collapsed="false">
      <c r="A40" s="0" t="str">
        <f aca="false">Sheet1!A40</f>
        <v>N1220</v>
      </c>
      <c r="B40" s="0" t="str">
        <f aca="false">Sheet1!B40</f>
        <v>ADVW</v>
      </c>
      <c r="C40" s="0" t="n">
        <f aca="false">Sheet1!C40</f>
        <v>260</v>
      </c>
      <c r="D40" s="0" t="str">
        <f aca="false">Sheet1!D40</f>
        <v>ADVW.260.4</v>
      </c>
      <c r="E40" s="0" t="n">
        <f aca="false">Sheet1!E40</f>
        <v>0</v>
      </c>
      <c r="F40" s="0" t="n">
        <f aca="false">Sheet1!F40</f>
        <v>0</v>
      </c>
      <c r="G40" s="0" t="n">
        <f aca="false">Sheet1!G40</f>
        <v>1835.5727</v>
      </c>
      <c r="H40" s="0" t="n">
        <f aca="false">Sheet1!H40</f>
        <v>107.5121</v>
      </c>
      <c r="I40" s="0" t="n">
        <f aca="false">Sheet1!I40</f>
        <v>337.7591</v>
      </c>
      <c r="J40" s="0" t="n">
        <f aca="false">Sheet1!J40</f>
        <v>0.59455</v>
      </c>
      <c r="K40" s="0" t="n">
        <f aca="false">Sheet1!K40</f>
        <v>0.0092</v>
      </c>
      <c r="L40" s="0" t="n">
        <f aca="false">SUM(Sheet1!O40:R40)</f>
        <v>522.3558</v>
      </c>
      <c r="M40" s="0" t="n">
        <f aca="false">SUM(Sheet1!S40:V40)</f>
        <v>163.5384</v>
      </c>
      <c r="N40" s="0" t="n">
        <f aca="false">SUM(Sheet1!W40:Z40)</f>
        <v>94.8049</v>
      </c>
      <c r="O40" s="0" t="n">
        <f aca="false">SUM(Sheet1!AA40:AD40)</f>
        <v>99.6557</v>
      </c>
      <c r="P40" s="0" t="n">
        <f aca="false">SUM(Sheet1!AE40:AN40)</f>
        <v>252.6574</v>
      </c>
      <c r="Q40" s="0" t="n">
        <f aca="false">SUM(Sheet1!AO40:AX40)</f>
        <v>116.1717</v>
      </c>
      <c r="R40" s="0" t="n">
        <f aca="false">SUM(Sheet1!AY40:BH40)</f>
        <v>17.6051</v>
      </c>
      <c r="S40" s="0" t="n">
        <f aca="false">SUM(Sheet1!BI40:BR40)</f>
        <v>2.6037</v>
      </c>
      <c r="T40" s="0" t="n">
        <f aca="false">SUM(Sheet1!BS40:CB40)</f>
        <v>0.5579</v>
      </c>
      <c r="U40" s="0" t="n">
        <f aca="false">SUM(Sheet1!CC40:CL40)</f>
        <v>0</v>
      </c>
      <c r="V40" s="0" t="n">
        <f aca="false">Sheet1!CM40</f>
        <v>0</v>
      </c>
    </row>
    <row r="41" customFormat="false" ht="15" hidden="false" customHeight="false" outlineLevel="0" collapsed="false">
      <c r="A41" s="0" t="str">
        <f aca="false">Sheet1!A41</f>
        <v>N1302</v>
      </c>
      <c r="B41" s="0" t="str">
        <f aca="false">Sheet1!B41</f>
        <v>ADVW</v>
      </c>
      <c r="C41" s="0" t="n">
        <f aca="false">Sheet1!C41</f>
        <v>313</v>
      </c>
      <c r="D41" s="0" t="str">
        <f aca="false">Sheet1!D41</f>
        <v>ADVW.313.4</v>
      </c>
      <c r="E41" s="0" t="n">
        <f aca="false">Sheet1!E41</f>
        <v>0</v>
      </c>
      <c r="F41" s="0" t="n">
        <f aca="false">Sheet1!F41</f>
        <v>0</v>
      </c>
      <c r="G41" s="0" t="n">
        <f aca="false">Sheet1!G41</f>
        <v>3888.1678</v>
      </c>
      <c r="H41" s="0" t="n">
        <f aca="false">Sheet1!H41</f>
        <v>219.4611</v>
      </c>
      <c r="I41" s="0" t="n">
        <f aca="false">Sheet1!I41</f>
        <v>689.4576</v>
      </c>
      <c r="J41" s="0" t="n">
        <f aca="false">Sheet1!J41</f>
        <v>0.68905</v>
      </c>
      <c r="K41" s="0" t="n">
        <f aca="false">Sheet1!K41</f>
        <v>0</v>
      </c>
      <c r="L41" s="0" t="n">
        <f aca="false">SUM(Sheet1!O41:R41)</f>
        <v>623.8666</v>
      </c>
      <c r="M41" s="0" t="n">
        <f aca="false">SUM(Sheet1!S41:V41)</f>
        <v>289.3549</v>
      </c>
      <c r="N41" s="0" t="n">
        <f aca="false">SUM(Sheet1!W41:Z41)</f>
        <v>188.244</v>
      </c>
      <c r="O41" s="0" t="n">
        <f aca="false">SUM(Sheet1!AA41:AD41)</f>
        <v>170.4296</v>
      </c>
      <c r="P41" s="0" t="n">
        <f aca="false">SUM(Sheet1!AE41:AN41)</f>
        <v>477.8534</v>
      </c>
      <c r="Q41" s="0" t="n">
        <f aca="false">SUM(Sheet1!AO41:AX41)</f>
        <v>269.7211</v>
      </c>
      <c r="R41" s="0" t="n">
        <f aca="false">SUM(Sheet1!AY41:BH41)</f>
        <v>33.1411</v>
      </c>
      <c r="S41" s="0" t="n">
        <f aca="false">SUM(Sheet1!BI41:BR41)</f>
        <v>7.3518</v>
      </c>
      <c r="T41" s="0" t="n">
        <f aca="false">SUM(Sheet1!BS41:CB41)</f>
        <v>3.2055</v>
      </c>
      <c r="U41" s="0" t="n">
        <f aca="false">SUM(Sheet1!CC41:CL41)</f>
        <v>1.5814</v>
      </c>
      <c r="V41" s="0" t="n">
        <f aca="false">Sheet1!CM41</f>
        <v>1.1542</v>
      </c>
    </row>
    <row r="42" customFormat="false" ht="15" hidden="false" customHeight="false" outlineLevel="0" collapsed="false">
      <c r="A42" s="0" t="str">
        <f aca="false">Sheet1!A42</f>
        <v>N1303</v>
      </c>
      <c r="B42" s="0" t="str">
        <f aca="false">Sheet1!B42</f>
        <v>F0</v>
      </c>
      <c r="C42" s="0" t="str">
        <f aca="false">Sheet1!C42</f>
        <v>VS16</v>
      </c>
      <c r="D42" s="0" t="str">
        <f aca="false">Sheet1!D42</f>
        <v>F0.VS16</v>
      </c>
      <c r="E42" s="0" t="n">
        <f aca="false">Sheet1!E42</f>
        <v>0</v>
      </c>
      <c r="F42" s="0" t="n">
        <f aca="false">Sheet1!F42</f>
        <v>0</v>
      </c>
      <c r="G42" s="0" t="n">
        <f aca="false">Sheet1!G42</f>
        <v>2504.6735</v>
      </c>
      <c r="H42" s="0" t="n">
        <f aca="false">Sheet1!H42</f>
        <v>219.9414</v>
      </c>
      <c r="I42" s="0" t="n">
        <f aca="false">Sheet1!I42</f>
        <v>690.9662</v>
      </c>
      <c r="J42" s="0" t="n">
        <f aca="false">Sheet1!J42</f>
        <v>0.875866666666667</v>
      </c>
      <c r="K42" s="0" t="n">
        <f aca="false">Sheet1!K42</f>
        <v>0.0952</v>
      </c>
      <c r="L42" s="0" t="n">
        <f aca="false">SUM(Sheet1!O42:R42)</f>
        <v>806.0452</v>
      </c>
      <c r="M42" s="0" t="n">
        <f aca="false">SUM(Sheet1!S42:V42)</f>
        <v>333.6832</v>
      </c>
      <c r="N42" s="0" t="n">
        <f aca="false">SUM(Sheet1!W42:Z42)</f>
        <v>214.3837</v>
      </c>
      <c r="O42" s="0" t="n">
        <f aca="false">SUM(Sheet1!AA42:AD42)</f>
        <v>229.5516</v>
      </c>
      <c r="P42" s="0" t="n">
        <f aca="false">SUM(Sheet1!AE42:AN42)</f>
        <v>457.1582</v>
      </c>
      <c r="Q42" s="0" t="n">
        <f aca="false">SUM(Sheet1!AO42:AX42)</f>
        <v>223.021</v>
      </c>
      <c r="R42" s="0" t="n">
        <f aca="false">SUM(Sheet1!AY42:BH42)</f>
        <v>35.2113</v>
      </c>
      <c r="S42" s="0" t="n">
        <f aca="false">SUM(Sheet1!BI42:BR42)</f>
        <v>9.687</v>
      </c>
      <c r="T42" s="0" t="n">
        <f aca="false">SUM(Sheet1!BS42:CB42)</f>
        <v>2.8544</v>
      </c>
      <c r="U42" s="0" t="n">
        <f aca="false">SUM(Sheet1!CC42:CL42)</f>
        <v>0.6064</v>
      </c>
      <c r="V42" s="0" t="n">
        <f aca="false">Sheet1!CM42</f>
        <v>0.1829</v>
      </c>
    </row>
    <row r="43" customFormat="false" ht="15" hidden="false" customHeight="false" outlineLevel="0" collapsed="false">
      <c r="A43" s="0" t="str">
        <f aca="false">Sheet1!A43</f>
        <v>N1304</v>
      </c>
      <c r="B43" s="0" t="str">
        <f aca="false">Sheet1!B43</f>
        <v>VWAD</v>
      </c>
      <c r="C43" s="0" t="n">
        <f aca="false">Sheet1!C43</f>
        <v>30</v>
      </c>
      <c r="D43" s="0" t="str">
        <f aca="false">Sheet1!D43</f>
        <v>VWAD.30.4</v>
      </c>
      <c r="E43" s="0" t="n">
        <f aca="false">Sheet1!E43</f>
        <v>0</v>
      </c>
      <c r="F43" s="0" t="n">
        <f aca="false">Sheet1!F43</f>
        <v>0</v>
      </c>
      <c r="G43" s="0" t="n">
        <f aca="false">Sheet1!G43</f>
        <v>1154.1952</v>
      </c>
      <c r="H43" s="0" t="n">
        <f aca="false">Sheet1!H43</f>
        <v>64.1335</v>
      </c>
      <c r="I43" s="0" t="n">
        <f aca="false">Sheet1!I43</f>
        <v>201.4814</v>
      </c>
      <c r="J43" s="0" t="n">
        <f aca="false">Sheet1!J43</f>
        <v>0.5557</v>
      </c>
      <c r="K43" s="0" t="n">
        <f aca="false">Sheet1!K43</f>
        <v>0</v>
      </c>
      <c r="L43" s="0" t="n">
        <f aca="false">SUM(Sheet1!O43:R43)</f>
        <v>314.6568</v>
      </c>
      <c r="M43" s="0" t="n">
        <f aca="false">SUM(Sheet1!S43:V43)</f>
        <v>143.8945</v>
      </c>
      <c r="N43" s="0" t="n">
        <f aca="false">SUM(Sheet1!W43:Z43)</f>
        <v>71.0091</v>
      </c>
      <c r="O43" s="0" t="n">
        <f aca="false">SUM(Sheet1!AA43:AD43)</f>
        <v>50.0753</v>
      </c>
      <c r="P43" s="0" t="n">
        <f aca="false">SUM(Sheet1!AE43:AN43)</f>
        <v>128.5153</v>
      </c>
      <c r="Q43" s="0" t="n">
        <f aca="false">SUM(Sheet1!AO43:AX43)</f>
        <v>59.2241</v>
      </c>
      <c r="R43" s="0" t="n">
        <f aca="false">SUM(Sheet1!AY43:BH43)</f>
        <v>21.0496</v>
      </c>
      <c r="S43" s="0" t="n">
        <f aca="false">SUM(Sheet1!BI43:BR43)</f>
        <v>1.243</v>
      </c>
      <c r="T43" s="0" t="n">
        <f aca="false">SUM(Sheet1!BS43:CB43)</f>
        <v>0.2304</v>
      </c>
      <c r="U43" s="0" t="n">
        <f aca="false">SUM(Sheet1!CC43:CL43)</f>
        <v>0.1279</v>
      </c>
      <c r="V43" s="0" t="n">
        <f aca="false">Sheet1!CM43</f>
        <v>0</v>
      </c>
    </row>
    <row r="44" customFormat="false" ht="15" hidden="false" customHeight="false" outlineLevel="0" collapsed="false">
      <c r="A44" s="0" t="str">
        <f aca="false">Sheet1!A44</f>
        <v>N1308</v>
      </c>
      <c r="B44" s="0" t="str">
        <f aca="false">Sheet1!B44</f>
        <v>VWAD</v>
      </c>
      <c r="C44" s="0" t="n">
        <f aca="false">Sheet1!C44</f>
        <v>35</v>
      </c>
      <c r="D44" s="0" t="str">
        <f aca="false">Sheet1!D44</f>
        <v>VWAD.35.4</v>
      </c>
      <c r="E44" s="0" t="e">
        <f aca="false">Sheet1!E44</f>
        <v>#N/A</v>
      </c>
      <c r="F44" s="0" t="n">
        <f aca="false">Sheet1!F44</f>
        <v>2.8093</v>
      </c>
      <c r="G44" s="0" t="n">
        <f aca="false">Sheet1!G44</f>
        <v>1526.1128</v>
      </c>
      <c r="H44" s="0" t="n">
        <f aca="false">Sheet1!H44</f>
        <v>169.1887</v>
      </c>
      <c r="I44" s="0" t="n">
        <f aca="false">Sheet1!I44</f>
        <v>531.5219</v>
      </c>
      <c r="J44" s="0" t="n">
        <f aca="false">Sheet1!J44</f>
        <v>1.08725</v>
      </c>
      <c r="K44" s="0" t="n">
        <f aca="false">Sheet1!K44</f>
        <v>0</v>
      </c>
      <c r="L44" s="0" t="n">
        <f aca="false">SUM(Sheet1!O44:R44)</f>
        <v>419.7687</v>
      </c>
      <c r="M44" s="0" t="n">
        <f aca="false">SUM(Sheet1!S44:V44)</f>
        <v>255.3308</v>
      </c>
      <c r="N44" s="0" t="n">
        <f aca="false">SUM(Sheet1!W44:Z44)</f>
        <v>154.2463</v>
      </c>
      <c r="O44" s="0" t="n">
        <f aca="false">SUM(Sheet1!AA44:AD44)</f>
        <v>104.0407</v>
      </c>
      <c r="P44" s="0" t="n">
        <f aca="false">SUM(Sheet1!AE44:AN44)</f>
        <v>176.7594</v>
      </c>
      <c r="Q44" s="0" t="n">
        <f aca="false">SUM(Sheet1!AO44:AX44)</f>
        <v>185.6248</v>
      </c>
      <c r="R44" s="0" t="n">
        <f aca="false">SUM(Sheet1!AY44:BH44)</f>
        <v>94.7706</v>
      </c>
      <c r="S44" s="0" t="n">
        <f aca="false">SUM(Sheet1!BI44:BR44)</f>
        <v>32.6125</v>
      </c>
      <c r="T44" s="0" t="n">
        <f aca="false">SUM(Sheet1!BS44:CB44)</f>
        <v>18.7734</v>
      </c>
      <c r="U44" s="0" t="n">
        <f aca="false">SUM(Sheet1!CC44:CL44)</f>
        <v>11.682</v>
      </c>
      <c r="V44" s="0" t="n">
        <f aca="false">Sheet1!CM44</f>
        <v>12.6765</v>
      </c>
    </row>
    <row r="45" customFormat="false" ht="15" hidden="false" customHeight="false" outlineLevel="0" collapsed="false">
      <c r="A45" s="0" t="str">
        <f aca="false">Sheet1!A45</f>
        <v>N1309</v>
      </c>
      <c r="B45" s="0" t="str">
        <f aca="false">Sheet1!B45</f>
        <v>F0</v>
      </c>
      <c r="C45" s="0" t="str">
        <f aca="false">Sheet1!C45</f>
        <v>WBC</v>
      </c>
      <c r="D45" s="0" t="str">
        <f aca="false">Sheet1!D45</f>
        <v>F0.WBC</v>
      </c>
      <c r="E45" s="0" t="n">
        <f aca="false">Sheet1!E45</f>
        <v>0</v>
      </c>
      <c r="F45" s="0" t="n">
        <f aca="false">Sheet1!F45</f>
        <v>0</v>
      </c>
      <c r="G45" s="0" t="n">
        <f aca="false">Sheet1!G45</f>
        <v>2979.4937</v>
      </c>
      <c r="H45" s="0" t="n">
        <f aca="false">Sheet1!H45</f>
        <v>374.5738</v>
      </c>
      <c r="I45" s="0" t="n">
        <f aca="false">Sheet1!I45</f>
        <v>1176.7583</v>
      </c>
      <c r="J45" s="0" t="n">
        <f aca="false">Sheet1!J45</f>
        <v>1.2695</v>
      </c>
      <c r="K45" s="0" t="n">
        <f aca="false">Sheet1!K45</f>
        <v>0.0603</v>
      </c>
      <c r="L45" s="0" t="n">
        <f aca="false">SUM(Sheet1!O45:R45)</f>
        <v>757.3079</v>
      </c>
      <c r="M45" s="0" t="n">
        <f aca="false">SUM(Sheet1!S45:V45)</f>
        <v>389.194</v>
      </c>
      <c r="N45" s="0" t="n">
        <f aca="false">SUM(Sheet1!W45:Z45)</f>
        <v>212.9148</v>
      </c>
      <c r="O45" s="0" t="n">
        <f aca="false">SUM(Sheet1!AA45:AD45)</f>
        <v>196.5289</v>
      </c>
      <c r="P45" s="0" t="n">
        <f aca="false">SUM(Sheet1!AE45:AN45)</f>
        <v>328.306</v>
      </c>
      <c r="Q45" s="0" t="n">
        <f aca="false">SUM(Sheet1!AO45:AX45)</f>
        <v>380.2013</v>
      </c>
      <c r="R45" s="0" t="n">
        <f aca="false">SUM(Sheet1!AY45:BH45)</f>
        <v>305.6028</v>
      </c>
      <c r="S45" s="0" t="n">
        <f aca="false">SUM(Sheet1!BI45:BR45)</f>
        <v>181.0181</v>
      </c>
      <c r="T45" s="0" t="n">
        <f aca="false">SUM(Sheet1!BS45:CB45)</f>
        <v>51.339</v>
      </c>
      <c r="U45" s="0" t="n">
        <f aca="false">SUM(Sheet1!CC45:CL45)</f>
        <v>15.4676</v>
      </c>
      <c r="V45" s="0" t="n">
        <f aca="false">Sheet1!CM45</f>
        <v>11.057</v>
      </c>
    </row>
    <row r="46" customFormat="false" ht="15" hidden="false" customHeight="false" outlineLevel="0" collapsed="false">
      <c r="A46" s="0" t="str">
        <f aca="false">Sheet1!A46</f>
        <v>N1310</v>
      </c>
      <c r="B46" s="0" t="str">
        <f aca="false">Sheet1!B46</f>
        <v>ADVW</v>
      </c>
      <c r="C46" s="0" t="n">
        <f aca="false">Sheet1!C46</f>
        <v>261</v>
      </c>
      <c r="D46" s="0" t="str">
        <f aca="false">Sheet1!D46</f>
        <v>ADVW.261.4</v>
      </c>
      <c r="E46" s="0" t="n">
        <f aca="false">Sheet1!E46</f>
        <v>0</v>
      </c>
      <c r="F46" s="0" t="n">
        <f aca="false">Sheet1!F46</f>
        <v>0</v>
      </c>
      <c r="G46" s="0" t="n">
        <f aca="false">Sheet1!G46</f>
        <v>2304.6939</v>
      </c>
      <c r="H46" s="0" t="n">
        <f aca="false">Sheet1!H46</f>
        <v>187.8463</v>
      </c>
      <c r="I46" s="0" t="n">
        <f aca="false">Sheet1!I46</f>
        <v>590.1365</v>
      </c>
      <c r="J46" s="0" t="n">
        <f aca="false">Sheet1!J46</f>
        <v>0.833875</v>
      </c>
      <c r="K46" s="0" t="n">
        <f aca="false">Sheet1!K46</f>
        <v>0</v>
      </c>
      <c r="L46" s="0" t="n">
        <f aca="false">SUM(Sheet1!O46:R46)</f>
        <v>448.8827</v>
      </c>
      <c r="M46" s="0" t="n">
        <f aca="false">SUM(Sheet1!S46:V46)</f>
        <v>208.7934</v>
      </c>
      <c r="N46" s="0" t="n">
        <f aca="false">SUM(Sheet1!W46:Z46)</f>
        <v>161.9398</v>
      </c>
      <c r="O46" s="0" t="n">
        <f aca="false">SUM(Sheet1!AA46:AD46)</f>
        <v>162.0042</v>
      </c>
      <c r="P46" s="0" t="n">
        <f aca="false">SUM(Sheet1!AE46:AN46)</f>
        <v>617.3929</v>
      </c>
      <c r="Q46" s="0" t="n">
        <f aca="false">SUM(Sheet1!AO46:AX46)</f>
        <v>268.9303</v>
      </c>
      <c r="R46" s="0" t="n">
        <f aca="false">SUM(Sheet1!AY46:BH46)</f>
        <v>15.5222</v>
      </c>
      <c r="S46" s="0" t="n">
        <f aca="false">SUM(Sheet1!BI46:BR46)</f>
        <v>1.5863</v>
      </c>
      <c r="T46" s="0" t="n">
        <f aca="false">SUM(Sheet1!BS46:CB46)</f>
        <v>0.104</v>
      </c>
      <c r="U46" s="0" t="n">
        <f aca="false">SUM(Sheet1!CC46:CL46)</f>
        <v>0.0902</v>
      </c>
      <c r="V46" s="0" t="n">
        <f aca="false">Sheet1!CM46</f>
        <v>0</v>
      </c>
    </row>
    <row r="47" customFormat="false" ht="15" hidden="false" customHeight="false" outlineLevel="0" collapsed="false">
      <c r="A47" s="0" t="str">
        <f aca="false">Sheet1!A47</f>
        <v>N1312</v>
      </c>
      <c r="B47" s="0" t="e">
        <f aca="false">Sheet1!B47</f>
        <v>#N/A</v>
      </c>
      <c r="C47" s="0" t="e">
        <f aca="false">Sheet1!C47</f>
        <v>#N/A</v>
      </c>
      <c r="D47" s="0" t="e">
        <f aca="false">Sheet1!D47</f>
        <v>#N/A</v>
      </c>
      <c r="E47" s="0" t="n">
        <f aca="false">Sheet1!E47</f>
        <v>0</v>
      </c>
      <c r="F47" s="0" t="n">
        <f aca="false">Sheet1!F47</f>
        <v>0</v>
      </c>
      <c r="G47" s="0" t="n">
        <f aca="false">Sheet1!G47</f>
        <v>2689.3926</v>
      </c>
      <c r="H47" s="0" t="n">
        <f aca="false">Sheet1!H47</f>
        <v>210.0984</v>
      </c>
      <c r="I47" s="0" t="n">
        <f aca="false">Sheet1!I47</f>
        <v>660.0437</v>
      </c>
      <c r="J47" s="0" t="n">
        <f aca="false">Sheet1!J47</f>
        <v>0.7196</v>
      </c>
      <c r="K47" s="0" t="n">
        <f aca="false">Sheet1!K47</f>
        <v>0.0191</v>
      </c>
      <c r="L47" s="0" t="n">
        <f aca="false">SUM(Sheet1!O47:R47)</f>
        <v>585.218</v>
      </c>
      <c r="M47" s="0" t="n">
        <f aca="false">SUM(Sheet1!S47:V47)</f>
        <v>229.5748</v>
      </c>
      <c r="N47" s="0" t="n">
        <f aca="false">SUM(Sheet1!W47:Z47)</f>
        <v>157.3734</v>
      </c>
      <c r="O47" s="0" t="n">
        <f aca="false">SUM(Sheet1!AA47:AD47)</f>
        <v>134.939</v>
      </c>
      <c r="P47" s="0" t="n">
        <f aca="false">SUM(Sheet1!AE47:AN47)</f>
        <v>388.7755</v>
      </c>
      <c r="Q47" s="0" t="n">
        <f aca="false">SUM(Sheet1!AO47:AX47)</f>
        <v>298.3806</v>
      </c>
      <c r="R47" s="0" t="n">
        <f aca="false">SUM(Sheet1!AY47:BH47)</f>
        <v>84.9162</v>
      </c>
      <c r="S47" s="0" t="n">
        <f aca="false">SUM(Sheet1!BI47:BR47)</f>
        <v>35.0971</v>
      </c>
      <c r="T47" s="0" t="n">
        <f aca="false">SUM(Sheet1!BS47:CB47)</f>
        <v>13.9466</v>
      </c>
      <c r="U47" s="0" t="n">
        <f aca="false">SUM(Sheet1!CC47:CL47)</f>
        <v>6.8639</v>
      </c>
      <c r="V47" s="0" t="n">
        <f aca="false">Sheet1!CM47</f>
        <v>5.4816</v>
      </c>
    </row>
    <row r="48" customFormat="false" ht="15" hidden="false" customHeight="false" outlineLevel="0" collapsed="false">
      <c r="A48" s="0" t="str">
        <f aca="false">Sheet1!A48</f>
        <v>N1313</v>
      </c>
      <c r="B48" s="0" t="str">
        <f aca="false">Sheet1!B48</f>
        <v>ADVW</v>
      </c>
      <c r="C48" s="0" t="n">
        <f aca="false">Sheet1!C48</f>
        <v>317</v>
      </c>
      <c r="D48" s="0" t="str">
        <f aca="false">Sheet1!D48</f>
        <v>ADVW.317.4</v>
      </c>
      <c r="E48" s="0" t="e">
        <f aca="false">Sheet1!E48</f>
        <v>#N/A</v>
      </c>
      <c r="F48" s="0" t="e">
        <f aca="false">Sheet1!F48</f>
        <v>#N/A</v>
      </c>
      <c r="G48" s="0" t="n">
        <f aca="false">Sheet1!G48</f>
        <v>3715.0725</v>
      </c>
      <c r="H48" s="0" t="n">
        <f aca="false">Sheet1!H48</f>
        <v>285.3637</v>
      </c>
      <c r="I48" s="0" t="n">
        <f aca="false">Sheet1!I48</f>
        <v>896.4967</v>
      </c>
      <c r="J48" s="0" t="n">
        <f aca="false">Sheet1!J48</f>
        <v>0.7804</v>
      </c>
      <c r="K48" s="0" t="n">
        <f aca="false">Sheet1!K48</f>
        <v>0</v>
      </c>
      <c r="L48" s="0" t="n">
        <f aca="false">SUM(Sheet1!O48:R48)</f>
        <v>546.2944</v>
      </c>
      <c r="M48" s="0" t="n">
        <f aca="false">SUM(Sheet1!S48:V48)</f>
        <v>296.7199</v>
      </c>
      <c r="N48" s="0" t="n">
        <f aca="false">SUM(Sheet1!W48:Z48)</f>
        <v>183.8616</v>
      </c>
      <c r="O48" s="0" t="n">
        <f aca="false">SUM(Sheet1!AA48:AD48)</f>
        <v>188.1056</v>
      </c>
      <c r="P48" s="0" t="n">
        <f aca="false">SUM(Sheet1!AE48:AN48)</f>
        <v>519.805</v>
      </c>
      <c r="Q48" s="0" t="n">
        <f aca="false">SUM(Sheet1!AO48:AX48)</f>
        <v>480.8174</v>
      </c>
      <c r="R48" s="0" t="n">
        <f aca="false">SUM(Sheet1!AY48:BH48)</f>
        <v>104.2398</v>
      </c>
      <c r="S48" s="0" t="n">
        <f aca="false">SUM(Sheet1!BI48:BR48)</f>
        <v>21.4403</v>
      </c>
      <c r="T48" s="0" t="n">
        <f aca="false">SUM(Sheet1!BS48:CB48)</f>
        <v>10.9473</v>
      </c>
      <c r="U48" s="0" t="n">
        <f aca="false">SUM(Sheet1!CC48:CL48)</f>
        <v>4.0238</v>
      </c>
      <c r="V48" s="0" t="n">
        <f aca="false">Sheet1!CM48</f>
        <v>4.459</v>
      </c>
    </row>
    <row r="49" customFormat="false" ht="15" hidden="false" customHeight="false" outlineLevel="0" collapsed="false">
      <c r="A49" s="0" t="str">
        <f aca="false">Sheet1!A49</f>
        <v>N1314</v>
      </c>
      <c r="B49" s="0" t="str">
        <f aca="false">Sheet1!B49</f>
        <v>VWAD</v>
      </c>
      <c r="C49" s="0" t="n">
        <f aca="false">Sheet1!C49</f>
        <v>21</v>
      </c>
      <c r="D49" s="0" t="str">
        <f aca="false">Sheet1!D49</f>
        <v>VWAD.21.4</v>
      </c>
      <c r="E49" s="0" t="n">
        <f aca="false">Sheet1!E49</f>
        <v>0</v>
      </c>
      <c r="F49" s="0" t="e">
        <f aca="false">Sheet1!F49</f>
        <v>#N/A</v>
      </c>
      <c r="G49" s="0" t="n">
        <f aca="false">Sheet1!G49</f>
        <v>1598.9174</v>
      </c>
      <c r="H49" s="0" t="n">
        <f aca="false">Sheet1!H49</f>
        <v>80.298</v>
      </c>
      <c r="I49" s="0" t="n">
        <f aca="false">Sheet1!I49</f>
        <v>252.2635</v>
      </c>
      <c r="J49" s="0" t="n">
        <f aca="false">Sheet1!J49</f>
        <v>0.50335</v>
      </c>
      <c r="K49" s="0" t="n">
        <f aca="false">Sheet1!K49</f>
        <v>0.0254</v>
      </c>
      <c r="L49" s="0" t="n">
        <f aca="false">SUM(Sheet1!O49:R49)</f>
        <v>766.4205</v>
      </c>
      <c r="M49" s="0" t="n">
        <f aca="false">SUM(Sheet1!S49:V49)</f>
        <v>396.9409</v>
      </c>
      <c r="N49" s="0" t="n">
        <f aca="false">SUM(Sheet1!W49:Z49)</f>
        <v>126.0262</v>
      </c>
      <c r="O49" s="0" t="n">
        <f aca="false">SUM(Sheet1!AA49:AD49)</f>
        <v>47.6278</v>
      </c>
      <c r="P49" s="0" t="n">
        <f aca="false">SUM(Sheet1!AE49:AN49)</f>
        <v>36.3996</v>
      </c>
      <c r="Q49" s="0" t="n">
        <f aca="false">SUM(Sheet1!AO49:AX49)</f>
        <v>4.1516</v>
      </c>
      <c r="R49" s="0" t="n">
        <f aca="false">SUM(Sheet1!AY49:BH49)</f>
        <v>0.238</v>
      </c>
      <c r="S49" s="0" t="n">
        <f aca="false">SUM(Sheet1!BI49:BR49)</f>
        <v>0</v>
      </c>
      <c r="T49" s="0" t="n">
        <f aca="false">SUM(Sheet1!BS49:CB49)</f>
        <v>0</v>
      </c>
      <c r="U49" s="0" t="n">
        <f aca="false">SUM(Sheet1!CC49:CL49)</f>
        <v>0</v>
      </c>
      <c r="V49" s="0" t="n">
        <f aca="false">Sheet1!CM49</f>
        <v>0</v>
      </c>
    </row>
    <row r="50" customFormat="false" ht="15" hidden="false" customHeight="false" outlineLevel="0" collapsed="false">
      <c r="A50" s="0" t="str">
        <f aca="false">Sheet1!A50</f>
        <v>N1316</v>
      </c>
      <c r="B50" s="0" t="str">
        <f aca="false">Sheet1!B50</f>
        <v>VWAD</v>
      </c>
      <c r="C50" s="0" t="n">
        <f aca="false">Sheet1!C50</f>
        <v>76</v>
      </c>
      <c r="D50" s="0" t="str">
        <f aca="false">Sheet1!D50</f>
        <v>VWAD.76.4</v>
      </c>
      <c r="E50" s="0" t="n">
        <f aca="false">Sheet1!E50</f>
        <v>0</v>
      </c>
      <c r="F50" s="0" t="n">
        <f aca="false">Sheet1!F50</f>
        <v>0</v>
      </c>
      <c r="G50" s="0" t="n">
        <f aca="false">Sheet1!G50</f>
        <v>1426.2946</v>
      </c>
      <c r="H50" s="0" t="n">
        <f aca="false">Sheet1!H50</f>
        <v>52.4636</v>
      </c>
      <c r="I50" s="0" t="n">
        <f aca="false">Sheet1!I50</f>
        <v>164.8194</v>
      </c>
      <c r="J50" s="0" t="n">
        <f aca="false">Sheet1!J50</f>
        <v>0.3638</v>
      </c>
      <c r="K50" s="0" t="n">
        <f aca="false">Sheet1!K50</f>
        <v>0</v>
      </c>
      <c r="L50" s="0" t="n">
        <f aca="false">SUM(Sheet1!O50:R50)</f>
        <v>538.8195</v>
      </c>
      <c r="M50" s="0" t="n">
        <f aca="false">SUM(Sheet1!S50:V50)</f>
        <v>144.0237</v>
      </c>
      <c r="N50" s="0" t="n">
        <f aca="false">SUM(Sheet1!W50:Z50)</f>
        <v>80.6275</v>
      </c>
      <c r="O50" s="0" t="n">
        <f aca="false">SUM(Sheet1!AA50:AD50)</f>
        <v>55.8937</v>
      </c>
      <c r="P50" s="0" t="n">
        <f aca="false">SUM(Sheet1!AE50:AN50)</f>
        <v>67.0936</v>
      </c>
      <c r="Q50" s="0" t="n">
        <f aca="false">SUM(Sheet1!AO50:AX50)</f>
        <v>4.7203</v>
      </c>
      <c r="R50" s="0" t="n">
        <f aca="false">SUM(Sheet1!AY50:BH50)</f>
        <v>0.2374</v>
      </c>
      <c r="S50" s="0" t="n">
        <f aca="false">SUM(Sheet1!BI50:BR50)</f>
        <v>0</v>
      </c>
      <c r="T50" s="0" t="n">
        <f aca="false">SUM(Sheet1!BS50:CB50)</f>
        <v>0</v>
      </c>
      <c r="U50" s="0" t="n">
        <f aca="false">SUM(Sheet1!CC50:CL50)</f>
        <v>0</v>
      </c>
      <c r="V50" s="0" t="n">
        <f aca="false">Sheet1!CM50</f>
        <v>0</v>
      </c>
    </row>
    <row r="51" customFormat="false" ht="15" hidden="false" customHeight="false" outlineLevel="0" collapsed="false">
      <c r="A51" s="0" t="str">
        <f aca="false">Sheet1!A51</f>
        <v>N1319</v>
      </c>
      <c r="B51" s="0" t="str">
        <f aca="false">Sheet1!B51</f>
        <v>VWAD</v>
      </c>
      <c r="C51" s="0" t="n">
        <f aca="false">Sheet1!C51</f>
        <v>52</v>
      </c>
      <c r="D51" s="0" t="str">
        <f aca="false">Sheet1!D51</f>
        <v>VWAD.52.4</v>
      </c>
      <c r="E51" s="0" t="e">
        <f aca="false">Sheet1!E51</f>
        <v>#N/A</v>
      </c>
      <c r="F51" s="0" t="e">
        <f aca="false">Sheet1!F51</f>
        <v>#N/A</v>
      </c>
      <c r="G51" s="0" t="n">
        <f aca="false">Sheet1!G51</f>
        <v>1886.0294</v>
      </c>
      <c r="H51" s="0" t="n">
        <f aca="false">Sheet1!H51</f>
        <v>129.6049</v>
      </c>
      <c r="I51" s="0" t="n">
        <f aca="false">Sheet1!I51</f>
        <v>407.1661</v>
      </c>
      <c r="J51" s="0" t="n">
        <f aca="false">Sheet1!J51</f>
        <v>0.6647</v>
      </c>
      <c r="K51" s="0" t="n">
        <f aca="false">Sheet1!K51</f>
        <v>0</v>
      </c>
      <c r="L51" s="0" t="n">
        <f aca="false">SUM(Sheet1!O51:R51)</f>
        <v>355.9882</v>
      </c>
      <c r="M51" s="0" t="n">
        <f aca="false">SUM(Sheet1!S51:V51)</f>
        <v>124.8222</v>
      </c>
      <c r="N51" s="0" t="n">
        <f aca="false">SUM(Sheet1!W51:Z51)</f>
        <v>95.0769</v>
      </c>
      <c r="O51" s="0" t="n">
        <f aca="false">SUM(Sheet1!AA51:AD51)</f>
        <v>112.4516</v>
      </c>
      <c r="P51" s="0" t="n">
        <f aca="false">SUM(Sheet1!AE51:AN51)</f>
        <v>365.9537</v>
      </c>
      <c r="Q51" s="0" t="n">
        <f aca="false">SUM(Sheet1!AO51:AX51)</f>
        <v>177.9786</v>
      </c>
      <c r="R51" s="0" t="n">
        <f aca="false">SUM(Sheet1!AY51:BH51)</f>
        <v>21.6139</v>
      </c>
      <c r="S51" s="0" t="n">
        <f aca="false">SUM(Sheet1!BI51:BR51)</f>
        <v>1.7327</v>
      </c>
      <c r="T51" s="0" t="n">
        <f aca="false">SUM(Sheet1!BS51:CB51)</f>
        <v>0</v>
      </c>
      <c r="U51" s="0" t="n">
        <f aca="false">SUM(Sheet1!CC51:CL51)</f>
        <v>0.0317</v>
      </c>
      <c r="V51" s="0" t="n">
        <f aca="false">Sheet1!CM51</f>
        <v>0</v>
      </c>
    </row>
    <row r="52" customFormat="false" ht="15" hidden="false" customHeight="false" outlineLevel="0" collapsed="false">
      <c r="A52" s="0" t="str">
        <f aca="false">Sheet1!A52</f>
        <v>N1401</v>
      </c>
      <c r="B52" s="0" t="str">
        <f aca="false">Sheet1!B52</f>
        <v>VWAD</v>
      </c>
      <c r="C52" s="0" t="n">
        <f aca="false">Sheet1!C52</f>
        <v>43</v>
      </c>
      <c r="D52" s="0" t="str">
        <f aca="false">Sheet1!D52</f>
        <v>VWAD.43.4</v>
      </c>
      <c r="E52" s="0" t="n">
        <f aca="false">Sheet1!E52</f>
        <v>0</v>
      </c>
      <c r="F52" s="0" t="n">
        <f aca="false">Sheet1!F52</f>
        <v>0</v>
      </c>
      <c r="G52" s="0" t="n">
        <f aca="false">Sheet1!G52</f>
        <v>3237.577</v>
      </c>
      <c r="H52" s="0" t="n">
        <f aca="false">Sheet1!H52</f>
        <v>218.3164</v>
      </c>
      <c r="I52" s="0" t="n">
        <f aca="false">Sheet1!I52</f>
        <v>685.8613</v>
      </c>
      <c r="J52" s="0" t="n">
        <f aca="false">Sheet1!J52</f>
        <v>0.589066666666667</v>
      </c>
      <c r="K52" s="0" t="n">
        <f aca="false">Sheet1!K52</f>
        <v>0.0063</v>
      </c>
      <c r="L52" s="0" t="n">
        <f aca="false">SUM(Sheet1!O52:R52)</f>
        <v>1451.46</v>
      </c>
      <c r="M52" s="0" t="n">
        <f aca="false">SUM(Sheet1!S52:V52)</f>
        <v>461.0976</v>
      </c>
      <c r="N52" s="0" t="n">
        <f aca="false">SUM(Sheet1!W52:Z52)</f>
        <v>237.9746</v>
      </c>
      <c r="O52" s="0" t="n">
        <f aca="false">SUM(Sheet1!AA52:AD52)</f>
        <v>150.1192</v>
      </c>
      <c r="P52" s="0" t="n">
        <f aca="false">SUM(Sheet1!AE52:AN52)</f>
        <v>237.7821</v>
      </c>
      <c r="Q52" s="0" t="n">
        <f aca="false">SUM(Sheet1!AO52:AX52)</f>
        <v>203.3714</v>
      </c>
      <c r="R52" s="0" t="n">
        <f aca="false">SUM(Sheet1!AY52:BH52)</f>
        <v>38.531</v>
      </c>
      <c r="S52" s="0" t="n">
        <f aca="false">SUM(Sheet1!BI52:BR52)</f>
        <v>12.232</v>
      </c>
      <c r="T52" s="0" t="n">
        <f aca="false">SUM(Sheet1!BS52:CB52)</f>
        <v>3.6848</v>
      </c>
      <c r="U52" s="0" t="n">
        <f aca="false">SUM(Sheet1!CC52:CL52)</f>
        <v>2.5096</v>
      </c>
      <c r="V52" s="0" t="n">
        <f aca="false">Sheet1!CM52</f>
        <v>0.6644</v>
      </c>
    </row>
    <row r="53" customFormat="false" ht="15" hidden="false" customHeight="false" outlineLevel="0" collapsed="false">
      <c r="A53" s="0" t="str">
        <f aca="false">Sheet1!A53</f>
        <v>N1402</v>
      </c>
      <c r="B53" s="0" t="str">
        <f aca="false">Sheet1!B53</f>
        <v>F0</v>
      </c>
      <c r="C53" s="0" t="str">
        <f aca="false">Sheet1!C53</f>
        <v>WBC</v>
      </c>
      <c r="D53" s="0" t="str">
        <f aca="false">Sheet1!D53</f>
        <v>F0.WBC</v>
      </c>
      <c r="E53" s="0" t="n">
        <f aca="false">Sheet1!E53</f>
        <v>0</v>
      </c>
      <c r="F53" s="0" t="n">
        <f aca="false">Sheet1!F53</f>
        <v>0</v>
      </c>
      <c r="G53" s="0" t="n">
        <f aca="false">Sheet1!G53</f>
        <v>3389.1573</v>
      </c>
      <c r="H53" s="0" t="n">
        <f aca="false">Sheet1!H53</f>
        <v>427.4095</v>
      </c>
      <c r="I53" s="0" t="n">
        <f aca="false">Sheet1!I53</f>
        <v>1342.7467</v>
      </c>
      <c r="J53" s="0" t="n">
        <f aca="false">Sheet1!J53</f>
        <v>1.2636</v>
      </c>
      <c r="K53" s="0" t="n">
        <f aca="false">Sheet1!K53</f>
        <v>0.0571</v>
      </c>
      <c r="L53" s="0" t="n">
        <f aca="false">SUM(Sheet1!O53:R53)</f>
        <v>841.4445</v>
      </c>
      <c r="M53" s="0" t="n">
        <f aca="false">SUM(Sheet1!S53:V53)</f>
        <v>453.6078</v>
      </c>
      <c r="N53" s="0" t="n">
        <f aca="false">SUM(Sheet1!W53:Z53)</f>
        <v>284.6805</v>
      </c>
      <c r="O53" s="0" t="n">
        <f aca="false">SUM(Sheet1!AA53:AD53)</f>
        <v>247.6855</v>
      </c>
      <c r="P53" s="0" t="n">
        <f aca="false">SUM(Sheet1!AE53:AN53)</f>
        <v>415.1351</v>
      </c>
      <c r="Q53" s="0" t="n">
        <f aca="false">SUM(Sheet1!AO53:AX53)</f>
        <v>371.7409</v>
      </c>
      <c r="R53" s="0" t="n">
        <f aca="false">SUM(Sheet1!AY53:BH53)</f>
        <v>304.7703</v>
      </c>
      <c r="S53" s="0" t="n">
        <f aca="false">SUM(Sheet1!BI53:BR53)</f>
        <v>177.23</v>
      </c>
      <c r="T53" s="0" t="n">
        <f aca="false">SUM(Sheet1!BS53:CB53)</f>
        <v>67.162</v>
      </c>
      <c r="U53" s="0" t="n">
        <f aca="false">SUM(Sheet1!CC53:CL53)</f>
        <v>33.1262</v>
      </c>
      <c r="V53" s="0" t="n">
        <f aca="false">Sheet1!CM53</f>
        <v>19.7482</v>
      </c>
    </row>
    <row r="54" customFormat="false" ht="15" hidden="false" customHeight="false" outlineLevel="0" collapsed="false">
      <c r="A54" s="0" t="str">
        <f aca="false">Sheet1!A54</f>
        <v>N1403</v>
      </c>
      <c r="B54" s="0" t="str">
        <f aca="false">Sheet1!B54</f>
        <v>ADVW</v>
      </c>
      <c r="C54" s="0" t="n">
        <f aca="false">Sheet1!C54</f>
        <v>226</v>
      </c>
      <c r="D54" s="0" t="str">
        <f aca="false">Sheet1!D54</f>
        <v>ADVW.226.4</v>
      </c>
      <c r="E54" s="0" t="n">
        <f aca="false">Sheet1!E54</f>
        <v>0</v>
      </c>
      <c r="F54" s="0" t="n">
        <f aca="false">Sheet1!F54</f>
        <v>0</v>
      </c>
      <c r="G54" s="0" t="n">
        <f aca="false">Sheet1!G54</f>
        <v>1471.1208</v>
      </c>
      <c r="H54" s="0" t="n">
        <f aca="false">Sheet1!H54</f>
        <v>52.8816</v>
      </c>
      <c r="I54" s="0" t="n">
        <f aca="false">Sheet1!I54</f>
        <v>166.1323</v>
      </c>
      <c r="J54" s="0" t="n">
        <f aca="false">Sheet1!J54</f>
        <v>0.34255</v>
      </c>
      <c r="K54" s="0" t="n">
        <f aca="false">Sheet1!K54</f>
        <v>0</v>
      </c>
      <c r="L54" s="0" t="n">
        <f aca="false">SUM(Sheet1!O54:R54)</f>
        <v>293.8452</v>
      </c>
      <c r="M54" s="0" t="n">
        <f aca="false">SUM(Sheet1!S54:V54)</f>
        <v>121.6882</v>
      </c>
      <c r="N54" s="0" t="n">
        <f aca="false">SUM(Sheet1!W54:Z54)</f>
        <v>63.6126</v>
      </c>
      <c r="O54" s="0" t="n">
        <f aca="false">SUM(Sheet1!AA54:AD54)</f>
        <v>26.8619</v>
      </c>
      <c r="P54" s="0" t="n">
        <f aca="false">SUM(Sheet1!AE54:AN54)</f>
        <v>79.4722</v>
      </c>
      <c r="Q54" s="0" t="n">
        <f aca="false">SUM(Sheet1!AO54:AX54)</f>
        <v>32.0716</v>
      </c>
      <c r="R54" s="0" t="n">
        <f aca="false">SUM(Sheet1!AY54:BH54)</f>
        <v>4.8026</v>
      </c>
      <c r="S54" s="0" t="n">
        <f aca="false">SUM(Sheet1!BI54:BR54)</f>
        <v>0.0909</v>
      </c>
      <c r="T54" s="0" t="n">
        <f aca="false">SUM(Sheet1!BS54:CB54)</f>
        <v>0.0587</v>
      </c>
      <c r="U54" s="0" t="n">
        <f aca="false">SUM(Sheet1!CC54:CL54)</f>
        <v>0</v>
      </c>
      <c r="V54" s="0" t="n">
        <f aca="false">Sheet1!CM54</f>
        <v>0</v>
      </c>
    </row>
    <row r="55" customFormat="false" ht="15" hidden="false" customHeight="false" outlineLevel="0" collapsed="false">
      <c r="A55" s="0" t="str">
        <f aca="false">Sheet1!A55</f>
        <v>N1404</v>
      </c>
      <c r="B55" s="0" t="str">
        <f aca="false">Sheet1!B55</f>
        <v>VWAD</v>
      </c>
      <c r="C55" s="0" t="n">
        <f aca="false">Sheet1!C55</f>
        <v>100</v>
      </c>
      <c r="D55" s="0" t="str">
        <f aca="false">Sheet1!D55</f>
        <v>VWAD.100.4</v>
      </c>
      <c r="E55" s="0" t="n">
        <f aca="false">Sheet1!E55</f>
        <v>0</v>
      </c>
      <c r="F55" s="0" t="e">
        <f aca="false">Sheet1!F55</f>
        <v>#N/A</v>
      </c>
      <c r="G55" s="0" t="n">
        <f aca="false">Sheet1!G55</f>
        <v>2567.7434</v>
      </c>
      <c r="H55" s="0" t="n">
        <f aca="false">Sheet1!H55</f>
        <v>196.1554</v>
      </c>
      <c r="I55" s="0" t="n">
        <f aca="false">Sheet1!I55</f>
        <v>616.2406</v>
      </c>
      <c r="J55" s="0" t="n">
        <f aca="false">Sheet1!J55</f>
        <v>0.7583</v>
      </c>
      <c r="K55" s="0" t="n">
        <f aca="false">Sheet1!K55</f>
        <v>0.0127</v>
      </c>
      <c r="L55" s="0" t="n">
        <f aca="false">SUM(Sheet1!O55:R55)</f>
        <v>1012.9779</v>
      </c>
      <c r="M55" s="0" t="n">
        <f aca="false">SUM(Sheet1!S55:V55)</f>
        <v>390.4012</v>
      </c>
      <c r="N55" s="0" t="n">
        <f aca="false">SUM(Sheet1!W55:Z55)</f>
        <v>189.1193</v>
      </c>
      <c r="O55" s="0" t="n">
        <f aca="false">SUM(Sheet1!AA55:AD55)</f>
        <v>141.6</v>
      </c>
      <c r="P55" s="0" t="n">
        <f aca="false">SUM(Sheet1!AE55:AN55)</f>
        <v>328.8389</v>
      </c>
      <c r="Q55" s="0" t="n">
        <f aca="false">SUM(Sheet1!AO55:AX55)</f>
        <v>205.804</v>
      </c>
      <c r="R55" s="0" t="n">
        <f aca="false">SUM(Sheet1!AY55:BH55)</f>
        <v>42.1651</v>
      </c>
      <c r="S55" s="0" t="n">
        <f aca="false">SUM(Sheet1!BI55:BR55)</f>
        <v>5.3333</v>
      </c>
      <c r="T55" s="0" t="n">
        <f aca="false">SUM(Sheet1!BS55:CB55)</f>
        <v>0.9169</v>
      </c>
      <c r="U55" s="0" t="n">
        <f aca="false">SUM(Sheet1!CC55:CL55)</f>
        <v>0.8101</v>
      </c>
      <c r="V55" s="0" t="n">
        <f aca="false">Sheet1!CM55</f>
        <v>0</v>
      </c>
    </row>
    <row r="56" customFormat="false" ht="15" hidden="false" customHeight="false" outlineLevel="0" collapsed="false">
      <c r="A56" s="0" t="str">
        <f aca="false">Sheet1!A56</f>
        <v>N1405</v>
      </c>
      <c r="B56" s="0" t="str">
        <f aca="false">Sheet1!B56</f>
        <v>ADVW</v>
      </c>
      <c r="C56" s="0" t="n">
        <f aca="false">Sheet1!C56</f>
        <v>250</v>
      </c>
      <c r="D56" s="0" t="str">
        <f aca="false">Sheet1!D56</f>
        <v>ADVW.250.4</v>
      </c>
      <c r="E56" s="0" t="n">
        <f aca="false">Sheet1!E56</f>
        <v>0</v>
      </c>
      <c r="F56" s="0" t="e">
        <f aca="false">Sheet1!F56</f>
        <v>#N/A</v>
      </c>
      <c r="G56" s="0" t="n">
        <f aca="false">Sheet1!G56</f>
        <v>3312.2979</v>
      </c>
      <c r="H56" s="0" t="n">
        <f aca="false">Sheet1!H56</f>
        <v>153.0357</v>
      </c>
      <c r="I56" s="0" t="n">
        <f aca="false">Sheet1!I56</f>
        <v>480.7762</v>
      </c>
      <c r="J56" s="0" t="n">
        <f aca="false">Sheet1!J56</f>
        <v>0.45664</v>
      </c>
      <c r="K56" s="0" t="n">
        <f aca="false">Sheet1!K56</f>
        <v>0</v>
      </c>
      <c r="L56" s="0" t="n">
        <f aca="false">SUM(Sheet1!O56:R56)</f>
        <v>635.6435</v>
      </c>
      <c r="M56" s="0" t="n">
        <f aca="false">SUM(Sheet1!S56:V56)</f>
        <v>274.8223</v>
      </c>
      <c r="N56" s="0" t="n">
        <f aca="false">SUM(Sheet1!W56:Z56)</f>
        <v>204.2081</v>
      </c>
      <c r="O56" s="0" t="n">
        <f aca="false">SUM(Sheet1!AA56:AD56)</f>
        <v>139.9458</v>
      </c>
      <c r="P56" s="0" t="n">
        <f aca="false">SUM(Sheet1!AE56:AN56)</f>
        <v>212.7858</v>
      </c>
      <c r="Q56" s="0" t="n">
        <f aca="false">SUM(Sheet1!AO56:AX56)</f>
        <v>140.0941</v>
      </c>
      <c r="R56" s="0" t="n">
        <f aca="false">SUM(Sheet1!AY56:BH56)</f>
        <v>24.5953</v>
      </c>
      <c r="S56" s="0" t="n">
        <f aca="false">SUM(Sheet1!BI56:BR56)</f>
        <v>2.9724</v>
      </c>
      <c r="T56" s="0" t="n">
        <f aca="false">SUM(Sheet1!BS56:CB56)</f>
        <v>0.946</v>
      </c>
      <c r="U56" s="0" t="n">
        <f aca="false">SUM(Sheet1!CC56:CL56)</f>
        <v>0.3431</v>
      </c>
      <c r="V56" s="0" t="n">
        <f aca="false">Sheet1!CM56</f>
        <v>0</v>
      </c>
    </row>
    <row r="57" customFormat="false" ht="15" hidden="false" customHeight="false" outlineLevel="0" collapsed="false">
      <c r="A57" s="0" t="str">
        <f aca="false">Sheet1!A57</f>
        <v>N1409</v>
      </c>
      <c r="B57" s="0" t="str">
        <f aca="false">Sheet1!B57</f>
        <v>ADVW</v>
      </c>
      <c r="C57" s="0" t="n">
        <f aca="false">Sheet1!C57</f>
        <v>255</v>
      </c>
      <c r="D57" s="0" t="str">
        <f aca="false">Sheet1!D57</f>
        <v>ADVW.255.4</v>
      </c>
      <c r="E57" s="0" t="n">
        <f aca="false">Sheet1!E57</f>
        <v>0</v>
      </c>
      <c r="F57" s="0" t="e">
        <f aca="false">Sheet1!F57</f>
        <v>#N/A</v>
      </c>
      <c r="G57" s="0" t="n">
        <f aca="false">Sheet1!G57</f>
        <v>825.7121</v>
      </c>
      <c r="H57" s="0" t="n">
        <f aca="false">Sheet1!H57</f>
        <v>41.2723</v>
      </c>
      <c r="I57" s="0" t="n">
        <f aca="false">Sheet1!I57</f>
        <v>129.6608</v>
      </c>
      <c r="J57" s="0" t="n">
        <f aca="false">Sheet1!J57</f>
        <v>0.4998</v>
      </c>
      <c r="K57" s="0" t="n">
        <f aca="false">Sheet1!K57</f>
        <v>0</v>
      </c>
      <c r="L57" s="0" t="n">
        <f aca="false">SUM(Sheet1!O57:R57)</f>
        <v>171.4051</v>
      </c>
      <c r="M57" s="0" t="n">
        <f aca="false">SUM(Sheet1!S57:V57)</f>
        <v>85.5053</v>
      </c>
      <c r="N57" s="0" t="n">
        <f aca="false">SUM(Sheet1!W57:Z57)</f>
        <v>58.632</v>
      </c>
      <c r="O57" s="0" t="n">
        <f aca="false">SUM(Sheet1!AA57:AD57)</f>
        <v>26.4486</v>
      </c>
      <c r="P57" s="0" t="n">
        <f aca="false">SUM(Sheet1!AE57:AN57)</f>
        <v>94.115</v>
      </c>
      <c r="Q57" s="0" t="n">
        <f aca="false">SUM(Sheet1!AO57:AX57)</f>
        <v>28.5737</v>
      </c>
      <c r="R57" s="0" t="n">
        <f aca="false">SUM(Sheet1!AY57:BH57)</f>
        <v>5.8958</v>
      </c>
      <c r="S57" s="0" t="n">
        <f aca="false">SUM(Sheet1!BI57:BR57)</f>
        <v>0.0069</v>
      </c>
      <c r="T57" s="0" t="n">
        <f aca="false">SUM(Sheet1!BS57:CB57)</f>
        <v>0</v>
      </c>
      <c r="U57" s="0" t="n">
        <f aca="false">SUM(Sheet1!CC57:CL57)</f>
        <v>0</v>
      </c>
      <c r="V57" s="0" t="n">
        <f aca="false">Sheet1!CM57</f>
        <v>0</v>
      </c>
    </row>
    <row r="58" customFormat="false" ht="15" hidden="false" customHeight="false" outlineLevel="0" collapsed="false">
      <c r="A58" s="0" t="str">
        <f aca="false">Sheet1!A58</f>
        <v>N1411</v>
      </c>
      <c r="B58" s="0" t="e">
        <f aca="false">Sheet1!B58</f>
        <v>#N/A</v>
      </c>
      <c r="C58" s="0" t="e">
        <f aca="false">Sheet1!C58</f>
        <v>#N/A</v>
      </c>
      <c r="D58" s="0" t="e">
        <f aca="false">Sheet1!D58</f>
        <v>#N/A</v>
      </c>
      <c r="E58" s="0" t="n">
        <f aca="false">Sheet1!E58</f>
        <v>0</v>
      </c>
      <c r="F58" s="0" t="n">
        <f aca="false">Sheet1!F58</f>
        <v>0</v>
      </c>
      <c r="G58" s="0" t="n">
        <f aca="false">Sheet1!G58</f>
        <v>1041.9837</v>
      </c>
      <c r="H58" s="0" t="n">
        <f aca="false">Sheet1!H58</f>
        <v>57.455</v>
      </c>
      <c r="I58" s="0" t="n">
        <f aca="false">Sheet1!I58</f>
        <v>180.5003</v>
      </c>
      <c r="J58" s="0" t="n">
        <f aca="false">Sheet1!J58</f>
        <v>0.5514</v>
      </c>
      <c r="K58" s="0" t="n">
        <f aca="false">Sheet1!K58</f>
        <v>0.0396</v>
      </c>
      <c r="L58" s="0" t="n">
        <f aca="false">SUM(Sheet1!O58:R58)</f>
        <v>297.5198</v>
      </c>
      <c r="M58" s="0" t="n">
        <f aca="false">SUM(Sheet1!S58:V58)</f>
        <v>122.0302</v>
      </c>
      <c r="N58" s="0" t="n">
        <f aca="false">SUM(Sheet1!W58:Z58)</f>
        <v>60.0616</v>
      </c>
      <c r="O58" s="0" t="n">
        <f aca="false">SUM(Sheet1!AA58:AD58)</f>
        <v>34.8686</v>
      </c>
      <c r="P58" s="0" t="n">
        <f aca="false">SUM(Sheet1!AE58:AN58)</f>
        <v>67.9701</v>
      </c>
      <c r="Q58" s="0" t="n">
        <f aca="false">SUM(Sheet1!AO58:AX58)</f>
        <v>67.9463</v>
      </c>
      <c r="R58" s="0" t="n">
        <f aca="false">SUM(Sheet1!AY58:BH58)</f>
        <v>31.5131</v>
      </c>
      <c r="S58" s="0" t="n">
        <f aca="false">SUM(Sheet1!BI58:BR58)</f>
        <v>3.9706</v>
      </c>
      <c r="T58" s="0" t="n">
        <f aca="false">SUM(Sheet1!BS58:CB58)</f>
        <v>0.207</v>
      </c>
      <c r="U58" s="0" t="n">
        <f aca="false">SUM(Sheet1!CC58:CL58)</f>
        <v>0</v>
      </c>
      <c r="V58" s="0" t="n">
        <f aca="false">Sheet1!CM58</f>
        <v>0</v>
      </c>
    </row>
    <row r="59" customFormat="false" ht="15" hidden="false" customHeight="false" outlineLevel="0" collapsed="false">
      <c r="A59" s="0" t="str">
        <f aca="false">Sheet1!A59</f>
        <v>N1501</v>
      </c>
      <c r="B59" s="0" t="str">
        <f aca="false">Sheet1!B59</f>
        <v>ADVW</v>
      </c>
      <c r="C59" s="0" t="n">
        <f aca="false">Sheet1!C59</f>
        <v>400</v>
      </c>
      <c r="D59" s="0" t="str">
        <f aca="false">Sheet1!D59</f>
        <v>ADVW.400.4</v>
      </c>
      <c r="E59" s="0" t="n">
        <f aca="false">Sheet1!E59</f>
        <v>0</v>
      </c>
      <c r="F59" s="0" t="n">
        <f aca="false">Sheet1!F59</f>
        <v>0</v>
      </c>
      <c r="G59" s="0" t="n">
        <f aca="false">Sheet1!G59</f>
        <v>2106.9543</v>
      </c>
      <c r="H59" s="0" t="n">
        <f aca="false">Sheet1!H59</f>
        <v>138.7251</v>
      </c>
      <c r="I59" s="0" t="n">
        <f aca="false">Sheet1!I59</f>
        <v>435.8176</v>
      </c>
      <c r="J59" s="0" t="n">
        <f aca="false">Sheet1!J59</f>
        <v>0.64415</v>
      </c>
      <c r="K59" s="0" t="n">
        <f aca="false">Sheet1!K59</f>
        <v>0</v>
      </c>
      <c r="L59" s="0" t="n">
        <f aca="false">SUM(Sheet1!O59:R59)</f>
        <v>568.0222</v>
      </c>
      <c r="M59" s="0" t="n">
        <f aca="false">SUM(Sheet1!S59:V59)</f>
        <v>197.2476</v>
      </c>
      <c r="N59" s="0" t="n">
        <f aca="false">SUM(Sheet1!W59:Z59)</f>
        <v>106.3274</v>
      </c>
      <c r="O59" s="0" t="n">
        <f aca="false">SUM(Sheet1!AA59:AD59)</f>
        <v>81.804</v>
      </c>
      <c r="P59" s="0" t="n">
        <f aca="false">SUM(Sheet1!AE59:AN59)</f>
        <v>255.9218</v>
      </c>
      <c r="Q59" s="0" t="n">
        <f aca="false">SUM(Sheet1!AO59:AX59)</f>
        <v>254.373</v>
      </c>
      <c r="R59" s="0" t="n">
        <f aca="false">SUM(Sheet1!AY59:BH59)</f>
        <v>33.799</v>
      </c>
      <c r="S59" s="0" t="n">
        <f aca="false">SUM(Sheet1!BI59:BR59)</f>
        <v>2.7528</v>
      </c>
      <c r="T59" s="0" t="n">
        <f aca="false">SUM(Sheet1!BS59:CB59)</f>
        <v>0.2624</v>
      </c>
      <c r="U59" s="0" t="n">
        <f aca="false">SUM(Sheet1!CC59:CL59)</f>
        <v>0.0269</v>
      </c>
      <c r="V59" s="0" t="n">
        <f aca="false">Sheet1!CM59</f>
        <v>0</v>
      </c>
    </row>
    <row r="60" customFormat="false" ht="15" hidden="false" customHeight="false" outlineLevel="0" collapsed="false">
      <c r="A60" s="0" t="str">
        <f aca="false">Sheet1!A60</f>
        <v>N1504</v>
      </c>
      <c r="B60" s="0" t="str">
        <f aca="false">Sheet1!B60</f>
        <v>F0</v>
      </c>
      <c r="C60" s="0" t="str">
        <f aca="false">Sheet1!C60</f>
        <v>WBC</v>
      </c>
      <c r="D60" s="0" t="str">
        <f aca="false">Sheet1!D60</f>
        <v>F0.WBC</v>
      </c>
      <c r="E60" s="0" t="n">
        <f aca="false">Sheet1!E60</f>
        <v>0</v>
      </c>
      <c r="F60" s="0" t="n">
        <f aca="false">Sheet1!F60</f>
        <v>0</v>
      </c>
      <c r="G60" s="0" t="n">
        <f aca="false">Sheet1!G60</f>
        <v>2042.7747</v>
      </c>
      <c r="H60" s="0" t="n">
        <f aca="false">Sheet1!H60</f>
        <v>269.6566</v>
      </c>
      <c r="I60" s="0" t="n">
        <f aca="false">Sheet1!I60</f>
        <v>847.1513</v>
      </c>
      <c r="J60" s="0" t="n">
        <f aca="false">Sheet1!J60</f>
        <v>1.3208</v>
      </c>
      <c r="K60" s="0" t="n">
        <f aca="false">Sheet1!K60</f>
        <v>0.019</v>
      </c>
      <c r="L60" s="0" t="n">
        <f aca="false">SUM(Sheet1!O60:R60)</f>
        <v>465.1621</v>
      </c>
      <c r="M60" s="0" t="n">
        <f aca="false">SUM(Sheet1!S60:V60)</f>
        <v>243.5501</v>
      </c>
      <c r="N60" s="0" t="n">
        <f aca="false">SUM(Sheet1!W60:Z60)</f>
        <v>143.7249</v>
      </c>
      <c r="O60" s="0" t="n">
        <f aca="false">SUM(Sheet1!AA60:AD60)</f>
        <v>154.1044</v>
      </c>
      <c r="P60" s="0" t="n">
        <f aca="false">SUM(Sheet1!AE60:AN60)</f>
        <v>238.1605</v>
      </c>
      <c r="Q60" s="0" t="n">
        <f aca="false">SUM(Sheet1!AO60:AX60)</f>
        <v>256.2681</v>
      </c>
      <c r="R60" s="0" t="n">
        <f aca="false">SUM(Sheet1!AY60:BH60)</f>
        <v>258.461</v>
      </c>
      <c r="S60" s="0" t="n">
        <f aca="false">SUM(Sheet1!BI60:BR60)</f>
        <v>126.0433</v>
      </c>
      <c r="T60" s="0" t="n">
        <f aca="false">SUM(Sheet1!BS60:CB60)</f>
        <v>45.0626</v>
      </c>
      <c r="U60" s="0" t="n">
        <f aca="false">SUM(Sheet1!CC60:CL60)</f>
        <v>11.0274</v>
      </c>
      <c r="V60" s="0" t="n">
        <f aca="false">Sheet1!CM60</f>
        <v>4.5986</v>
      </c>
    </row>
    <row r="61" customFormat="false" ht="15" hidden="false" customHeight="false" outlineLevel="0" collapsed="false">
      <c r="A61" s="0" t="str">
        <f aca="false">Sheet1!A61</f>
        <v>N1505</v>
      </c>
      <c r="B61" s="0" t="str">
        <f aca="false">Sheet1!B61</f>
        <v>ADVW</v>
      </c>
      <c r="C61" s="0" t="n">
        <f aca="false">Sheet1!C61</f>
        <v>312</v>
      </c>
      <c r="D61" s="0" t="str">
        <f aca="false">Sheet1!D61</f>
        <v>ADVW.312.4</v>
      </c>
      <c r="E61" s="0" t="n">
        <f aca="false">Sheet1!E61</f>
        <v>0</v>
      </c>
      <c r="F61" s="0" t="n">
        <f aca="false">Sheet1!F61</f>
        <v>0</v>
      </c>
      <c r="G61" s="0" t="n">
        <f aca="false">Sheet1!G61</f>
        <v>1220.0546</v>
      </c>
      <c r="H61" s="0" t="n">
        <f aca="false">Sheet1!H61</f>
        <v>112.2487</v>
      </c>
      <c r="I61" s="0" t="n">
        <f aca="false">Sheet1!I61</f>
        <v>352.6397</v>
      </c>
      <c r="J61" s="0" t="n">
        <f aca="false">Sheet1!J61</f>
        <v>0.89575</v>
      </c>
      <c r="K61" s="0" t="n">
        <f aca="false">Sheet1!K61</f>
        <v>0</v>
      </c>
      <c r="L61" s="0" t="n">
        <f aca="false">SUM(Sheet1!O61:R61)</f>
        <v>234.8465</v>
      </c>
      <c r="M61" s="0" t="n">
        <f aca="false">SUM(Sheet1!S61:V61)</f>
        <v>96.8601</v>
      </c>
      <c r="N61" s="0" t="n">
        <f aca="false">SUM(Sheet1!W61:Z61)</f>
        <v>70.1102</v>
      </c>
      <c r="O61" s="0" t="n">
        <f aca="false">SUM(Sheet1!AA61:AD61)</f>
        <v>59.8672</v>
      </c>
      <c r="P61" s="0" t="n">
        <f aca="false">SUM(Sheet1!AE61:AN61)</f>
        <v>166.4279</v>
      </c>
      <c r="Q61" s="0" t="n">
        <f aca="false">SUM(Sheet1!AO61:AX61)</f>
        <v>194.6507</v>
      </c>
      <c r="R61" s="0" t="n">
        <f aca="false">SUM(Sheet1!AY61:BH61)</f>
        <v>87.0416</v>
      </c>
      <c r="S61" s="0" t="n">
        <f aca="false">SUM(Sheet1!BI61:BR61)</f>
        <v>17.606</v>
      </c>
      <c r="T61" s="0" t="n">
        <f aca="false">SUM(Sheet1!BS61:CB61)</f>
        <v>4.5771</v>
      </c>
      <c r="U61" s="0" t="n">
        <f aca="false">SUM(Sheet1!CC61:CL61)</f>
        <v>0.8594</v>
      </c>
      <c r="V61" s="0" t="n">
        <f aca="false">Sheet1!CM61</f>
        <v>1.6566</v>
      </c>
    </row>
    <row r="62" customFormat="false" ht="15" hidden="false" customHeight="false" outlineLevel="0" collapsed="false">
      <c r="A62" s="0" t="str">
        <f aca="false">Sheet1!A62</f>
        <v>N1506</v>
      </c>
      <c r="B62" s="0" t="str">
        <f aca="false">Sheet1!B62</f>
        <v>VWAD</v>
      </c>
      <c r="C62" s="0" t="n">
        <f aca="false">Sheet1!C62</f>
        <v>49</v>
      </c>
      <c r="D62" s="0" t="str">
        <f aca="false">Sheet1!D62</f>
        <v>VWAD.49.4</v>
      </c>
      <c r="E62" s="0" t="n">
        <f aca="false">Sheet1!E62</f>
        <v>0</v>
      </c>
      <c r="F62" s="0" t="n">
        <f aca="false">Sheet1!F62</f>
        <v>3.8338</v>
      </c>
      <c r="G62" s="0" t="n">
        <f aca="false">Sheet1!G62</f>
        <v>4575.3737</v>
      </c>
      <c r="H62" s="0" t="n">
        <f aca="false">Sheet1!H62</f>
        <v>359.513</v>
      </c>
      <c r="I62" s="0" t="n">
        <f aca="false">Sheet1!I62</f>
        <v>1129.443</v>
      </c>
      <c r="J62" s="0" t="n">
        <f aca="false">Sheet1!J62</f>
        <v>0.7511</v>
      </c>
      <c r="K62" s="0" t="n">
        <f aca="false">Sheet1!K62</f>
        <v>0.0195</v>
      </c>
      <c r="L62" s="0" t="n">
        <f aca="false">SUM(Sheet1!O62:R62)</f>
        <v>1654.2667</v>
      </c>
      <c r="M62" s="0" t="n">
        <f aca="false">SUM(Sheet1!S62:V62)</f>
        <v>746.5193</v>
      </c>
      <c r="N62" s="0" t="n">
        <f aca="false">SUM(Sheet1!W62:Z62)</f>
        <v>346.0612</v>
      </c>
      <c r="O62" s="0" t="n">
        <f aca="false">SUM(Sheet1!AA62:AD62)</f>
        <v>276.6704</v>
      </c>
      <c r="P62" s="0" t="n">
        <f aca="false">SUM(Sheet1!AE62:AN62)</f>
        <v>640.2343</v>
      </c>
      <c r="Q62" s="0" t="n">
        <f aca="false">SUM(Sheet1!AO62:AX62)</f>
        <v>391.7499</v>
      </c>
      <c r="R62" s="0" t="n">
        <f aca="false">SUM(Sheet1!AY62:BH62)</f>
        <v>57.0452</v>
      </c>
      <c r="S62" s="0" t="n">
        <f aca="false">SUM(Sheet1!BI62:BR62)</f>
        <v>7.8787</v>
      </c>
      <c r="T62" s="0" t="n">
        <f aca="false">SUM(Sheet1!BS62:CB62)</f>
        <v>2.416</v>
      </c>
      <c r="U62" s="0" t="n">
        <f aca="false">SUM(Sheet1!CC62:CL62)</f>
        <v>0.7667</v>
      </c>
      <c r="V62" s="0" t="n">
        <f aca="false">Sheet1!CM62</f>
        <v>2.3201</v>
      </c>
    </row>
    <row r="63" customFormat="false" ht="15" hidden="false" customHeight="false" outlineLevel="0" collapsed="false">
      <c r="A63" s="0" t="str">
        <f aca="false">Sheet1!A63</f>
        <v>N1511</v>
      </c>
      <c r="B63" s="0" t="str">
        <f aca="false">Sheet1!B63</f>
        <v>ADVW</v>
      </c>
      <c r="C63" s="0" t="n">
        <f aca="false">Sheet1!C63</f>
        <v>237</v>
      </c>
      <c r="D63" s="0" t="str">
        <f aca="false">Sheet1!D63</f>
        <v>ADVW.237.16</v>
      </c>
      <c r="E63" s="0" t="e">
        <f aca="false">Sheet1!E63</f>
        <v>#N/A</v>
      </c>
      <c r="F63" s="0" t="e">
        <f aca="false">Sheet1!F63</f>
        <v>#N/A</v>
      </c>
      <c r="G63" s="0" t="n">
        <f aca="false">Sheet1!G63</f>
        <v>1602.1344</v>
      </c>
      <c r="H63" s="0" t="n">
        <f aca="false">Sheet1!H63</f>
        <v>157.451</v>
      </c>
      <c r="I63" s="0" t="n">
        <f aca="false">Sheet1!I63</f>
        <v>494.6467</v>
      </c>
      <c r="J63" s="0" t="n">
        <f aca="false">Sheet1!J63</f>
        <v>0.96804</v>
      </c>
      <c r="K63" s="0" t="n">
        <f aca="false">Sheet1!K63</f>
        <v>0</v>
      </c>
      <c r="L63" s="0" t="n">
        <f aca="false">SUM(Sheet1!O63:R63)</f>
        <v>519.6301</v>
      </c>
      <c r="M63" s="0" t="n">
        <f aca="false">SUM(Sheet1!S63:V63)</f>
        <v>195.8604</v>
      </c>
      <c r="N63" s="0" t="n">
        <f aca="false">SUM(Sheet1!W63:Z63)</f>
        <v>111.3243</v>
      </c>
      <c r="O63" s="0" t="n">
        <f aca="false">SUM(Sheet1!AA63:AD63)</f>
        <v>86.0754</v>
      </c>
      <c r="P63" s="0" t="n">
        <f aca="false">SUM(Sheet1!AE63:AN63)</f>
        <v>207.9565</v>
      </c>
      <c r="Q63" s="0" t="n">
        <f aca="false">SUM(Sheet1!AO63:AX63)</f>
        <v>291.8646</v>
      </c>
      <c r="R63" s="0" t="n">
        <f aca="false">SUM(Sheet1!AY63:BH63)</f>
        <v>69.9955</v>
      </c>
      <c r="S63" s="0" t="n">
        <f aca="false">SUM(Sheet1!BI63:BR63)</f>
        <v>6.7155</v>
      </c>
      <c r="T63" s="0" t="n">
        <f aca="false">SUM(Sheet1!BS63:CB63)</f>
        <v>0.5211</v>
      </c>
      <c r="U63" s="0" t="n">
        <f aca="false">SUM(Sheet1!CC63:CL63)</f>
        <v>0.027</v>
      </c>
      <c r="V63" s="0" t="n">
        <f aca="false">Sheet1!CM63</f>
        <v>0</v>
      </c>
    </row>
    <row r="64" customFormat="false" ht="15" hidden="false" customHeight="false" outlineLevel="0" collapsed="false">
      <c r="A64" s="0" t="str">
        <f aca="false">Sheet1!A64</f>
        <v>N1515</v>
      </c>
      <c r="B64" s="0" t="str">
        <f aca="false">Sheet1!B64</f>
        <v>VWAD</v>
      </c>
      <c r="C64" s="0" t="n">
        <f aca="false">Sheet1!C64</f>
        <v>3</v>
      </c>
      <c r="D64" s="0" t="str">
        <f aca="false">Sheet1!D64</f>
        <v>VWAD.3.4</v>
      </c>
      <c r="E64" s="0" t="n">
        <f aca="false">Sheet1!E64</f>
        <v>0</v>
      </c>
      <c r="F64" s="0" t="n">
        <f aca="false">Sheet1!F64</f>
        <v>0</v>
      </c>
      <c r="G64" s="0" t="n">
        <f aca="false">Sheet1!G64</f>
        <v>1864.3482</v>
      </c>
      <c r="H64" s="0" t="n">
        <f aca="false">Sheet1!H64</f>
        <v>108.7562</v>
      </c>
      <c r="I64" s="0" t="n">
        <f aca="false">Sheet1!I64</f>
        <v>341.6677</v>
      </c>
      <c r="J64" s="0" t="n">
        <f aca="false">Sheet1!J64</f>
        <v>0.584233333333333</v>
      </c>
      <c r="K64" s="0" t="n">
        <f aca="false">Sheet1!K64</f>
        <v>0.0171</v>
      </c>
      <c r="L64" s="0" t="n">
        <f aca="false">SUM(Sheet1!O64:R64)</f>
        <v>530.1535</v>
      </c>
      <c r="M64" s="0" t="n">
        <f aca="false">SUM(Sheet1!S64:V64)</f>
        <v>144.8156</v>
      </c>
      <c r="N64" s="0" t="n">
        <f aca="false">SUM(Sheet1!W64:Z64)</f>
        <v>98.4457</v>
      </c>
      <c r="O64" s="0" t="n">
        <f aca="false">SUM(Sheet1!AA64:AD64)</f>
        <v>69.6068</v>
      </c>
      <c r="P64" s="0" t="n">
        <f aca="false">SUM(Sheet1!AE64:AN64)</f>
        <v>155.142</v>
      </c>
      <c r="Q64" s="0" t="n">
        <f aca="false">SUM(Sheet1!AO64:AX64)</f>
        <v>162.0571</v>
      </c>
      <c r="R64" s="0" t="n">
        <f aca="false">SUM(Sheet1!AY64:BH64)</f>
        <v>39.6692</v>
      </c>
      <c r="S64" s="0" t="n">
        <f aca="false">SUM(Sheet1!BI64:BR64)</f>
        <v>7.4143</v>
      </c>
      <c r="T64" s="0" t="n">
        <f aca="false">SUM(Sheet1!BS64:CB64)</f>
        <v>1.5243</v>
      </c>
      <c r="U64" s="0" t="n">
        <f aca="false">SUM(Sheet1!CC64:CL64)</f>
        <v>0.5419</v>
      </c>
      <c r="V64" s="0" t="n">
        <f aca="false">Sheet1!CM64</f>
        <v>0.3642</v>
      </c>
    </row>
    <row r="65" customFormat="false" ht="15" hidden="false" customHeight="false" outlineLevel="0" collapsed="false">
      <c r="A65" s="0" t="str">
        <f aca="false">Sheet1!A65</f>
        <v>N1517</v>
      </c>
      <c r="B65" s="0" t="str">
        <f aca="false">Sheet1!B65</f>
        <v>VWAD</v>
      </c>
      <c r="C65" s="0" t="n">
        <f aca="false">Sheet1!C65</f>
        <v>138</v>
      </c>
      <c r="D65" s="0" t="str">
        <f aca="false">Sheet1!D65</f>
        <v>VWAD.138.4</v>
      </c>
      <c r="E65" s="0" t="n">
        <f aca="false">Sheet1!E65</f>
        <v>0</v>
      </c>
      <c r="F65" s="0" t="n">
        <f aca="false">Sheet1!F65</f>
        <v>0</v>
      </c>
      <c r="G65" s="0" t="n">
        <f aca="false">Sheet1!G65</f>
        <v>1329.5182</v>
      </c>
      <c r="H65" s="0" t="n">
        <f aca="false">Sheet1!H65</f>
        <v>108.2098</v>
      </c>
      <c r="I65" s="0" t="n">
        <f aca="false">Sheet1!I65</f>
        <v>339.9512</v>
      </c>
      <c r="J65" s="0" t="n">
        <f aca="false">Sheet1!J65</f>
        <v>0.8139</v>
      </c>
      <c r="K65" s="0" t="n">
        <f aca="false">Sheet1!K65</f>
        <v>0</v>
      </c>
      <c r="L65" s="0" t="n">
        <f aca="false">SUM(Sheet1!O65:R65)</f>
        <v>361.5195</v>
      </c>
      <c r="M65" s="0" t="n">
        <f aca="false">SUM(Sheet1!S65:V65)</f>
        <v>188.5683</v>
      </c>
      <c r="N65" s="0" t="n">
        <f aca="false">SUM(Sheet1!W65:Z65)</f>
        <v>117.3657</v>
      </c>
      <c r="O65" s="0" t="n">
        <f aca="false">SUM(Sheet1!AA65:AD65)</f>
        <v>78.2577</v>
      </c>
      <c r="P65" s="0" t="n">
        <f aca="false">SUM(Sheet1!AE65:AN65)</f>
        <v>126.2026</v>
      </c>
      <c r="Q65" s="0" t="n">
        <f aca="false">SUM(Sheet1!AO65:AX65)</f>
        <v>129.3064</v>
      </c>
      <c r="R65" s="0" t="n">
        <f aca="false">SUM(Sheet1!AY65:BH65)</f>
        <v>57.3467</v>
      </c>
      <c r="S65" s="0" t="n">
        <f aca="false">SUM(Sheet1!BI65:BR65)</f>
        <v>24.4304</v>
      </c>
      <c r="T65" s="0" t="n">
        <f aca="false">SUM(Sheet1!BS65:CB65)</f>
        <v>6.2048</v>
      </c>
      <c r="U65" s="0" t="n">
        <f aca="false">SUM(Sheet1!CC65:CL65)</f>
        <v>1.8064</v>
      </c>
      <c r="V65" s="0" t="n">
        <f aca="false">Sheet1!CM65</f>
        <v>5.0251</v>
      </c>
    </row>
    <row r="66" customFormat="false" ht="15" hidden="false" customHeight="false" outlineLevel="0" collapsed="false">
      <c r="A66" s="0" t="str">
        <f aca="false">Sheet1!A66</f>
        <v>N1519</v>
      </c>
      <c r="B66" s="0" t="str">
        <f aca="false">Sheet1!B66</f>
        <v>VWAD</v>
      </c>
      <c r="C66" s="0" t="n">
        <f aca="false">Sheet1!C66</f>
        <v>122</v>
      </c>
      <c r="D66" s="0" t="str">
        <f aca="false">Sheet1!D66</f>
        <v>VWAD.122.4</v>
      </c>
      <c r="E66" s="0" t="e">
        <f aca="false">Sheet1!E66</f>
        <v>#N/A</v>
      </c>
      <c r="F66" s="0" t="e">
        <f aca="false">Sheet1!F66</f>
        <v>#N/A</v>
      </c>
      <c r="G66" s="0" t="n">
        <f aca="false">Sheet1!G66</f>
        <v>1142.8522</v>
      </c>
      <c r="H66" s="0" t="n">
        <f aca="false">Sheet1!H66</f>
        <v>97.2703</v>
      </c>
      <c r="I66" s="0" t="n">
        <f aca="false">Sheet1!I66</f>
        <v>305.5836</v>
      </c>
      <c r="J66" s="0" t="n">
        <f aca="false">Sheet1!J66</f>
        <v>0.8068</v>
      </c>
      <c r="K66" s="0" t="n">
        <f aca="false">Sheet1!K66</f>
        <v>0</v>
      </c>
      <c r="L66" s="0" t="n">
        <f aca="false">SUM(Sheet1!O66:R66)</f>
        <v>193.809</v>
      </c>
      <c r="M66" s="0" t="n">
        <f aca="false">SUM(Sheet1!S66:V66)</f>
        <v>88.023</v>
      </c>
      <c r="N66" s="0" t="n">
        <f aca="false">SUM(Sheet1!W66:Z66)</f>
        <v>72.3868</v>
      </c>
      <c r="O66" s="0" t="n">
        <f aca="false">SUM(Sheet1!AA66:AD66)</f>
        <v>58.7572</v>
      </c>
      <c r="P66" s="0" t="n">
        <f aca="false">SUM(Sheet1!AE66:AN66)</f>
        <v>199.6947</v>
      </c>
      <c r="Q66" s="0" t="n">
        <f aca="false">SUM(Sheet1!AO66:AX66)</f>
        <v>193.2601</v>
      </c>
      <c r="R66" s="0" t="n">
        <f aca="false">SUM(Sheet1!AY66:BH66)</f>
        <v>31.1147</v>
      </c>
      <c r="S66" s="0" t="n">
        <f aca="false">SUM(Sheet1!BI66:BR66)</f>
        <v>4.6255</v>
      </c>
      <c r="T66" s="0" t="n">
        <f aca="false">SUM(Sheet1!BS66:CB66)</f>
        <v>1.443</v>
      </c>
      <c r="U66" s="0" t="n">
        <f aca="false">SUM(Sheet1!CC66:CL66)</f>
        <v>0.851</v>
      </c>
      <c r="V66" s="0" t="n">
        <f aca="false">Sheet1!CM66</f>
        <v>0.027</v>
      </c>
    </row>
    <row r="67" customFormat="false" ht="15" hidden="false" customHeight="false" outlineLevel="0" collapsed="false">
      <c r="A67" s="0" t="str">
        <f aca="false">Sheet1!A67</f>
        <v>N1601</v>
      </c>
      <c r="B67" s="0" t="str">
        <f aca="false">Sheet1!B67</f>
        <v>ADVW</v>
      </c>
      <c r="C67" s="0" t="n">
        <f aca="false">Sheet1!C67</f>
        <v>388</v>
      </c>
      <c r="D67" s="0" t="str">
        <f aca="false">Sheet1!D67</f>
        <v>ADVW.388.4</v>
      </c>
      <c r="E67" s="0" t="n">
        <f aca="false">Sheet1!E67</f>
        <v>0</v>
      </c>
      <c r="F67" s="0" t="e">
        <f aca="false">Sheet1!F67</f>
        <v>#N/A</v>
      </c>
      <c r="G67" s="0" t="n">
        <f aca="false">Sheet1!G67</f>
        <v>583.1219</v>
      </c>
      <c r="H67" s="0" t="n">
        <f aca="false">Sheet1!H67</f>
        <v>35.4907</v>
      </c>
      <c r="I67" s="0" t="n">
        <f aca="false">Sheet1!I67</f>
        <v>111.4975</v>
      </c>
      <c r="J67" s="0" t="n">
        <f aca="false">Sheet1!J67</f>
        <v>0.6086</v>
      </c>
      <c r="K67" s="0" t="n">
        <f aca="false">Sheet1!K67</f>
        <v>0</v>
      </c>
      <c r="L67" s="0" t="n">
        <f aca="false">SUM(Sheet1!O67:R67)</f>
        <v>140.1876</v>
      </c>
      <c r="M67" s="0" t="n">
        <f aca="false">SUM(Sheet1!S67:V67)</f>
        <v>58.6062</v>
      </c>
      <c r="N67" s="0" t="n">
        <f aca="false">SUM(Sheet1!W67:Z67)</f>
        <v>22.8658</v>
      </c>
      <c r="O67" s="0" t="n">
        <f aca="false">SUM(Sheet1!AA67:AD67)</f>
        <v>22.2914</v>
      </c>
      <c r="P67" s="0" t="n">
        <f aca="false">SUM(Sheet1!AE67:AN67)</f>
        <v>60.8825</v>
      </c>
      <c r="Q67" s="0" t="n">
        <f aca="false">SUM(Sheet1!AO67:AX67)</f>
        <v>55.5875</v>
      </c>
      <c r="R67" s="0" t="n">
        <f aca="false">SUM(Sheet1!AY67:BH67)</f>
        <v>9.9838</v>
      </c>
      <c r="S67" s="0" t="n">
        <f aca="false">SUM(Sheet1!BI67:BR67)</f>
        <v>0.3859</v>
      </c>
      <c r="T67" s="0" t="n">
        <f aca="false">SUM(Sheet1!BS67:CB67)</f>
        <v>0.0883</v>
      </c>
      <c r="U67" s="0" t="n">
        <f aca="false">SUM(Sheet1!CC67:CL67)</f>
        <v>0</v>
      </c>
      <c r="V67" s="0" t="n">
        <f aca="false">Sheet1!CM67</f>
        <v>0</v>
      </c>
    </row>
    <row r="68" customFormat="false" ht="15" hidden="false" customHeight="false" outlineLevel="0" collapsed="false">
      <c r="A68" s="0" t="str">
        <f aca="false">Sheet1!A68</f>
        <v>N1602</v>
      </c>
      <c r="B68" s="0" t="str">
        <f aca="false">Sheet1!B68</f>
        <v>VWAD</v>
      </c>
      <c r="C68" s="0" t="n">
        <f aca="false">Sheet1!C68</f>
        <v>6</v>
      </c>
      <c r="D68" s="0" t="str">
        <f aca="false">Sheet1!D68</f>
        <v>VWAD.6.4</v>
      </c>
      <c r="E68" s="0" t="n">
        <f aca="false">Sheet1!E68</f>
        <v>0</v>
      </c>
      <c r="F68" s="0" t="n">
        <f aca="false">Sheet1!F68</f>
        <v>0</v>
      </c>
      <c r="G68" s="0" t="n">
        <f aca="false">Sheet1!G68</f>
        <v>1255.3036</v>
      </c>
      <c r="H68" s="0" t="n">
        <f aca="false">Sheet1!H68</f>
        <v>112.78</v>
      </c>
      <c r="I68" s="0" t="n">
        <f aca="false">Sheet1!I68</f>
        <v>354.3088</v>
      </c>
      <c r="J68" s="0" t="n">
        <f aca="false">Sheet1!J68</f>
        <v>0.89315</v>
      </c>
      <c r="K68" s="0" t="n">
        <f aca="false">Sheet1!K68</f>
        <v>0.0042</v>
      </c>
      <c r="L68" s="0" t="n">
        <f aca="false">SUM(Sheet1!O68:R68)</f>
        <v>221.3936</v>
      </c>
      <c r="M68" s="0" t="n">
        <f aca="false">SUM(Sheet1!S68:V68)</f>
        <v>107.6109</v>
      </c>
      <c r="N68" s="0" t="n">
        <f aca="false">SUM(Sheet1!W68:Z68)</f>
        <v>64.3922</v>
      </c>
      <c r="O68" s="0" t="n">
        <f aca="false">SUM(Sheet1!AA68:AD68)</f>
        <v>82.4112</v>
      </c>
      <c r="P68" s="0" t="n">
        <f aca="false">SUM(Sheet1!AE68:AN68)</f>
        <v>317.0393</v>
      </c>
      <c r="Q68" s="0" t="n">
        <f aca="false">SUM(Sheet1!AO68:AX68)</f>
        <v>218.8872</v>
      </c>
      <c r="R68" s="0" t="n">
        <f aca="false">SUM(Sheet1!AY68:BH68)</f>
        <v>20.4314</v>
      </c>
      <c r="S68" s="0" t="n">
        <f aca="false">SUM(Sheet1!BI68:BR68)</f>
        <v>5.136</v>
      </c>
      <c r="T68" s="0" t="n">
        <f aca="false">SUM(Sheet1!BS68:CB68)</f>
        <v>0.7806</v>
      </c>
      <c r="U68" s="0" t="n">
        <f aca="false">SUM(Sheet1!CC68:CL68)</f>
        <v>0.2063</v>
      </c>
      <c r="V68" s="0" t="n">
        <f aca="false">Sheet1!CM68</f>
        <v>0</v>
      </c>
    </row>
    <row r="69" customFormat="false" ht="15" hidden="false" customHeight="false" outlineLevel="0" collapsed="false">
      <c r="A69" s="0" t="str">
        <f aca="false">Sheet1!A69</f>
        <v>N1607</v>
      </c>
      <c r="B69" s="0" t="str">
        <f aca="false">Sheet1!B69</f>
        <v>ADVW</v>
      </c>
      <c r="C69" s="0" t="n">
        <f aca="false">Sheet1!C69</f>
        <v>288</v>
      </c>
      <c r="D69" s="0" t="str">
        <f aca="false">Sheet1!D69</f>
        <v>ADVW.288.4</v>
      </c>
      <c r="E69" s="0" t="n">
        <f aca="false">Sheet1!E69</f>
        <v>0</v>
      </c>
      <c r="F69" s="0" t="n">
        <f aca="false">Sheet1!F69</f>
        <v>0</v>
      </c>
      <c r="G69" s="0" t="n">
        <f aca="false">Sheet1!G69</f>
        <v>929.5231</v>
      </c>
      <c r="H69" s="0" t="n">
        <f aca="false">Sheet1!H69</f>
        <v>81.7436</v>
      </c>
      <c r="I69" s="0" t="n">
        <f aca="false">Sheet1!I69</f>
        <v>256.8053</v>
      </c>
      <c r="J69" s="0" t="n">
        <f aca="false">Sheet1!J69</f>
        <v>0.85355</v>
      </c>
      <c r="K69" s="0" t="n">
        <f aca="false">Sheet1!K69</f>
        <v>0.4005</v>
      </c>
      <c r="L69" s="0" t="n">
        <f aca="false">SUM(Sheet1!O69:R69)</f>
        <v>132.3694</v>
      </c>
      <c r="M69" s="0" t="n">
        <f aca="false">SUM(Sheet1!S69:V69)</f>
        <v>106.1231</v>
      </c>
      <c r="N69" s="0" t="n">
        <f aca="false">SUM(Sheet1!W69:Z69)</f>
        <v>113.5297</v>
      </c>
      <c r="O69" s="0" t="n">
        <f aca="false">SUM(Sheet1!AA69:AD69)</f>
        <v>60.342</v>
      </c>
      <c r="P69" s="0" t="n">
        <f aca="false">SUM(Sheet1!AE69:AN69)</f>
        <v>142.1898</v>
      </c>
      <c r="Q69" s="0" t="n">
        <f aca="false">SUM(Sheet1!AO69:AX69)</f>
        <v>142.7524</v>
      </c>
      <c r="R69" s="0" t="n">
        <f aca="false">SUM(Sheet1!AY69:BH69)</f>
        <v>32.9669</v>
      </c>
      <c r="S69" s="0" t="n">
        <f aca="false">SUM(Sheet1!BI69:BR69)</f>
        <v>8.3239</v>
      </c>
      <c r="T69" s="0" t="n">
        <f aca="false">SUM(Sheet1!BS69:CB69)</f>
        <v>2.364</v>
      </c>
      <c r="U69" s="0" t="n">
        <f aca="false">SUM(Sheet1!CC69:CL69)</f>
        <v>0.6721</v>
      </c>
      <c r="V69" s="0" t="n">
        <f aca="false">Sheet1!CM69</f>
        <v>0</v>
      </c>
    </row>
    <row r="70" customFormat="false" ht="15" hidden="false" customHeight="false" outlineLevel="0" collapsed="false">
      <c r="A70" s="0" t="str">
        <f aca="false">Sheet1!A70</f>
        <v>N1610</v>
      </c>
      <c r="B70" s="0" t="str">
        <f aca="false">Sheet1!B70</f>
        <v>ADVW</v>
      </c>
      <c r="C70" s="0" t="n">
        <f aca="false">Sheet1!C70</f>
        <v>254</v>
      </c>
      <c r="D70" s="0" t="str">
        <f aca="false">Sheet1!D70</f>
        <v>ADVW.254.4</v>
      </c>
      <c r="E70" s="0" t="n">
        <f aca="false">Sheet1!E70</f>
        <v>0</v>
      </c>
      <c r="F70" s="0" t="n">
        <f aca="false">Sheet1!F70</f>
        <v>0</v>
      </c>
      <c r="G70" s="0" t="n">
        <f aca="false">Sheet1!G70</f>
        <v>1691.9327</v>
      </c>
      <c r="H70" s="0" t="n">
        <f aca="false">Sheet1!H70</f>
        <v>141.8949</v>
      </c>
      <c r="I70" s="0" t="n">
        <f aca="false">Sheet1!I70</f>
        <v>445.7757</v>
      </c>
      <c r="J70" s="0" t="n">
        <f aca="false">Sheet1!J70</f>
        <v>0.794033333333333</v>
      </c>
      <c r="K70" s="0" t="n">
        <f aca="false">Sheet1!K70</f>
        <v>0.0158</v>
      </c>
      <c r="L70" s="0" t="n">
        <f aca="false">SUM(Sheet1!O70:R70)</f>
        <v>295.8436</v>
      </c>
      <c r="M70" s="0" t="n">
        <f aca="false">SUM(Sheet1!S70:V70)</f>
        <v>171.815</v>
      </c>
      <c r="N70" s="0" t="n">
        <f aca="false">SUM(Sheet1!W70:Z70)</f>
        <v>136.8908</v>
      </c>
      <c r="O70" s="0" t="n">
        <f aca="false">SUM(Sheet1!AA70:AD70)</f>
        <v>111.1345</v>
      </c>
      <c r="P70" s="0" t="n">
        <f aca="false">SUM(Sheet1!AE70:AN70)</f>
        <v>342.6778</v>
      </c>
      <c r="Q70" s="0" t="n">
        <f aca="false">SUM(Sheet1!AO70:AX70)</f>
        <v>248.7725</v>
      </c>
      <c r="R70" s="0" t="n">
        <f aca="false">SUM(Sheet1!AY70:BH70)</f>
        <v>37.4114</v>
      </c>
      <c r="S70" s="0" t="n">
        <f aca="false">SUM(Sheet1!BI70:BR70)</f>
        <v>6.1268</v>
      </c>
      <c r="T70" s="0" t="n">
        <f aca="false">SUM(Sheet1!BS70:CB70)</f>
        <v>1.5367</v>
      </c>
      <c r="U70" s="0" t="n">
        <f aca="false">SUM(Sheet1!CC70:CL70)</f>
        <v>0.379</v>
      </c>
      <c r="V70" s="0" t="n">
        <f aca="false">Sheet1!CM70</f>
        <v>0</v>
      </c>
    </row>
    <row r="71" customFormat="false" ht="15" hidden="false" customHeight="false" outlineLevel="0" collapsed="false">
      <c r="A71" s="0" t="str">
        <f aca="false">Sheet1!A71</f>
        <v>N1611</v>
      </c>
      <c r="B71" s="0" t="str">
        <f aca="false">Sheet1!B71</f>
        <v>VWAD</v>
      </c>
      <c r="C71" s="0" t="n">
        <f aca="false">Sheet1!C71</f>
        <v>72</v>
      </c>
      <c r="D71" s="0" t="str">
        <f aca="false">Sheet1!D71</f>
        <v>VWAD.72.4</v>
      </c>
      <c r="E71" s="0" t="e">
        <f aca="false">Sheet1!E71</f>
        <v>#N/A</v>
      </c>
      <c r="F71" s="0" t="e">
        <f aca="false">Sheet1!F71</f>
        <v>#N/A</v>
      </c>
      <c r="G71" s="0" t="n">
        <f aca="false">Sheet1!G71</f>
        <v>3415.8753</v>
      </c>
      <c r="H71" s="0" t="n">
        <f aca="false">Sheet1!H71</f>
        <v>367.1418</v>
      </c>
      <c r="I71" s="0" t="n">
        <f aca="false">Sheet1!I71</f>
        <v>1153.41</v>
      </c>
      <c r="J71" s="0" t="n">
        <f aca="false">Sheet1!J71</f>
        <v>0.948314285714286</v>
      </c>
      <c r="K71" s="0" t="n">
        <f aca="false">Sheet1!K71</f>
        <v>0.0127</v>
      </c>
      <c r="L71" s="0" t="n">
        <f aca="false">SUM(Sheet1!O71:R71)</f>
        <v>737.1172</v>
      </c>
      <c r="M71" s="0" t="n">
        <f aca="false">SUM(Sheet1!S71:V71)</f>
        <v>651.1437</v>
      </c>
      <c r="N71" s="0" t="n">
        <f aca="false">SUM(Sheet1!W71:Z71)</f>
        <v>380.2503</v>
      </c>
      <c r="O71" s="0" t="n">
        <f aca="false">SUM(Sheet1!AA71:AD71)</f>
        <v>303.0848</v>
      </c>
      <c r="P71" s="0" t="n">
        <f aca="false">SUM(Sheet1!AE71:AN71)</f>
        <v>462.5476</v>
      </c>
      <c r="Q71" s="0" t="n">
        <f aca="false">SUM(Sheet1!AO71:AX71)</f>
        <v>350.9273</v>
      </c>
      <c r="R71" s="0" t="n">
        <f aca="false">SUM(Sheet1!AY71:BH71)</f>
        <v>254.9463</v>
      </c>
      <c r="S71" s="0" t="n">
        <f aca="false">SUM(Sheet1!BI71:BR71)</f>
        <v>109.5704</v>
      </c>
      <c r="T71" s="0" t="n">
        <f aca="false">SUM(Sheet1!BS71:CB71)</f>
        <v>24.0462</v>
      </c>
      <c r="U71" s="0" t="n">
        <f aca="false">SUM(Sheet1!CC71:CL71)</f>
        <v>4.6592</v>
      </c>
      <c r="V71" s="0" t="n">
        <f aca="false">Sheet1!CM71</f>
        <v>1.8118</v>
      </c>
    </row>
    <row r="72" customFormat="false" ht="15" hidden="false" customHeight="false" outlineLevel="0" collapsed="false">
      <c r="A72" s="0" t="str">
        <f aca="false">Sheet1!A72</f>
        <v>N1612</v>
      </c>
      <c r="B72" s="0" t="str">
        <f aca="false">Sheet1!B72</f>
        <v>F0</v>
      </c>
      <c r="C72" s="0" t="str">
        <f aca="false">Sheet1!C72</f>
        <v>AP13</v>
      </c>
      <c r="D72" s="0" t="str">
        <f aca="false">Sheet1!D72</f>
        <v>F0.AP13</v>
      </c>
      <c r="E72" s="0" t="n">
        <f aca="false">Sheet1!E72</f>
        <v>0</v>
      </c>
      <c r="F72" s="0" t="n">
        <f aca="false">Sheet1!F72</f>
        <v>0</v>
      </c>
      <c r="G72" s="0" t="n">
        <f aca="false">Sheet1!G72</f>
        <v>2702.565</v>
      </c>
      <c r="H72" s="0" t="n">
        <f aca="false">Sheet1!H72</f>
        <v>315.6737</v>
      </c>
      <c r="I72" s="0" t="n">
        <f aca="false">Sheet1!I72</f>
        <v>991.7182</v>
      </c>
      <c r="J72" s="0" t="n">
        <f aca="false">Sheet1!J72</f>
        <v>1.18182</v>
      </c>
      <c r="K72" s="0" t="n">
        <f aca="false">Sheet1!K72</f>
        <v>0.1603</v>
      </c>
      <c r="L72" s="0" t="n">
        <f aca="false">SUM(Sheet1!O72:R72)</f>
        <v>644.8824</v>
      </c>
      <c r="M72" s="0" t="n">
        <f aca="false">SUM(Sheet1!S72:V72)</f>
        <v>316.5299</v>
      </c>
      <c r="N72" s="0" t="n">
        <f aca="false">SUM(Sheet1!W72:Z72)</f>
        <v>160.0973</v>
      </c>
      <c r="O72" s="0" t="n">
        <f aca="false">SUM(Sheet1!AA72:AD72)</f>
        <v>146.5468</v>
      </c>
      <c r="P72" s="0" t="n">
        <f aca="false">SUM(Sheet1!AE72:AN72)</f>
        <v>416.9797</v>
      </c>
      <c r="Q72" s="0" t="n">
        <f aca="false">SUM(Sheet1!AO72:AX72)</f>
        <v>609.4639</v>
      </c>
      <c r="R72" s="0" t="n">
        <f aca="false">SUM(Sheet1!AY72:BH72)</f>
        <v>203.4784</v>
      </c>
      <c r="S72" s="0" t="n">
        <f aca="false">SUM(Sheet1!BI72:BR72)</f>
        <v>32.434</v>
      </c>
      <c r="T72" s="0" t="n">
        <f aca="false">SUM(Sheet1!BS72:CB72)</f>
        <v>8.6633</v>
      </c>
      <c r="U72" s="0" t="n">
        <f aca="false">SUM(Sheet1!CC72:CL72)</f>
        <v>2.0301</v>
      </c>
      <c r="V72" s="0" t="n">
        <f aca="false">Sheet1!CM72</f>
        <v>0.6547</v>
      </c>
    </row>
    <row r="73" customFormat="false" ht="15" hidden="false" customHeight="false" outlineLevel="0" collapsed="false">
      <c r="A73" s="0" t="str">
        <f aca="false">Sheet1!A73</f>
        <v>N1615</v>
      </c>
      <c r="B73" s="0" t="str">
        <f aca="false">Sheet1!B73</f>
        <v>ADVW</v>
      </c>
      <c r="C73" s="0" t="n">
        <f aca="false">Sheet1!C73</f>
        <v>303</v>
      </c>
      <c r="D73" s="0" t="str">
        <f aca="false">Sheet1!D73</f>
        <v>ADVW.303.4</v>
      </c>
      <c r="E73" s="0" t="n">
        <f aca="false">Sheet1!E73</f>
        <v>0</v>
      </c>
      <c r="F73" s="0" t="n">
        <f aca="false">Sheet1!F73</f>
        <v>5.0615</v>
      </c>
      <c r="G73" s="0" t="n">
        <f aca="false">Sheet1!G73</f>
        <v>7746.5007</v>
      </c>
      <c r="H73" s="0" t="n">
        <f aca="false">Sheet1!H73</f>
        <v>444.9028</v>
      </c>
      <c r="I73" s="0" t="n">
        <f aca="false">Sheet1!I73</f>
        <v>1397.7034</v>
      </c>
      <c r="J73" s="0" t="n">
        <f aca="false">Sheet1!J73</f>
        <v>0.519225</v>
      </c>
      <c r="K73" s="0" t="n">
        <f aca="false">Sheet1!K73</f>
        <v>0</v>
      </c>
      <c r="L73" s="0" t="n">
        <f aca="false">SUM(Sheet1!O73:R73)</f>
        <v>1591.3517</v>
      </c>
      <c r="M73" s="0" t="n">
        <f aca="false">SUM(Sheet1!S73:V73)</f>
        <v>863.8747</v>
      </c>
      <c r="N73" s="0" t="n">
        <f aca="false">SUM(Sheet1!W73:Z73)</f>
        <v>618.7514</v>
      </c>
      <c r="O73" s="0" t="n">
        <f aca="false">SUM(Sheet1!AA73:AD73)</f>
        <v>432.1571</v>
      </c>
      <c r="P73" s="0" t="n">
        <f aca="false">SUM(Sheet1!AE73:AN73)</f>
        <v>635.2915</v>
      </c>
      <c r="Q73" s="0" t="n">
        <f aca="false">SUM(Sheet1!AO73:AX73)</f>
        <v>426.6471</v>
      </c>
      <c r="R73" s="0" t="n">
        <f aca="false">SUM(Sheet1!AY73:BH73)</f>
        <v>138.2715</v>
      </c>
      <c r="S73" s="0" t="n">
        <f aca="false">SUM(Sheet1!BI73:BR73)</f>
        <v>28.376</v>
      </c>
      <c r="T73" s="0" t="n">
        <f aca="false">SUM(Sheet1!BS73:CB73)</f>
        <v>6.2298</v>
      </c>
      <c r="U73" s="0" t="n">
        <f aca="false">SUM(Sheet1!CC73:CL73)</f>
        <v>1.2684</v>
      </c>
      <c r="V73" s="0" t="n">
        <f aca="false">Sheet1!CM73</f>
        <v>1.349</v>
      </c>
    </row>
    <row r="74" customFormat="false" ht="15" hidden="false" customHeight="false" outlineLevel="0" collapsed="false">
      <c r="A74" s="0" t="str">
        <f aca="false">Sheet1!A74</f>
        <v>N1616</v>
      </c>
      <c r="B74" s="0" t="str">
        <f aca="false">Sheet1!B74</f>
        <v>VWAD</v>
      </c>
      <c r="C74" s="0" t="n">
        <f aca="false">Sheet1!C74</f>
        <v>25</v>
      </c>
      <c r="D74" s="0" t="str">
        <f aca="false">Sheet1!D74</f>
        <v>VWAD.25.4</v>
      </c>
      <c r="E74" s="0" t="n">
        <f aca="false">Sheet1!E74</f>
        <v>0</v>
      </c>
      <c r="F74" s="0" t="n">
        <f aca="false">Sheet1!F74</f>
        <v>6.1158</v>
      </c>
      <c r="G74" s="0" t="n">
        <f aca="false">Sheet1!G74</f>
        <v>2544.9171</v>
      </c>
      <c r="H74" s="0" t="n">
        <f aca="false">Sheet1!H74</f>
        <v>233.0597</v>
      </c>
      <c r="I74" s="0" t="n">
        <f aca="false">Sheet1!I74</f>
        <v>732.1784</v>
      </c>
      <c r="J74" s="0" t="n">
        <f aca="false">Sheet1!J74</f>
        <v>0.8943</v>
      </c>
      <c r="K74" s="0" t="n">
        <f aca="false">Sheet1!K74</f>
        <v>0</v>
      </c>
      <c r="L74" s="0" t="n">
        <f aca="false">SUM(Sheet1!O74:R74)</f>
        <v>445.0592</v>
      </c>
      <c r="M74" s="0" t="n">
        <f aca="false">SUM(Sheet1!S74:V74)</f>
        <v>208.5991</v>
      </c>
      <c r="N74" s="0" t="n">
        <f aca="false">SUM(Sheet1!W74:Z74)</f>
        <v>177.6296</v>
      </c>
      <c r="O74" s="0" t="n">
        <f aca="false">SUM(Sheet1!AA74:AD74)</f>
        <v>122.5679</v>
      </c>
      <c r="P74" s="0" t="n">
        <f aca="false">SUM(Sheet1!AE74:AN74)</f>
        <v>293.768</v>
      </c>
      <c r="Q74" s="0" t="n">
        <f aca="false">SUM(Sheet1!AO74:AX74)</f>
        <v>409.1367</v>
      </c>
      <c r="R74" s="0" t="n">
        <f aca="false">SUM(Sheet1!AY74:BH74)</f>
        <v>201.0741</v>
      </c>
      <c r="S74" s="0" t="n">
        <f aca="false">SUM(Sheet1!BI74:BR74)</f>
        <v>36.3325</v>
      </c>
      <c r="T74" s="0" t="n">
        <f aca="false">SUM(Sheet1!BS74:CB74)</f>
        <v>3.9781</v>
      </c>
      <c r="U74" s="0" t="n">
        <f aca="false">SUM(Sheet1!CC74:CL74)</f>
        <v>0.4668</v>
      </c>
      <c r="V74" s="0" t="n">
        <f aca="false">Sheet1!CM74</f>
        <v>0</v>
      </c>
    </row>
    <row r="75" customFormat="false" ht="15" hidden="false" customHeight="false" outlineLevel="0" collapsed="false">
      <c r="A75" s="0" t="str">
        <f aca="false">Sheet1!A75</f>
        <v>N1618</v>
      </c>
      <c r="B75" s="0" t="str">
        <f aca="false">Sheet1!B75</f>
        <v>F0</v>
      </c>
      <c r="C75" s="0" t="str">
        <f aca="false">Sheet1!C75</f>
        <v>VS16</v>
      </c>
      <c r="D75" s="0" t="str">
        <f aca="false">Sheet1!D75</f>
        <v>F0.VS16</v>
      </c>
      <c r="E75" s="0" t="n">
        <f aca="false">Sheet1!E75</f>
        <v>0</v>
      </c>
      <c r="F75" s="0" t="n">
        <f aca="false">Sheet1!F75</f>
        <v>0</v>
      </c>
      <c r="G75" s="0" t="n">
        <f aca="false">Sheet1!G75</f>
        <v>1113.0712</v>
      </c>
      <c r="H75" s="0" t="n">
        <f aca="false">Sheet1!H75</f>
        <v>76.9778</v>
      </c>
      <c r="I75" s="0" t="n">
        <f aca="false">Sheet1!I75</f>
        <v>241.8327</v>
      </c>
      <c r="J75" s="0" t="n">
        <f aca="false">Sheet1!J75</f>
        <v>0.7182</v>
      </c>
      <c r="K75" s="0" t="n">
        <f aca="false">Sheet1!K75</f>
        <v>0.0598</v>
      </c>
      <c r="L75" s="0" t="n">
        <f aca="false">SUM(Sheet1!O75:R75)</f>
        <v>309.4741</v>
      </c>
      <c r="M75" s="0" t="n">
        <f aca="false">SUM(Sheet1!S75:V75)</f>
        <v>205.771</v>
      </c>
      <c r="N75" s="0" t="n">
        <f aca="false">SUM(Sheet1!W75:Z75)</f>
        <v>113.5294</v>
      </c>
      <c r="O75" s="0" t="n">
        <f aca="false">SUM(Sheet1!AA75:AD75)</f>
        <v>79.3241</v>
      </c>
      <c r="P75" s="0" t="n">
        <f aca="false">SUM(Sheet1!AE75:AN75)</f>
        <v>94.9849</v>
      </c>
      <c r="Q75" s="0" t="n">
        <f aca="false">SUM(Sheet1!AO75:AX75)</f>
        <v>37.1326</v>
      </c>
      <c r="R75" s="0" t="n">
        <f aca="false">SUM(Sheet1!AY75:BH75)</f>
        <v>11.1107</v>
      </c>
      <c r="S75" s="0" t="n">
        <f aca="false">SUM(Sheet1!BI75:BR75)</f>
        <v>13.2658</v>
      </c>
      <c r="T75" s="0" t="n">
        <f aca="false">SUM(Sheet1!BS75:CB75)</f>
        <v>3.0444</v>
      </c>
      <c r="U75" s="0" t="n">
        <f aca="false">SUM(Sheet1!CC75:CL75)</f>
        <v>1.4714</v>
      </c>
      <c r="V75" s="0" t="n">
        <f aca="false">Sheet1!CM75</f>
        <v>0.711</v>
      </c>
    </row>
    <row r="76" customFormat="false" ht="15" hidden="false" customHeight="false" outlineLevel="0" collapsed="false">
      <c r="A76" s="0" t="str">
        <f aca="false">Sheet1!A76</f>
        <v>N1703</v>
      </c>
      <c r="B76" s="0" t="str">
        <f aca="false">Sheet1!B76</f>
        <v>F0</v>
      </c>
      <c r="C76" s="0" t="str">
        <f aca="false">Sheet1!C76</f>
        <v>DAC</v>
      </c>
      <c r="D76" s="0" t="str">
        <f aca="false">Sheet1!D76</f>
        <v>F0.DAC</v>
      </c>
      <c r="E76" s="0" t="n">
        <f aca="false">Sheet1!E76</f>
        <v>0</v>
      </c>
      <c r="F76" s="0" t="n">
        <f aca="false">Sheet1!F76</f>
        <v>0</v>
      </c>
      <c r="G76" s="0" t="n">
        <f aca="false">Sheet1!G76</f>
        <v>1585.9721</v>
      </c>
      <c r="H76" s="0" t="n">
        <f aca="false">Sheet1!H76</f>
        <v>106.135</v>
      </c>
      <c r="I76" s="0" t="n">
        <f aca="false">Sheet1!I76</f>
        <v>333.4329</v>
      </c>
      <c r="J76" s="0" t="n">
        <f aca="false">Sheet1!J76</f>
        <v>0.67165</v>
      </c>
      <c r="K76" s="0" t="n">
        <f aca="false">Sheet1!K76</f>
        <v>0.0635</v>
      </c>
      <c r="L76" s="0" t="n">
        <f aca="false">SUM(Sheet1!O76:R76)</f>
        <v>548.7823</v>
      </c>
      <c r="M76" s="0" t="n">
        <f aca="false">SUM(Sheet1!S76:V76)</f>
        <v>301.0628</v>
      </c>
      <c r="N76" s="0" t="n">
        <f aca="false">SUM(Sheet1!W76:Z76)</f>
        <v>170.0864</v>
      </c>
      <c r="O76" s="0" t="n">
        <f aca="false">SUM(Sheet1!AA76:AD76)</f>
        <v>153.3588</v>
      </c>
      <c r="P76" s="0" t="n">
        <f aca="false">SUM(Sheet1!AE76:AN76)</f>
        <v>169.5395</v>
      </c>
      <c r="Q76" s="0" t="n">
        <f aca="false">SUM(Sheet1!AO76:AX76)</f>
        <v>34.2648</v>
      </c>
      <c r="R76" s="0" t="n">
        <f aca="false">SUM(Sheet1!AY76:BH76)</f>
        <v>3.9348</v>
      </c>
      <c r="S76" s="0" t="n">
        <f aca="false">SUM(Sheet1!BI76:BR76)</f>
        <v>1.2731</v>
      </c>
      <c r="T76" s="0" t="n">
        <f aca="false">SUM(Sheet1!BS76:CB76)</f>
        <v>0.2707</v>
      </c>
      <c r="U76" s="0" t="n">
        <f aca="false">SUM(Sheet1!CC76:CL76)</f>
        <v>0</v>
      </c>
      <c r="V76" s="0" t="n">
        <f aca="false">Sheet1!CM76</f>
        <v>0</v>
      </c>
    </row>
    <row r="77" customFormat="false" ht="15" hidden="false" customHeight="false" outlineLevel="0" collapsed="false">
      <c r="A77" s="0" t="str">
        <f aca="false">Sheet1!A77</f>
        <v>N1707</v>
      </c>
      <c r="B77" s="0" t="str">
        <f aca="false">Sheet1!B77</f>
        <v>ADVW</v>
      </c>
      <c r="C77" s="0" t="n">
        <f aca="false">Sheet1!C77</f>
        <v>204</v>
      </c>
      <c r="D77" s="0" t="str">
        <f aca="false">Sheet1!D77</f>
        <v>ADVW.204.4</v>
      </c>
      <c r="E77" s="0" t="n">
        <f aca="false">Sheet1!E77</f>
        <v>0</v>
      </c>
      <c r="F77" s="0" t="n">
        <f aca="false">Sheet1!F77</f>
        <v>0</v>
      </c>
      <c r="G77" s="0" t="n">
        <f aca="false">Sheet1!G77</f>
        <v>1462.2708</v>
      </c>
      <c r="H77" s="0" t="n">
        <f aca="false">Sheet1!H77</f>
        <v>87.0326</v>
      </c>
      <c r="I77" s="0" t="n">
        <f aca="false">Sheet1!I77</f>
        <v>273.421</v>
      </c>
      <c r="J77" s="0" t="n">
        <f aca="false">Sheet1!J77</f>
        <v>0.5942</v>
      </c>
      <c r="K77" s="0" t="n">
        <f aca="false">Sheet1!K77</f>
        <v>0</v>
      </c>
      <c r="L77" s="0" t="n">
        <f aca="false">SUM(Sheet1!O77:R77)</f>
        <v>334.8392</v>
      </c>
      <c r="M77" s="0" t="n">
        <f aca="false">SUM(Sheet1!S77:V77)</f>
        <v>162.9033</v>
      </c>
      <c r="N77" s="0" t="n">
        <f aca="false">SUM(Sheet1!W77:Z77)</f>
        <v>95.9543</v>
      </c>
      <c r="O77" s="0" t="n">
        <f aca="false">SUM(Sheet1!AA77:AD77)</f>
        <v>99.4942</v>
      </c>
      <c r="P77" s="0" t="n">
        <f aca="false">SUM(Sheet1!AE77:AN77)</f>
        <v>277.343</v>
      </c>
      <c r="Q77" s="0" t="n">
        <f aca="false">SUM(Sheet1!AO77:AX77)</f>
        <v>56.7986</v>
      </c>
      <c r="R77" s="0" t="n">
        <f aca="false">SUM(Sheet1!AY77:BH77)</f>
        <v>1.6401</v>
      </c>
      <c r="S77" s="0" t="n">
        <f aca="false">SUM(Sheet1!BI77:BR77)</f>
        <v>0.2564</v>
      </c>
      <c r="T77" s="0" t="n">
        <f aca="false">SUM(Sheet1!BS77:CB77)</f>
        <v>0</v>
      </c>
      <c r="U77" s="0" t="n">
        <f aca="false">SUM(Sheet1!CC77:CL77)</f>
        <v>0</v>
      </c>
      <c r="V77" s="0" t="n">
        <f aca="false">Sheet1!CM77</f>
        <v>0</v>
      </c>
    </row>
    <row r="78" customFormat="false" ht="15" hidden="false" customHeight="false" outlineLevel="0" collapsed="false">
      <c r="A78" s="0" t="str">
        <f aca="false">Sheet1!A78</f>
        <v>N1708</v>
      </c>
      <c r="B78" s="0" t="str">
        <f aca="false">Sheet1!B78</f>
        <v>VWAD</v>
      </c>
      <c r="C78" s="0" t="n">
        <f aca="false">Sheet1!C78</f>
        <v>199</v>
      </c>
      <c r="D78" s="0" t="str">
        <f aca="false">Sheet1!D78</f>
        <v>VWAD.199.4</v>
      </c>
      <c r="E78" s="0" t="n">
        <f aca="false">Sheet1!E78</f>
        <v>0</v>
      </c>
      <c r="F78" s="0" t="n">
        <f aca="false">Sheet1!F78</f>
        <v>1.5208</v>
      </c>
      <c r="G78" s="0" t="n">
        <f aca="false">Sheet1!G78</f>
        <v>2459.5198</v>
      </c>
      <c r="H78" s="0" t="n">
        <f aca="false">Sheet1!H78</f>
        <v>182.6212</v>
      </c>
      <c r="I78" s="0" t="n">
        <f aca="false">Sheet1!I78</f>
        <v>573.7215</v>
      </c>
      <c r="J78" s="0" t="n">
        <f aca="false">Sheet1!J78</f>
        <v>0.7169</v>
      </c>
      <c r="K78" s="0" t="n">
        <f aca="false">Sheet1!K78</f>
        <v>0</v>
      </c>
      <c r="L78" s="0" t="n">
        <f aca="false">SUM(Sheet1!O78:R78)</f>
        <v>986.8453</v>
      </c>
      <c r="M78" s="0" t="n">
        <f aca="false">SUM(Sheet1!S78:V78)</f>
        <v>468.7642</v>
      </c>
      <c r="N78" s="0" t="n">
        <f aca="false">SUM(Sheet1!W78:Z78)</f>
        <v>222.9507</v>
      </c>
      <c r="O78" s="0" t="n">
        <f aca="false">SUM(Sheet1!AA78:AD78)</f>
        <v>113.5965</v>
      </c>
      <c r="P78" s="0" t="n">
        <f aca="false">SUM(Sheet1!AE78:AN78)</f>
        <v>155.4506</v>
      </c>
      <c r="Q78" s="0" t="n">
        <f aca="false">SUM(Sheet1!AO78:AX78)</f>
        <v>131.8251</v>
      </c>
      <c r="R78" s="0" t="n">
        <f aca="false">SUM(Sheet1!AY78:BH78)</f>
        <v>115.6734</v>
      </c>
      <c r="S78" s="0" t="n">
        <f aca="false">SUM(Sheet1!BI78:BR78)</f>
        <v>22.8421</v>
      </c>
      <c r="T78" s="0" t="n">
        <f aca="false">SUM(Sheet1!BS78:CB78)</f>
        <v>3.8678</v>
      </c>
      <c r="U78" s="0" t="n">
        <f aca="false">SUM(Sheet1!CC78:CL78)</f>
        <v>0.5115</v>
      </c>
      <c r="V78" s="0" t="n">
        <f aca="false">Sheet1!CM78</f>
        <v>0.3083</v>
      </c>
    </row>
    <row r="79" customFormat="false" ht="15" hidden="false" customHeight="false" outlineLevel="0" collapsed="false">
      <c r="A79" s="0" t="str">
        <f aca="false">Sheet1!A79</f>
        <v>N1710</v>
      </c>
      <c r="B79" s="0" t="str">
        <f aca="false">Sheet1!B79</f>
        <v>VWAD</v>
      </c>
      <c r="C79" s="0" t="n">
        <f aca="false">Sheet1!C79</f>
        <v>120</v>
      </c>
      <c r="D79" s="0" t="str">
        <f aca="false">Sheet1!D79</f>
        <v>VWAD.120.4</v>
      </c>
      <c r="E79" s="0" t="e">
        <f aca="false">Sheet1!E79</f>
        <v>#N/A</v>
      </c>
      <c r="F79" s="0" t="n">
        <f aca="false">Sheet1!F79</f>
        <v>0</v>
      </c>
      <c r="G79" s="0" t="n">
        <f aca="false">Sheet1!G79</f>
        <v>1394.4635</v>
      </c>
      <c r="H79" s="0" t="n">
        <f aca="false">Sheet1!H79</f>
        <v>113.5409</v>
      </c>
      <c r="I79" s="0" t="n">
        <f aca="false">Sheet1!I79</f>
        <v>356.6992</v>
      </c>
      <c r="J79" s="0" t="n">
        <f aca="false">Sheet1!J79</f>
        <v>0.78235</v>
      </c>
      <c r="K79" s="0" t="n">
        <f aca="false">Sheet1!K79</f>
        <v>0.0132</v>
      </c>
      <c r="L79" s="0" t="n">
        <f aca="false">SUM(Sheet1!O79:R79)</f>
        <v>458.1232</v>
      </c>
      <c r="M79" s="0" t="n">
        <f aca="false">SUM(Sheet1!S79:V79)</f>
        <v>264.1619</v>
      </c>
      <c r="N79" s="0" t="n">
        <f aca="false">SUM(Sheet1!W79:Z79)</f>
        <v>96.0228</v>
      </c>
      <c r="O79" s="0" t="n">
        <f aca="false">SUM(Sheet1!AA79:AD79)</f>
        <v>65.2779</v>
      </c>
      <c r="P79" s="0" t="n">
        <f aca="false">SUM(Sheet1!AE79:AN79)</f>
        <v>103.1543</v>
      </c>
      <c r="Q79" s="0" t="n">
        <f aca="false">SUM(Sheet1!AO79:AX79)</f>
        <v>145.4277</v>
      </c>
      <c r="R79" s="0" t="n">
        <f aca="false">SUM(Sheet1!AY79:BH79)</f>
        <v>70.9545</v>
      </c>
      <c r="S79" s="0" t="n">
        <f aca="false">SUM(Sheet1!BI79:BR79)</f>
        <v>7.4927</v>
      </c>
      <c r="T79" s="0" t="n">
        <f aca="false">SUM(Sheet1!BS79:CB79)</f>
        <v>0.4716</v>
      </c>
      <c r="U79" s="0" t="n">
        <f aca="false">SUM(Sheet1!CC79:CL79)</f>
        <v>0.1844</v>
      </c>
      <c r="V79" s="0" t="n">
        <f aca="false">Sheet1!CM79</f>
        <v>0.35</v>
      </c>
    </row>
    <row r="80" customFormat="false" ht="15" hidden="false" customHeight="false" outlineLevel="0" collapsed="false">
      <c r="A80" s="0" t="str">
        <f aca="false">Sheet1!A80</f>
        <v>N1711</v>
      </c>
      <c r="B80" s="0" t="str">
        <f aca="false">Sheet1!B80</f>
        <v>ADVW</v>
      </c>
      <c r="C80" s="0" t="n">
        <f aca="false">Sheet1!C80</f>
        <v>359</v>
      </c>
      <c r="D80" s="0" t="str">
        <f aca="false">Sheet1!D80</f>
        <v>ADVW.359.4</v>
      </c>
      <c r="E80" s="0" t="n">
        <f aca="false">Sheet1!E80</f>
        <v>0</v>
      </c>
      <c r="F80" s="0" t="n">
        <f aca="false">Sheet1!F80</f>
        <v>0</v>
      </c>
      <c r="G80" s="0" t="n">
        <f aca="false">Sheet1!G80</f>
        <v>2422.1081</v>
      </c>
      <c r="H80" s="0" t="n">
        <f aca="false">Sheet1!H80</f>
        <v>143.3741</v>
      </c>
      <c r="I80" s="0" t="n">
        <f aca="false">Sheet1!I80</f>
        <v>450.4227</v>
      </c>
      <c r="J80" s="0" t="n">
        <f aca="false">Sheet1!J80</f>
        <v>0.589675</v>
      </c>
      <c r="K80" s="0" t="n">
        <f aca="false">Sheet1!K80</f>
        <v>0.0063</v>
      </c>
      <c r="L80" s="0" t="n">
        <f aca="false">SUM(Sheet1!O80:R80)</f>
        <v>675.803</v>
      </c>
      <c r="M80" s="0" t="n">
        <f aca="false">SUM(Sheet1!S80:V80)</f>
        <v>248.9234</v>
      </c>
      <c r="N80" s="0" t="n">
        <f aca="false">SUM(Sheet1!W80:Z80)</f>
        <v>237.4525</v>
      </c>
      <c r="O80" s="0" t="n">
        <f aca="false">SUM(Sheet1!AA80:AD80)</f>
        <v>139.5959</v>
      </c>
      <c r="P80" s="0" t="n">
        <f aca="false">SUM(Sheet1!AE80:AN80)</f>
        <v>235.0902</v>
      </c>
      <c r="Q80" s="0" t="n">
        <f aca="false">SUM(Sheet1!AO80:AX80)</f>
        <v>176.5519</v>
      </c>
      <c r="R80" s="0" t="n">
        <f aca="false">SUM(Sheet1!AY80:BH80)</f>
        <v>35.7299</v>
      </c>
      <c r="S80" s="0" t="n">
        <f aca="false">SUM(Sheet1!BI80:BR80)</f>
        <v>5.686</v>
      </c>
      <c r="T80" s="0" t="n">
        <f aca="false">SUM(Sheet1!BS80:CB80)</f>
        <v>0.2926</v>
      </c>
      <c r="U80" s="0" t="n">
        <f aca="false">SUM(Sheet1!CC80:CL80)</f>
        <v>0.0914</v>
      </c>
      <c r="V80" s="0" t="n">
        <f aca="false">Sheet1!CM80</f>
        <v>0.0797</v>
      </c>
    </row>
    <row r="81" customFormat="false" ht="15" hidden="false" customHeight="false" outlineLevel="0" collapsed="false">
      <c r="A81" s="0" t="str">
        <f aca="false">Sheet1!A81</f>
        <v>N1712</v>
      </c>
      <c r="B81" s="0" t="str">
        <f aca="false">Sheet1!B81</f>
        <v>VWAD</v>
      </c>
      <c r="C81" s="0" t="n">
        <f aca="false">Sheet1!C81</f>
        <v>67</v>
      </c>
      <c r="D81" s="0" t="str">
        <f aca="false">Sheet1!D81</f>
        <v>VWAD.67.4</v>
      </c>
      <c r="E81" s="0" t="n">
        <f aca="false">Sheet1!E81</f>
        <v>0</v>
      </c>
      <c r="F81" s="0" t="n">
        <f aca="false">Sheet1!F81</f>
        <v>2.4004</v>
      </c>
      <c r="G81" s="0" t="n">
        <f aca="false">Sheet1!G81</f>
        <v>1506.1021</v>
      </c>
      <c r="H81" s="0" t="n">
        <f aca="false">Sheet1!H81</f>
        <v>117.7966</v>
      </c>
      <c r="I81" s="0" t="n">
        <f aca="false">Sheet1!I81</f>
        <v>370.0689</v>
      </c>
      <c r="J81" s="0" t="n">
        <f aca="false">Sheet1!J81</f>
        <v>0.7773</v>
      </c>
      <c r="K81" s="0" t="n">
        <f aca="false">Sheet1!K81</f>
        <v>0</v>
      </c>
      <c r="L81" s="0" t="n">
        <f aca="false">SUM(Sheet1!O81:R81)</f>
        <v>195.3652</v>
      </c>
      <c r="M81" s="0" t="n">
        <f aca="false">SUM(Sheet1!S81:V81)</f>
        <v>103.5263</v>
      </c>
      <c r="N81" s="0" t="n">
        <f aca="false">SUM(Sheet1!W81:Z81)</f>
        <v>89.1086</v>
      </c>
      <c r="O81" s="0" t="n">
        <f aca="false">SUM(Sheet1!AA81:AD81)</f>
        <v>88.1996</v>
      </c>
      <c r="P81" s="0" t="n">
        <f aca="false">SUM(Sheet1!AE81:AN81)</f>
        <v>288.0237</v>
      </c>
      <c r="Q81" s="0" t="n">
        <f aca="false">SUM(Sheet1!AO81:AX81)</f>
        <v>194.2541</v>
      </c>
      <c r="R81" s="0" t="n">
        <f aca="false">SUM(Sheet1!AY81:BH81)</f>
        <v>34.6761</v>
      </c>
      <c r="S81" s="0" t="n">
        <f aca="false">SUM(Sheet1!BI81:BR81)</f>
        <v>4.5376</v>
      </c>
      <c r="T81" s="0" t="n">
        <f aca="false">SUM(Sheet1!BS81:CB81)</f>
        <v>1.8364</v>
      </c>
      <c r="U81" s="0" t="n">
        <f aca="false">SUM(Sheet1!CC81:CL81)</f>
        <v>0.7577</v>
      </c>
      <c r="V81" s="0" t="n">
        <f aca="false">Sheet1!CM81</f>
        <v>0.4142</v>
      </c>
    </row>
    <row r="82" customFormat="false" ht="15" hidden="false" customHeight="false" outlineLevel="0" collapsed="false">
      <c r="A82" s="0" t="str">
        <f aca="false">Sheet1!A82</f>
        <v>N1713</v>
      </c>
      <c r="B82" s="0" t="str">
        <f aca="false">Sheet1!B82</f>
        <v>VWAD</v>
      </c>
      <c r="C82" s="0" t="n">
        <f aca="false">Sheet1!C82</f>
        <v>54</v>
      </c>
      <c r="D82" s="0" t="str">
        <f aca="false">Sheet1!D82</f>
        <v>VWAD.54.4</v>
      </c>
      <c r="E82" s="0" t="n">
        <f aca="false">Sheet1!E82</f>
        <v>0</v>
      </c>
      <c r="F82" s="0" t="n">
        <f aca="false">Sheet1!F82</f>
        <v>0</v>
      </c>
      <c r="G82" s="0" t="n">
        <f aca="false">Sheet1!G82</f>
        <v>1395.1917</v>
      </c>
      <c r="H82" s="0" t="n">
        <f aca="false">Sheet1!H82</f>
        <v>120.73</v>
      </c>
      <c r="I82" s="0" t="n">
        <f aca="false">Sheet1!I82</f>
        <v>379.2844</v>
      </c>
      <c r="J82" s="0" t="n">
        <f aca="false">Sheet1!J82</f>
        <v>0.8777</v>
      </c>
      <c r="K82" s="0" t="n">
        <f aca="false">Sheet1!K82</f>
        <v>0.3693</v>
      </c>
      <c r="L82" s="0" t="n">
        <f aca="false">SUM(Sheet1!O82:R82)</f>
        <v>303.576</v>
      </c>
      <c r="M82" s="0" t="n">
        <f aca="false">SUM(Sheet1!S82:V82)</f>
        <v>132.1573</v>
      </c>
      <c r="N82" s="0" t="n">
        <f aca="false">SUM(Sheet1!W82:Z82)</f>
        <v>82.1503</v>
      </c>
      <c r="O82" s="0" t="n">
        <f aca="false">SUM(Sheet1!AA82:AD82)</f>
        <v>53.7747</v>
      </c>
      <c r="P82" s="0" t="n">
        <f aca="false">SUM(Sheet1!AE82:AN82)</f>
        <v>175.4565</v>
      </c>
      <c r="Q82" s="0" t="n">
        <f aca="false">SUM(Sheet1!AO82:AX82)</f>
        <v>293.4795</v>
      </c>
      <c r="R82" s="0" t="n">
        <f aca="false">SUM(Sheet1!AY82:BH82)</f>
        <v>59.9627</v>
      </c>
      <c r="S82" s="0" t="n">
        <f aca="false">SUM(Sheet1!BI82:BR82)</f>
        <v>2.2188</v>
      </c>
      <c r="T82" s="0" t="n">
        <f aca="false">SUM(Sheet1!BS82:CB82)</f>
        <v>0.283</v>
      </c>
      <c r="U82" s="0" t="n">
        <f aca="false">SUM(Sheet1!CC82:CL82)</f>
        <v>0</v>
      </c>
      <c r="V82" s="0" t="n">
        <f aca="false">Sheet1!CM82</f>
        <v>0</v>
      </c>
    </row>
    <row r="83" customFormat="false" ht="15" hidden="false" customHeight="false" outlineLevel="0" collapsed="false">
      <c r="A83" s="0" t="str">
        <f aca="false">Sheet1!A83</f>
        <v>N1714</v>
      </c>
      <c r="B83" s="0" t="str">
        <f aca="false">Sheet1!B83</f>
        <v>VWAD</v>
      </c>
      <c r="C83" s="0" t="n">
        <f aca="false">Sheet1!C83</f>
        <v>4</v>
      </c>
      <c r="D83" s="0" t="str">
        <f aca="false">Sheet1!D83</f>
        <v>VWAD.4.4</v>
      </c>
      <c r="E83" s="0" t="n">
        <f aca="false">Sheet1!E83</f>
        <v>0</v>
      </c>
      <c r="F83" s="0" t="n">
        <f aca="false">Sheet1!F83</f>
        <v>0</v>
      </c>
      <c r="G83" s="0" t="n">
        <f aca="false">Sheet1!G83</f>
        <v>3659.9678</v>
      </c>
      <c r="H83" s="0" t="n">
        <f aca="false">Sheet1!H83</f>
        <v>227.4565</v>
      </c>
      <c r="I83" s="0" t="n">
        <f aca="false">Sheet1!I83</f>
        <v>714.5757</v>
      </c>
      <c r="J83" s="0" t="n">
        <f aca="false">Sheet1!J83</f>
        <v>0.5487</v>
      </c>
      <c r="K83" s="0" t="n">
        <f aca="false">Sheet1!K83</f>
        <v>0</v>
      </c>
      <c r="L83" s="0" t="n">
        <f aca="false">SUM(Sheet1!O83:R83)</f>
        <v>941.526</v>
      </c>
      <c r="M83" s="0" t="n">
        <f aca="false">SUM(Sheet1!S83:V83)</f>
        <v>297.8664</v>
      </c>
      <c r="N83" s="0" t="n">
        <f aca="false">SUM(Sheet1!W83:Z83)</f>
        <v>209.8346</v>
      </c>
      <c r="O83" s="0" t="n">
        <f aca="false">SUM(Sheet1!AA83:AD83)</f>
        <v>157.7637</v>
      </c>
      <c r="P83" s="0" t="n">
        <f aca="false">SUM(Sheet1!AE83:AN83)</f>
        <v>419.1943</v>
      </c>
      <c r="Q83" s="0" t="n">
        <f aca="false">SUM(Sheet1!AO83:AX83)</f>
        <v>358.3819</v>
      </c>
      <c r="R83" s="0" t="n">
        <f aca="false">SUM(Sheet1!AY83:BH83)</f>
        <v>51.391</v>
      </c>
      <c r="S83" s="0" t="n">
        <f aca="false">SUM(Sheet1!BI83:BR83)</f>
        <v>8.0132</v>
      </c>
      <c r="T83" s="0" t="n">
        <f aca="false">SUM(Sheet1!BS83:CB83)</f>
        <v>0.9975</v>
      </c>
      <c r="U83" s="0" t="n">
        <f aca="false">SUM(Sheet1!CC83:CL83)</f>
        <v>0.5666</v>
      </c>
      <c r="V83" s="0" t="n">
        <f aca="false">Sheet1!CM83</f>
        <v>0.8693</v>
      </c>
    </row>
    <row r="84" customFormat="false" ht="15" hidden="false" customHeight="false" outlineLevel="0" collapsed="false">
      <c r="A84" s="0" t="str">
        <f aca="false">Sheet1!A84</f>
        <v>N1715</v>
      </c>
      <c r="B84" s="0" t="str">
        <f aca="false">Sheet1!B84</f>
        <v>ADVW</v>
      </c>
      <c r="C84" s="0" t="n">
        <f aca="false">Sheet1!C84</f>
        <v>210</v>
      </c>
      <c r="D84" s="0" t="str">
        <f aca="false">Sheet1!D84</f>
        <v>ADVW.210.4</v>
      </c>
      <c r="E84" s="0" t="n">
        <f aca="false">Sheet1!E84</f>
        <v>0</v>
      </c>
      <c r="F84" s="0" t="n">
        <f aca="false">Sheet1!F84</f>
        <v>3.5119</v>
      </c>
      <c r="G84" s="0" t="n">
        <f aca="false">Sheet1!G84</f>
        <v>1919.1888</v>
      </c>
      <c r="H84" s="0" t="n">
        <f aca="false">Sheet1!H84</f>
        <v>177.2153</v>
      </c>
      <c r="I84" s="0" t="n">
        <f aca="false">Sheet1!I84</f>
        <v>556.7385</v>
      </c>
      <c r="J84" s="0" t="n">
        <f aca="false">Sheet1!J84</f>
        <v>0.92445</v>
      </c>
      <c r="K84" s="0" t="n">
        <f aca="false">Sheet1!K84</f>
        <v>0</v>
      </c>
      <c r="L84" s="0" t="n">
        <f aca="false">SUM(Sheet1!O84:R84)</f>
        <v>277.097</v>
      </c>
      <c r="M84" s="0" t="n">
        <f aca="false">SUM(Sheet1!S84:V84)</f>
        <v>154.7006</v>
      </c>
      <c r="N84" s="0" t="n">
        <f aca="false">SUM(Sheet1!W84:Z84)</f>
        <v>131.9504</v>
      </c>
      <c r="O84" s="0" t="n">
        <f aca="false">SUM(Sheet1!AA84:AD84)</f>
        <v>96.2676</v>
      </c>
      <c r="P84" s="0" t="n">
        <f aca="false">SUM(Sheet1!AE84:AN84)</f>
        <v>319.4076</v>
      </c>
      <c r="Q84" s="0" t="n">
        <f aca="false">SUM(Sheet1!AO84:AX84)</f>
        <v>329.5535</v>
      </c>
      <c r="R84" s="0" t="n">
        <f aca="false">SUM(Sheet1!AY84:BH84)</f>
        <v>77.5536</v>
      </c>
      <c r="S84" s="0" t="n">
        <f aca="false">SUM(Sheet1!BI84:BR84)</f>
        <v>21.3147</v>
      </c>
      <c r="T84" s="0" t="n">
        <f aca="false">SUM(Sheet1!BS84:CB84)</f>
        <v>10.4385</v>
      </c>
      <c r="U84" s="0" t="n">
        <f aca="false">SUM(Sheet1!CC84:CL84)</f>
        <v>3.6784</v>
      </c>
      <c r="V84" s="0" t="n">
        <f aca="false">Sheet1!CM84</f>
        <v>3.3538</v>
      </c>
    </row>
    <row r="85" customFormat="false" ht="15" hidden="false" customHeight="false" outlineLevel="0" collapsed="false">
      <c r="A85" s="0" t="str">
        <f aca="false">Sheet1!A85</f>
        <v>N1717</v>
      </c>
      <c r="B85" s="0" t="str">
        <f aca="false">Sheet1!B85</f>
        <v>ADVW</v>
      </c>
      <c r="C85" s="0" t="n">
        <f aca="false">Sheet1!C85</f>
        <v>308</v>
      </c>
      <c r="D85" s="0" t="str">
        <f aca="false">Sheet1!D85</f>
        <v>ADVW.308.4</v>
      </c>
      <c r="E85" s="0" t="n">
        <f aca="false">Sheet1!E85</f>
        <v>0</v>
      </c>
      <c r="F85" s="0" t="n">
        <f aca="false">Sheet1!F85</f>
        <v>0</v>
      </c>
      <c r="G85" s="0" t="n">
        <f aca="false">Sheet1!G85</f>
        <v>2176.4377</v>
      </c>
      <c r="H85" s="0" t="n">
        <f aca="false">Sheet1!H85</f>
        <v>144.8518</v>
      </c>
      <c r="I85" s="0" t="n">
        <f aca="false">Sheet1!I85</f>
        <v>455.0651</v>
      </c>
      <c r="J85" s="0" t="n">
        <f aca="false">Sheet1!J85</f>
        <v>0.6903</v>
      </c>
      <c r="K85" s="0" t="n">
        <f aca="false">Sheet1!K85</f>
        <v>0.0646</v>
      </c>
      <c r="L85" s="0" t="n">
        <f aca="false">SUM(Sheet1!O85:R85)</f>
        <v>471.2374</v>
      </c>
      <c r="M85" s="0" t="n">
        <f aca="false">SUM(Sheet1!S85:V85)</f>
        <v>176.1335</v>
      </c>
      <c r="N85" s="0" t="n">
        <f aca="false">SUM(Sheet1!W85:Z85)</f>
        <v>124.7519</v>
      </c>
      <c r="O85" s="0" t="n">
        <f aca="false">SUM(Sheet1!AA85:AD85)</f>
        <v>81.9945</v>
      </c>
      <c r="P85" s="0" t="n">
        <f aca="false">SUM(Sheet1!AE85:AN85)</f>
        <v>306.1605</v>
      </c>
      <c r="Q85" s="0" t="n">
        <f aca="false">SUM(Sheet1!AO85:AX85)</f>
        <v>270.4445</v>
      </c>
      <c r="R85" s="0" t="n">
        <f aca="false">SUM(Sheet1!AY85:BH85)</f>
        <v>26.3694</v>
      </c>
      <c r="S85" s="0" t="n">
        <f aca="false">SUM(Sheet1!BI85:BR85)</f>
        <v>2.3058</v>
      </c>
      <c r="T85" s="0" t="n">
        <f aca="false">SUM(Sheet1!BS85:CB85)</f>
        <v>0.1262</v>
      </c>
      <c r="U85" s="0" t="n">
        <f aca="false">SUM(Sheet1!CC85:CL85)</f>
        <v>0</v>
      </c>
      <c r="V85" s="0" t="n">
        <f aca="false">Sheet1!CM85</f>
        <v>0</v>
      </c>
    </row>
    <row r="86" customFormat="false" ht="15" hidden="false" customHeight="false" outlineLevel="0" collapsed="false">
      <c r="A86" s="0" t="str">
        <f aca="false">Sheet1!A86</f>
        <v>N1718</v>
      </c>
      <c r="B86" s="0" t="str">
        <f aca="false">Sheet1!B86</f>
        <v>VWAD</v>
      </c>
      <c r="C86" s="0" t="n">
        <f aca="false">Sheet1!C86</f>
        <v>94</v>
      </c>
      <c r="D86" s="0" t="str">
        <f aca="false">Sheet1!D86</f>
        <v>VWAD.94.4</v>
      </c>
      <c r="E86" s="0" t="n">
        <f aca="false">Sheet1!E86</f>
        <v>0</v>
      </c>
      <c r="F86" s="0" t="n">
        <f aca="false">Sheet1!F86</f>
        <v>0</v>
      </c>
      <c r="G86" s="0" t="n">
        <f aca="false">Sheet1!G86</f>
        <v>1425.8271</v>
      </c>
      <c r="H86" s="0" t="n">
        <f aca="false">Sheet1!H86</f>
        <v>132.6501</v>
      </c>
      <c r="I86" s="0" t="n">
        <f aca="false">Sheet1!I86</f>
        <v>416.7328</v>
      </c>
      <c r="J86" s="0" t="n">
        <f aca="false">Sheet1!J86</f>
        <v>0.93045</v>
      </c>
      <c r="K86" s="0" t="n">
        <f aca="false">Sheet1!K86</f>
        <v>0</v>
      </c>
      <c r="L86" s="0" t="n">
        <f aca="false">SUM(Sheet1!O86:R86)</f>
        <v>149.1495</v>
      </c>
      <c r="M86" s="0" t="n">
        <f aca="false">SUM(Sheet1!S86:V86)</f>
        <v>116.1245</v>
      </c>
      <c r="N86" s="0" t="n">
        <f aca="false">SUM(Sheet1!W86:Z86)</f>
        <v>133.512</v>
      </c>
      <c r="O86" s="0" t="n">
        <f aca="false">SUM(Sheet1!AA86:AD86)</f>
        <v>143.9386</v>
      </c>
      <c r="P86" s="0" t="n">
        <f aca="false">SUM(Sheet1!AE86:AN86)</f>
        <v>400.4501</v>
      </c>
      <c r="Q86" s="0" t="n">
        <f aca="false">SUM(Sheet1!AO86:AX86)</f>
        <v>238.6627</v>
      </c>
      <c r="R86" s="0" t="n">
        <f aca="false">SUM(Sheet1!AY86:BH86)</f>
        <v>15.9043</v>
      </c>
      <c r="S86" s="0" t="n">
        <f aca="false">SUM(Sheet1!BI86:BR86)</f>
        <v>0.6573</v>
      </c>
      <c r="T86" s="0" t="n">
        <f aca="false">SUM(Sheet1!BS86:CB86)</f>
        <v>0.0678</v>
      </c>
      <c r="U86" s="0" t="n">
        <f aca="false">SUM(Sheet1!CC86:CL86)</f>
        <v>0</v>
      </c>
      <c r="V86" s="0" t="n">
        <f aca="false">Sheet1!CM86</f>
        <v>0</v>
      </c>
    </row>
    <row r="87" customFormat="false" ht="15" hidden="false" customHeight="false" outlineLevel="0" collapsed="false">
      <c r="A87" s="0" t="str">
        <f aca="false">Sheet1!A87</f>
        <v>N1803</v>
      </c>
      <c r="B87" s="0" t="str">
        <f aca="false">Sheet1!B87</f>
        <v>VWAD</v>
      </c>
      <c r="C87" s="0" t="n">
        <f aca="false">Sheet1!C87</f>
        <v>63</v>
      </c>
      <c r="D87" s="0" t="str">
        <f aca="false">Sheet1!D87</f>
        <v>VWAD.63.4</v>
      </c>
      <c r="E87" s="0" t="n">
        <f aca="false">Sheet1!E87</f>
        <v>0</v>
      </c>
      <c r="F87" s="0" t="n">
        <f aca="false">Sheet1!F87</f>
        <v>0</v>
      </c>
      <c r="G87" s="0" t="n">
        <f aca="false">Sheet1!G87</f>
        <v>2620.6762</v>
      </c>
      <c r="H87" s="0" t="n">
        <f aca="false">Sheet1!H87</f>
        <v>162.8105</v>
      </c>
      <c r="I87" s="0" t="n">
        <f aca="false">Sheet1!I87</f>
        <v>511.4841</v>
      </c>
      <c r="J87" s="0" t="n">
        <f aca="false">Sheet1!J87</f>
        <v>0.567175</v>
      </c>
      <c r="K87" s="0" t="n">
        <f aca="false">Sheet1!K87</f>
        <v>0</v>
      </c>
      <c r="L87" s="0" t="n">
        <f aca="false">SUM(Sheet1!O87:R87)</f>
        <v>700.5823</v>
      </c>
      <c r="M87" s="0" t="n">
        <f aca="false">SUM(Sheet1!S87:V87)</f>
        <v>274.8018</v>
      </c>
      <c r="N87" s="0" t="n">
        <f aca="false">SUM(Sheet1!W87:Z87)</f>
        <v>172.0999</v>
      </c>
      <c r="O87" s="0" t="n">
        <f aca="false">SUM(Sheet1!AA87:AD87)</f>
        <v>141.0099</v>
      </c>
      <c r="P87" s="0" t="n">
        <f aca="false">SUM(Sheet1!AE87:AN87)</f>
        <v>386.3812</v>
      </c>
      <c r="Q87" s="0" t="n">
        <f aca="false">SUM(Sheet1!AO87:AX87)</f>
        <v>202.3108</v>
      </c>
      <c r="R87" s="0" t="n">
        <f aca="false">SUM(Sheet1!AY87:BH87)</f>
        <v>24.0849</v>
      </c>
      <c r="S87" s="0" t="n">
        <f aca="false">SUM(Sheet1!BI87:BR87)</f>
        <v>2.5063</v>
      </c>
      <c r="T87" s="0" t="n">
        <f aca="false">SUM(Sheet1!BS87:CB87)</f>
        <v>0.1539</v>
      </c>
      <c r="U87" s="0" t="n">
        <f aca="false">SUM(Sheet1!CC87:CL87)</f>
        <v>0</v>
      </c>
      <c r="V87" s="0" t="n">
        <f aca="false">Sheet1!CM87</f>
        <v>0</v>
      </c>
    </row>
    <row r="88" customFormat="false" ht="15" hidden="false" customHeight="false" outlineLevel="0" collapsed="false">
      <c r="A88" s="0" t="str">
        <f aca="false">Sheet1!A88</f>
        <v>N1804</v>
      </c>
      <c r="B88" s="0" t="str">
        <f aca="false">Sheet1!B88</f>
        <v>ADVW</v>
      </c>
      <c r="C88" s="0" t="n">
        <f aca="false">Sheet1!C88</f>
        <v>293</v>
      </c>
      <c r="D88" s="0" t="str">
        <f aca="false">Sheet1!D88</f>
        <v>ADVW.293.4</v>
      </c>
      <c r="E88" s="0" t="n">
        <f aca="false">Sheet1!E88</f>
        <v>0</v>
      </c>
      <c r="F88" s="0" t="n">
        <f aca="false">Sheet1!F88</f>
        <v>0</v>
      </c>
      <c r="G88" s="0" t="n">
        <f aca="false">Sheet1!G88</f>
        <v>1886.7433</v>
      </c>
      <c r="H88" s="0" t="n">
        <f aca="false">Sheet1!H88</f>
        <v>138.8977</v>
      </c>
      <c r="I88" s="0" t="n">
        <f aca="false">Sheet1!I88</f>
        <v>436.36</v>
      </c>
      <c r="J88" s="0" t="n">
        <f aca="false">Sheet1!J88</f>
        <v>0.7365</v>
      </c>
      <c r="K88" s="0" t="n">
        <f aca="false">Sheet1!K88</f>
        <v>0.0403</v>
      </c>
      <c r="L88" s="0" t="n">
        <f aca="false">SUM(Sheet1!O88:R88)</f>
        <v>429.0835</v>
      </c>
      <c r="M88" s="0" t="n">
        <f aca="false">SUM(Sheet1!S88:V88)</f>
        <v>186.3667</v>
      </c>
      <c r="N88" s="0" t="n">
        <f aca="false">SUM(Sheet1!W88:Z88)</f>
        <v>145.0383</v>
      </c>
      <c r="O88" s="0" t="n">
        <f aca="false">SUM(Sheet1!AA88:AD88)</f>
        <v>115.0073</v>
      </c>
      <c r="P88" s="0" t="n">
        <f aca="false">SUM(Sheet1!AE88:AN88)</f>
        <v>396.054</v>
      </c>
      <c r="Q88" s="0" t="n">
        <f aca="false">SUM(Sheet1!AO88:AX88)</f>
        <v>185.4545</v>
      </c>
      <c r="R88" s="0" t="n">
        <f aca="false">SUM(Sheet1!AY88:BH88)</f>
        <v>17.3087</v>
      </c>
      <c r="S88" s="0" t="n">
        <f aca="false">SUM(Sheet1!BI88:BR88)</f>
        <v>2.7465</v>
      </c>
      <c r="T88" s="0" t="n">
        <f aca="false">SUM(Sheet1!BS88:CB88)</f>
        <v>0.2072</v>
      </c>
      <c r="U88" s="0" t="n">
        <f aca="false">SUM(Sheet1!CC88:CL88)</f>
        <v>0</v>
      </c>
      <c r="V88" s="0" t="n">
        <f aca="false">Sheet1!CM88</f>
        <v>0</v>
      </c>
    </row>
    <row r="89" customFormat="false" ht="15" hidden="false" customHeight="false" outlineLevel="0" collapsed="false">
      <c r="A89" s="0" t="str">
        <f aca="false">Sheet1!A89</f>
        <v>N1808</v>
      </c>
      <c r="B89" s="0" t="str">
        <f aca="false">Sheet1!B89</f>
        <v>ADVW</v>
      </c>
      <c r="C89" s="0" t="n">
        <f aca="false">Sheet1!C89</f>
        <v>218</v>
      </c>
      <c r="D89" s="0" t="str">
        <f aca="false">Sheet1!D89</f>
        <v>ADVW.218.4</v>
      </c>
      <c r="E89" s="0" t="e">
        <f aca="false">Sheet1!E89</f>
        <v>#N/A</v>
      </c>
      <c r="F89" s="0" t="e">
        <f aca="false">Sheet1!F89</f>
        <v>#N/A</v>
      </c>
      <c r="G89" s="0" t="n">
        <f aca="false">Sheet1!G89</f>
        <v>2383.6557</v>
      </c>
      <c r="H89" s="0" t="n">
        <f aca="false">Sheet1!H89</f>
        <v>264.434</v>
      </c>
      <c r="I89" s="0" t="n">
        <f aca="false">Sheet1!I89</f>
        <v>830.7439</v>
      </c>
      <c r="J89" s="0" t="n">
        <f aca="false">Sheet1!J89</f>
        <v>1.10173333333333</v>
      </c>
      <c r="K89" s="0" t="n">
        <f aca="false">Sheet1!K89</f>
        <v>0.0063</v>
      </c>
      <c r="L89" s="0" t="n">
        <f aca="false">SUM(Sheet1!O89:R89)</f>
        <v>526.3567</v>
      </c>
      <c r="M89" s="0" t="n">
        <f aca="false">SUM(Sheet1!S89:V89)</f>
        <v>383.7198</v>
      </c>
      <c r="N89" s="0" t="n">
        <f aca="false">SUM(Sheet1!W89:Z89)</f>
        <v>299.8559</v>
      </c>
      <c r="O89" s="0" t="n">
        <f aca="false">SUM(Sheet1!AA89:AD89)</f>
        <v>222.7503</v>
      </c>
      <c r="P89" s="0" t="n">
        <f aca="false">SUM(Sheet1!AE89:AN89)</f>
        <v>310.5675</v>
      </c>
      <c r="Q89" s="0" t="n">
        <f aca="false">SUM(Sheet1!AO89:AX89)</f>
        <v>241.1532</v>
      </c>
      <c r="R89" s="0" t="n">
        <f aca="false">SUM(Sheet1!AY89:BH89)</f>
        <v>186.8447</v>
      </c>
      <c r="S89" s="0" t="n">
        <f aca="false">SUM(Sheet1!BI89:BR89)</f>
        <v>66.8385</v>
      </c>
      <c r="T89" s="0" t="n">
        <f aca="false">SUM(Sheet1!BS89:CB89)</f>
        <v>16.1981</v>
      </c>
      <c r="U89" s="0" t="n">
        <f aca="false">SUM(Sheet1!CC89:CL89)</f>
        <v>7.7859</v>
      </c>
      <c r="V89" s="0" t="n">
        <f aca="false">Sheet1!CM89</f>
        <v>9.8571</v>
      </c>
    </row>
    <row r="90" customFormat="false" ht="15" hidden="false" customHeight="false" outlineLevel="0" collapsed="false">
      <c r="A90" s="0" t="str">
        <f aca="false">Sheet1!A90</f>
        <v>N1810</v>
      </c>
      <c r="B90" s="0" t="str">
        <f aca="false">Sheet1!B90</f>
        <v>VWAD</v>
      </c>
      <c r="C90" s="0" t="n">
        <f aca="false">Sheet1!C90</f>
        <v>23</v>
      </c>
      <c r="D90" s="0" t="str">
        <f aca="false">Sheet1!D90</f>
        <v>VWAD.23.4</v>
      </c>
      <c r="E90" s="0" t="n">
        <f aca="false">Sheet1!E90</f>
        <v>0</v>
      </c>
      <c r="F90" s="0" t="n">
        <f aca="false">Sheet1!F90</f>
        <v>0</v>
      </c>
      <c r="G90" s="0" t="n">
        <f aca="false">Sheet1!G90</f>
        <v>2144.343</v>
      </c>
      <c r="H90" s="0" t="n">
        <f aca="false">Sheet1!H90</f>
        <v>185.7322</v>
      </c>
      <c r="I90" s="0" t="n">
        <f aca="false">Sheet1!I90</f>
        <v>583.4946</v>
      </c>
      <c r="J90" s="0" t="n">
        <f aca="false">Sheet1!J90</f>
        <v>0.8589</v>
      </c>
      <c r="K90" s="0" t="n">
        <f aca="false">Sheet1!K90</f>
        <v>0</v>
      </c>
      <c r="L90" s="0" t="n">
        <f aca="false">SUM(Sheet1!O90:R90)</f>
        <v>439.9311</v>
      </c>
      <c r="M90" s="0" t="n">
        <f aca="false">SUM(Sheet1!S90:V90)</f>
        <v>211.5945</v>
      </c>
      <c r="N90" s="0" t="n">
        <f aca="false">SUM(Sheet1!W90:Z90)</f>
        <v>148.7469</v>
      </c>
      <c r="O90" s="0" t="n">
        <f aca="false">SUM(Sheet1!AA90:AD90)</f>
        <v>104.9341</v>
      </c>
      <c r="P90" s="0" t="n">
        <f aca="false">SUM(Sheet1!AE90:AN90)</f>
        <v>271.0476</v>
      </c>
      <c r="Q90" s="0" t="n">
        <f aca="false">SUM(Sheet1!AO90:AX90)</f>
        <v>359.1645</v>
      </c>
      <c r="R90" s="0" t="n">
        <f aca="false">SUM(Sheet1!AY90:BH90)</f>
        <v>110.2528</v>
      </c>
      <c r="S90" s="0" t="n">
        <f aca="false">SUM(Sheet1!BI90:BR90)</f>
        <v>15.9424</v>
      </c>
      <c r="T90" s="0" t="n">
        <f aca="false">SUM(Sheet1!BS90:CB90)</f>
        <v>4.0625</v>
      </c>
      <c r="U90" s="0" t="n">
        <f aca="false">SUM(Sheet1!CC90:CL90)</f>
        <v>1.6324</v>
      </c>
      <c r="V90" s="0" t="n">
        <f aca="false">Sheet1!CM90</f>
        <v>1.0081</v>
      </c>
    </row>
    <row r="91" customFormat="false" ht="15" hidden="false" customHeight="false" outlineLevel="0" collapsed="false">
      <c r="A91" s="0" t="str">
        <f aca="false">Sheet1!A91</f>
        <v>N1811</v>
      </c>
      <c r="B91" s="0" t="str">
        <f aca="false">Sheet1!B91</f>
        <v>ADVW</v>
      </c>
      <c r="C91" s="0" t="n">
        <f aca="false">Sheet1!C91</f>
        <v>347</v>
      </c>
      <c r="D91" s="0" t="str">
        <f aca="false">Sheet1!D91</f>
        <v>ADVW.347.4</v>
      </c>
      <c r="E91" s="0" t="n">
        <f aca="false">Sheet1!E91</f>
        <v>0</v>
      </c>
      <c r="F91" s="0" t="n">
        <f aca="false">Sheet1!F91</f>
        <v>0</v>
      </c>
      <c r="G91" s="0" t="n">
        <f aca="false">Sheet1!G91</f>
        <v>1665.3148</v>
      </c>
      <c r="H91" s="0" t="n">
        <f aca="false">Sheet1!H91</f>
        <v>116.9312</v>
      </c>
      <c r="I91" s="0" t="n">
        <f aca="false">Sheet1!I91</f>
        <v>367.3501</v>
      </c>
      <c r="J91" s="0" t="n">
        <f aca="false">Sheet1!J91</f>
        <v>0.64545</v>
      </c>
      <c r="K91" s="0" t="n">
        <f aca="false">Sheet1!K91</f>
        <v>0</v>
      </c>
      <c r="L91" s="0" t="n">
        <f aca="false">SUM(Sheet1!O91:R91)</f>
        <v>765.2506</v>
      </c>
      <c r="M91" s="0" t="n">
        <f aca="false">SUM(Sheet1!S91:V91)</f>
        <v>301.1977</v>
      </c>
      <c r="N91" s="0" t="n">
        <f aca="false">SUM(Sheet1!W91:Z91)</f>
        <v>129.8935</v>
      </c>
      <c r="O91" s="0" t="n">
        <f aca="false">SUM(Sheet1!AA91:AD91)</f>
        <v>58.9237</v>
      </c>
      <c r="P91" s="0" t="n">
        <f aca="false">SUM(Sheet1!AE91:AN91)</f>
        <v>114.8613</v>
      </c>
      <c r="Q91" s="0" t="n">
        <f aca="false">SUM(Sheet1!AO91:AX91)</f>
        <v>121.8853</v>
      </c>
      <c r="R91" s="0" t="n">
        <f aca="false">SUM(Sheet1!AY91:BH91)</f>
        <v>23.0833</v>
      </c>
      <c r="S91" s="0" t="n">
        <f aca="false">SUM(Sheet1!BI91:BR91)</f>
        <v>3.9418</v>
      </c>
      <c r="T91" s="0" t="n">
        <f aca="false">SUM(Sheet1!BS91:CB91)</f>
        <v>1.921</v>
      </c>
      <c r="U91" s="0" t="n">
        <f aca="false">SUM(Sheet1!CC91:CL91)</f>
        <v>0.9062</v>
      </c>
      <c r="V91" s="0" t="n">
        <f aca="false">Sheet1!CM91</f>
        <v>0.9715</v>
      </c>
    </row>
    <row r="92" customFormat="false" ht="15" hidden="false" customHeight="false" outlineLevel="0" collapsed="false">
      <c r="A92" s="0" t="str">
        <f aca="false">Sheet1!A92</f>
        <v>N1812</v>
      </c>
      <c r="B92" s="0" t="str">
        <f aca="false">Sheet1!B92</f>
        <v>VWAD</v>
      </c>
      <c r="C92" s="0" t="n">
        <f aca="false">Sheet1!C92</f>
        <v>183</v>
      </c>
      <c r="D92" s="0" t="str">
        <f aca="false">Sheet1!D92</f>
        <v>VWAD.183.4</v>
      </c>
      <c r="E92" s="0" t="n">
        <f aca="false">Sheet1!E92</f>
        <v>0</v>
      </c>
      <c r="F92" s="0" t="n">
        <f aca="false">Sheet1!F92</f>
        <v>0</v>
      </c>
      <c r="G92" s="0" t="n">
        <f aca="false">Sheet1!G92</f>
        <v>1917.5429</v>
      </c>
      <c r="H92" s="0" t="n">
        <f aca="false">Sheet1!H92</f>
        <v>67.5179</v>
      </c>
      <c r="I92" s="0" t="n">
        <f aca="false">Sheet1!I92</f>
        <v>212.1136</v>
      </c>
      <c r="J92" s="0" t="n">
        <f aca="false">Sheet1!J92</f>
        <v>0.33265</v>
      </c>
      <c r="K92" s="0" t="n">
        <f aca="false">Sheet1!K92</f>
        <v>0</v>
      </c>
      <c r="L92" s="0" t="n">
        <f aca="false">SUM(Sheet1!O92:R92)</f>
        <v>325.8908</v>
      </c>
      <c r="M92" s="0" t="n">
        <f aca="false">SUM(Sheet1!S92:V92)</f>
        <v>88.0583</v>
      </c>
      <c r="N92" s="0" t="n">
        <f aca="false">SUM(Sheet1!W92:Z92)</f>
        <v>63.9224</v>
      </c>
      <c r="O92" s="0" t="n">
        <f aca="false">SUM(Sheet1!AA92:AD92)</f>
        <v>46.4498</v>
      </c>
      <c r="P92" s="0" t="n">
        <f aca="false">SUM(Sheet1!AE92:AN92)</f>
        <v>96.766</v>
      </c>
      <c r="Q92" s="0" t="n">
        <f aca="false">SUM(Sheet1!AO92:AX92)</f>
        <v>49.316</v>
      </c>
      <c r="R92" s="0" t="n">
        <f aca="false">SUM(Sheet1!AY92:BH92)</f>
        <v>4.774</v>
      </c>
      <c r="S92" s="0" t="n">
        <f aca="false">SUM(Sheet1!BI92:BR92)</f>
        <v>0.5649</v>
      </c>
      <c r="T92" s="0" t="n">
        <f aca="false">SUM(Sheet1!BS92:CB92)</f>
        <v>0</v>
      </c>
      <c r="U92" s="0" t="n">
        <f aca="false">SUM(Sheet1!CC92:CL92)</f>
        <v>0</v>
      </c>
      <c r="V92" s="0" t="n">
        <f aca="false">Sheet1!CM92</f>
        <v>0</v>
      </c>
    </row>
    <row r="93" customFormat="false" ht="15" hidden="false" customHeight="false" outlineLevel="0" collapsed="false">
      <c r="A93" s="0" t="str">
        <f aca="false">Sheet1!A93</f>
        <v>N1813</v>
      </c>
      <c r="B93" s="0" t="str">
        <f aca="false">Sheet1!B93</f>
        <v>ADVW</v>
      </c>
      <c r="C93" s="0" t="n">
        <f aca="false">Sheet1!C93</f>
        <v>241</v>
      </c>
      <c r="D93" s="0" t="str">
        <f aca="false">Sheet1!D93</f>
        <v>ADVW.241.4</v>
      </c>
      <c r="E93" s="0" t="n">
        <f aca="false">Sheet1!E93</f>
        <v>0</v>
      </c>
      <c r="F93" s="0" t="n">
        <f aca="false">Sheet1!F93</f>
        <v>0</v>
      </c>
      <c r="G93" s="0" t="n">
        <f aca="false">Sheet1!G93</f>
        <v>2793.4765</v>
      </c>
      <c r="H93" s="0" t="n">
        <f aca="false">Sheet1!H93</f>
        <v>294.2864</v>
      </c>
      <c r="I93" s="0" t="n">
        <f aca="false">Sheet1!I93</f>
        <v>924.528</v>
      </c>
      <c r="J93" s="0" t="n">
        <f aca="false">Sheet1!J93</f>
        <v>1.0647</v>
      </c>
      <c r="K93" s="0" t="n">
        <f aca="false">Sheet1!K93</f>
        <v>0</v>
      </c>
      <c r="L93" s="0" t="n">
        <f aca="false">SUM(Sheet1!O93:R93)</f>
        <v>426.7815</v>
      </c>
      <c r="M93" s="0" t="n">
        <f aca="false">SUM(Sheet1!S93:V93)</f>
        <v>224.5515</v>
      </c>
      <c r="N93" s="0" t="n">
        <f aca="false">SUM(Sheet1!W93:Z93)</f>
        <v>226.3319</v>
      </c>
      <c r="O93" s="0" t="n">
        <f aca="false">SUM(Sheet1!AA93:AD93)</f>
        <v>175.7885</v>
      </c>
      <c r="P93" s="0" t="n">
        <f aca="false">SUM(Sheet1!AE93:AN93)</f>
        <v>578.1832</v>
      </c>
      <c r="Q93" s="0" t="n">
        <f aca="false">SUM(Sheet1!AO93:AX93)</f>
        <v>523.5044</v>
      </c>
      <c r="R93" s="0" t="n">
        <f aca="false">SUM(Sheet1!AY93:BH93)</f>
        <v>147.4473</v>
      </c>
      <c r="S93" s="0" t="n">
        <f aca="false">SUM(Sheet1!BI93:BR93)</f>
        <v>44.4015</v>
      </c>
      <c r="T93" s="0" t="n">
        <f aca="false">SUM(Sheet1!BS93:CB93)</f>
        <v>18.3573</v>
      </c>
      <c r="U93" s="0" t="n">
        <f aca="false">SUM(Sheet1!CC93:CL93)</f>
        <v>5.3705</v>
      </c>
      <c r="V93" s="0" t="n">
        <f aca="false">Sheet1!CM93</f>
        <v>2.5065</v>
      </c>
    </row>
    <row r="94" customFormat="false" ht="15" hidden="false" customHeight="false" outlineLevel="0" collapsed="false">
      <c r="A94" s="0" t="str">
        <f aca="false">Sheet1!A94</f>
        <v>N1814</v>
      </c>
      <c r="B94" s="0" t="str">
        <f aca="false">Sheet1!B94</f>
        <v>F0</v>
      </c>
      <c r="C94" s="0" t="str">
        <f aca="false">Sheet1!C94</f>
        <v>VS16</v>
      </c>
      <c r="D94" s="0" t="str">
        <f aca="false">Sheet1!D94</f>
        <v>F0.VS16</v>
      </c>
      <c r="E94" s="0" t="n">
        <f aca="false">Sheet1!E94</f>
        <v>0</v>
      </c>
      <c r="F94" s="0" t="n">
        <f aca="false">Sheet1!F94</f>
        <v>0</v>
      </c>
      <c r="G94" s="0" t="n">
        <f aca="false">Sheet1!G94</f>
        <v>2418.1593</v>
      </c>
      <c r="H94" s="0" t="n">
        <f aca="false">Sheet1!H94</f>
        <v>191.3983</v>
      </c>
      <c r="I94" s="0" t="n">
        <f aca="false">Sheet1!I94</f>
        <v>601.2956</v>
      </c>
      <c r="J94" s="0" t="n">
        <f aca="false">Sheet1!J94</f>
        <v>0.7903</v>
      </c>
      <c r="K94" s="0" t="n">
        <f aca="false">Sheet1!K94</f>
        <v>0.0598</v>
      </c>
      <c r="L94" s="0" t="n">
        <f aca="false">SUM(Sheet1!O94:R94)</f>
        <v>905.3879</v>
      </c>
      <c r="M94" s="0" t="n">
        <f aca="false">SUM(Sheet1!S94:V94)</f>
        <v>405.6008</v>
      </c>
      <c r="N94" s="0" t="n">
        <f aca="false">SUM(Sheet1!W94:Z94)</f>
        <v>212.7584</v>
      </c>
      <c r="O94" s="0" t="n">
        <f aca="false">SUM(Sheet1!AA94:AD94)</f>
        <v>171.5907</v>
      </c>
      <c r="P94" s="0" t="n">
        <f aca="false">SUM(Sheet1!AE94:AN94)</f>
        <v>368.8627</v>
      </c>
      <c r="Q94" s="0" t="n">
        <f aca="false">SUM(Sheet1!AO94:AX94)</f>
        <v>139.4202</v>
      </c>
      <c r="R94" s="0" t="n">
        <f aca="false">SUM(Sheet1!AY94:BH94)</f>
        <v>24.0522</v>
      </c>
      <c r="S94" s="0" t="n">
        <f aca="false">SUM(Sheet1!BI94:BR94)</f>
        <v>10.3704</v>
      </c>
      <c r="T94" s="0" t="n">
        <f aca="false">SUM(Sheet1!BS94:CB94)</f>
        <v>3.2276</v>
      </c>
      <c r="U94" s="0" t="n">
        <f aca="false">SUM(Sheet1!CC94:CL94)</f>
        <v>0.2653</v>
      </c>
      <c r="V94" s="0" t="n">
        <f aca="false">Sheet1!CM94</f>
        <v>0.0359</v>
      </c>
    </row>
    <row r="95" customFormat="false" ht="15" hidden="false" customHeight="false" outlineLevel="0" collapsed="false">
      <c r="A95" s="0" t="str">
        <f aca="false">Sheet1!A95</f>
        <v>N1818</v>
      </c>
      <c r="B95" s="0" t="str">
        <f aca="false">Sheet1!B95</f>
        <v>ADVW</v>
      </c>
      <c r="C95" s="0" t="n">
        <f aca="false">Sheet1!C95</f>
        <v>310</v>
      </c>
      <c r="D95" s="0" t="str">
        <f aca="false">Sheet1!D95</f>
        <v>ADVW.310.4</v>
      </c>
      <c r="E95" s="0" t="n">
        <f aca="false">Sheet1!E95</f>
        <v>0</v>
      </c>
      <c r="F95" s="0" t="n">
        <f aca="false">Sheet1!F95</f>
        <v>0</v>
      </c>
      <c r="G95" s="0" t="n">
        <f aca="false">Sheet1!G95</f>
        <v>2780.2418</v>
      </c>
      <c r="H95" s="0" t="n">
        <f aca="false">Sheet1!H95</f>
        <v>234.6378</v>
      </c>
      <c r="I95" s="0" t="n">
        <f aca="false">Sheet1!I95</f>
        <v>737.1364</v>
      </c>
      <c r="J95" s="0" t="n">
        <f aca="false">Sheet1!J95</f>
        <v>0.876933333333333</v>
      </c>
      <c r="K95" s="0" t="n">
        <f aca="false">Sheet1!K95</f>
        <v>0.0578</v>
      </c>
      <c r="L95" s="0" t="n">
        <f aca="false">SUM(Sheet1!O95:R95)</f>
        <v>676.3329</v>
      </c>
      <c r="M95" s="0" t="n">
        <f aca="false">SUM(Sheet1!S95:V95)</f>
        <v>278.3007</v>
      </c>
      <c r="N95" s="0" t="n">
        <f aca="false">SUM(Sheet1!W95:Z95)</f>
        <v>129.9921</v>
      </c>
      <c r="O95" s="0" t="n">
        <f aca="false">SUM(Sheet1!AA95:AD95)</f>
        <v>93.7392</v>
      </c>
      <c r="P95" s="0" t="n">
        <f aca="false">SUM(Sheet1!AE95:AN95)</f>
        <v>396.4394</v>
      </c>
      <c r="Q95" s="0" t="n">
        <f aca="false">SUM(Sheet1!AO95:AX95)</f>
        <v>466.6032</v>
      </c>
      <c r="R95" s="0" t="n">
        <f aca="false">SUM(Sheet1!AY95:BH95)</f>
        <v>135.6003</v>
      </c>
      <c r="S95" s="0" t="n">
        <f aca="false">SUM(Sheet1!BI95:BR95)</f>
        <v>12.8976</v>
      </c>
      <c r="T95" s="0" t="n">
        <f aca="false">SUM(Sheet1!BS95:CB95)</f>
        <v>3.8162</v>
      </c>
      <c r="U95" s="0" t="n">
        <f aca="false">SUM(Sheet1!CC95:CL95)</f>
        <v>0.6025</v>
      </c>
      <c r="V95" s="0" t="n">
        <f aca="false">Sheet1!CM95</f>
        <v>0</v>
      </c>
    </row>
    <row r="96" customFormat="false" ht="15" hidden="false" customHeight="false" outlineLevel="0" collapsed="false">
      <c r="A96" s="0" t="str">
        <f aca="false">Sheet1!A96</f>
        <v>N1901</v>
      </c>
      <c r="B96" s="0" t="str">
        <f aca="false">Sheet1!B96</f>
        <v>ADVW</v>
      </c>
      <c r="C96" s="0" t="n">
        <f aca="false">Sheet1!C96</f>
        <v>395</v>
      </c>
      <c r="D96" s="0" t="str">
        <f aca="false">Sheet1!D96</f>
        <v>ADVW.395.4</v>
      </c>
      <c r="E96" s="0" t="n">
        <f aca="false">Sheet1!E96</f>
        <v>0</v>
      </c>
      <c r="F96" s="0" t="n">
        <f aca="false">Sheet1!F96</f>
        <v>0</v>
      </c>
      <c r="G96" s="0" t="n">
        <f aca="false">Sheet1!G96</f>
        <v>2319.1525</v>
      </c>
      <c r="H96" s="0" t="n">
        <f aca="false">Sheet1!H96</f>
        <v>131.6199</v>
      </c>
      <c r="I96" s="0" t="n">
        <f aca="false">Sheet1!I96</f>
        <v>413.4962</v>
      </c>
      <c r="J96" s="0" t="n">
        <f aca="false">Sheet1!J96</f>
        <v>0.5348</v>
      </c>
      <c r="K96" s="0" t="n">
        <f aca="false">Sheet1!K96</f>
        <v>0</v>
      </c>
      <c r="L96" s="0" t="n">
        <f aca="false">SUM(Sheet1!O96:R96)</f>
        <v>713.1076</v>
      </c>
      <c r="M96" s="0" t="n">
        <f aca="false">SUM(Sheet1!S96:V96)</f>
        <v>261.6055</v>
      </c>
      <c r="N96" s="0" t="n">
        <f aca="false">SUM(Sheet1!W96:Z96)</f>
        <v>134.6779</v>
      </c>
      <c r="O96" s="0" t="n">
        <f aca="false">SUM(Sheet1!AA96:AD96)</f>
        <v>100.9955</v>
      </c>
      <c r="P96" s="0" t="n">
        <f aca="false">SUM(Sheet1!AE96:AN96)</f>
        <v>257.329</v>
      </c>
      <c r="Q96" s="0" t="n">
        <f aca="false">SUM(Sheet1!AO96:AX96)</f>
        <v>149.6345</v>
      </c>
      <c r="R96" s="0" t="n">
        <f aca="false">SUM(Sheet1!AY96:BH96)</f>
        <v>38.9654</v>
      </c>
      <c r="S96" s="0" t="n">
        <f aca="false">SUM(Sheet1!BI96:BR96)</f>
        <v>1.1429</v>
      </c>
      <c r="T96" s="0" t="n">
        <f aca="false">SUM(Sheet1!BS96:CB96)</f>
        <v>0</v>
      </c>
      <c r="U96" s="0" t="n">
        <f aca="false">SUM(Sheet1!CC96:CL96)</f>
        <v>0</v>
      </c>
      <c r="V96" s="0" t="n">
        <f aca="false">Sheet1!CM96</f>
        <v>0</v>
      </c>
    </row>
    <row r="97" customFormat="false" ht="15" hidden="false" customHeight="false" outlineLevel="0" collapsed="false">
      <c r="A97" s="0" t="str">
        <f aca="false">Sheet1!A97</f>
        <v>N1905</v>
      </c>
      <c r="B97" s="0" t="str">
        <f aca="false">Sheet1!B97</f>
        <v>VWAD</v>
      </c>
      <c r="C97" s="0" t="n">
        <f aca="false">Sheet1!C97</f>
        <v>97</v>
      </c>
      <c r="D97" s="0" t="str">
        <f aca="false">Sheet1!D97</f>
        <v>VWAD.97.4</v>
      </c>
      <c r="E97" s="0" t="n">
        <f aca="false">Sheet1!E97</f>
        <v>0</v>
      </c>
      <c r="F97" s="0" t="n">
        <f aca="false">Sheet1!F97</f>
        <v>0</v>
      </c>
      <c r="G97" s="0" t="n">
        <f aca="false">Sheet1!G97</f>
        <v>1746.7427</v>
      </c>
      <c r="H97" s="0" t="n">
        <f aca="false">Sheet1!H97</f>
        <v>89.7674</v>
      </c>
      <c r="I97" s="0" t="n">
        <f aca="false">Sheet1!I97</f>
        <v>282.0127</v>
      </c>
      <c r="J97" s="0" t="n">
        <f aca="false">Sheet1!J97</f>
        <v>0.50575</v>
      </c>
      <c r="K97" s="0" t="n">
        <f aca="false">Sheet1!K97</f>
        <v>0.009</v>
      </c>
      <c r="L97" s="0" t="n">
        <f aca="false">SUM(Sheet1!O97:R97)</f>
        <v>451.1377</v>
      </c>
      <c r="M97" s="0" t="n">
        <f aca="false">SUM(Sheet1!S97:V97)</f>
        <v>115.091</v>
      </c>
      <c r="N97" s="0" t="n">
        <f aca="false">SUM(Sheet1!W97:Z97)</f>
        <v>91.213</v>
      </c>
      <c r="O97" s="0" t="n">
        <f aca="false">SUM(Sheet1!AA97:AD97)</f>
        <v>95.0802</v>
      </c>
      <c r="P97" s="0" t="n">
        <f aca="false">SUM(Sheet1!AE97:AN97)</f>
        <v>266.4953</v>
      </c>
      <c r="Q97" s="0" t="n">
        <f aca="false">SUM(Sheet1!AO97:AX97)</f>
        <v>56.0562</v>
      </c>
      <c r="R97" s="0" t="n">
        <f aca="false">SUM(Sheet1!AY97:BH97)</f>
        <v>3.8717</v>
      </c>
      <c r="S97" s="0" t="n">
        <f aca="false">SUM(Sheet1!BI97:BR97)</f>
        <v>0.2894</v>
      </c>
      <c r="T97" s="0" t="n">
        <f aca="false">SUM(Sheet1!BS97:CB97)</f>
        <v>0.2086</v>
      </c>
      <c r="U97" s="0" t="n">
        <f aca="false">SUM(Sheet1!CC97:CL97)</f>
        <v>0</v>
      </c>
      <c r="V97" s="0" t="n">
        <f aca="false">Sheet1!CM97</f>
        <v>0</v>
      </c>
    </row>
    <row r="98" customFormat="false" ht="15" hidden="false" customHeight="false" outlineLevel="0" collapsed="false">
      <c r="A98" s="0" t="str">
        <f aca="false">Sheet1!A98</f>
        <v>N1907</v>
      </c>
      <c r="B98" s="0" t="str">
        <f aca="false">Sheet1!B98</f>
        <v>ADVW</v>
      </c>
      <c r="C98" s="0" t="n">
        <f aca="false">Sheet1!C98</f>
        <v>211</v>
      </c>
      <c r="D98" s="0" t="str">
        <f aca="false">Sheet1!D98</f>
        <v>ADVW.211.4</v>
      </c>
      <c r="E98" s="0" t="n">
        <f aca="false">Sheet1!E98</f>
        <v>0</v>
      </c>
      <c r="F98" s="0" t="n">
        <f aca="false">Sheet1!F98</f>
        <v>0</v>
      </c>
      <c r="G98" s="0" t="n">
        <f aca="false">Sheet1!G98</f>
        <v>1867.9045</v>
      </c>
      <c r="H98" s="0" t="n">
        <f aca="false">Sheet1!H98</f>
        <v>91.1329</v>
      </c>
      <c r="I98" s="0" t="n">
        <f aca="false">Sheet1!I98</f>
        <v>286.3024</v>
      </c>
      <c r="J98" s="0" t="n">
        <f aca="false">Sheet1!J98</f>
        <v>0.4811</v>
      </c>
      <c r="K98" s="0" t="n">
        <f aca="false">Sheet1!K98</f>
        <v>0</v>
      </c>
      <c r="L98" s="0" t="n">
        <f aca="false">SUM(Sheet1!O98:R98)</f>
        <v>478.7323</v>
      </c>
      <c r="M98" s="0" t="n">
        <f aca="false">SUM(Sheet1!S98:V98)</f>
        <v>168.3814</v>
      </c>
      <c r="N98" s="0" t="n">
        <f aca="false">SUM(Sheet1!W98:Z98)</f>
        <v>101.309</v>
      </c>
      <c r="O98" s="0" t="n">
        <f aca="false">SUM(Sheet1!AA98:AD98)</f>
        <v>87.227</v>
      </c>
      <c r="P98" s="0" t="n">
        <f aca="false">SUM(Sheet1!AE98:AN98)</f>
        <v>168.0316</v>
      </c>
      <c r="Q98" s="0" t="n">
        <f aca="false">SUM(Sheet1!AO98:AX98)</f>
        <v>70.873</v>
      </c>
      <c r="R98" s="0" t="n">
        <f aca="false">SUM(Sheet1!AY98:BH98)</f>
        <v>33.5879</v>
      </c>
      <c r="S98" s="0" t="n">
        <f aca="false">SUM(Sheet1!BI98:BR98)</f>
        <v>1.7638</v>
      </c>
      <c r="T98" s="0" t="n">
        <f aca="false">SUM(Sheet1!BS98:CB98)</f>
        <v>0.2744</v>
      </c>
      <c r="U98" s="0" t="n">
        <f aca="false">SUM(Sheet1!CC98:CL98)</f>
        <v>0</v>
      </c>
      <c r="V98" s="0" t="n">
        <f aca="false">Sheet1!CM98</f>
        <v>0</v>
      </c>
    </row>
    <row r="99" customFormat="false" ht="15" hidden="false" customHeight="false" outlineLevel="0" collapsed="false">
      <c r="A99" s="0" t="str">
        <f aca="false">Sheet1!A99</f>
        <v>N1908</v>
      </c>
      <c r="B99" s="0" t="str">
        <f aca="false">Sheet1!B99</f>
        <v>VWAD</v>
      </c>
      <c r="C99" s="0" t="n">
        <f aca="false">Sheet1!C99</f>
        <v>159</v>
      </c>
      <c r="D99" s="0" t="str">
        <f aca="false">Sheet1!D99</f>
        <v>VWAD.159.4</v>
      </c>
      <c r="E99" s="0" t="n">
        <f aca="false">Sheet1!E99</f>
        <v>0</v>
      </c>
      <c r="F99" s="0" t="e">
        <f aca="false">Sheet1!F99</f>
        <v>#N/A</v>
      </c>
      <c r="G99" s="0" t="n">
        <f aca="false">Sheet1!G99</f>
        <v>2100.5088</v>
      </c>
      <c r="H99" s="0" t="n">
        <f aca="false">Sheet1!H99</f>
        <v>181.8658</v>
      </c>
      <c r="I99" s="0" t="n">
        <f aca="false">Sheet1!I99</f>
        <v>571.3482</v>
      </c>
      <c r="J99" s="0" t="n">
        <f aca="false">Sheet1!J99</f>
        <v>0.78498</v>
      </c>
      <c r="K99" s="0" t="n">
        <f aca="false">Sheet1!K99</f>
        <v>0.038</v>
      </c>
      <c r="L99" s="0" t="n">
        <f aca="false">SUM(Sheet1!O99:R99)</f>
        <v>586.93</v>
      </c>
      <c r="M99" s="0" t="n">
        <f aca="false">SUM(Sheet1!S99:V99)</f>
        <v>400.7501</v>
      </c>
      <c r="N99" s="0" t="n">
        <f aca="false">SUM(Sheet1!W99:Z99)</f>
        <v>238.8223</v>
      </c>
      <c r="O99" s="0" t="n">
        <f aca="false">SUM(Sheet1!AA99:AD99)</f>
        <v>179.8613</v>
      </c>
      <c r="P99" s="0" t="n">
        <f aca="false">SUM(Sheet1!AE99:AN99)</f>
        <v>326.0357</v>
      </c>
      <c r="Q99" s="0" t="n">
        <f aca="false">SUM(Sheet1!AO99:AX99)</f>
        <v>204.1604</v>
      </c>
      <c r="R99" s="0" t="n">
        <f aca="false">SUM(Sheet1!AY99:BH99)</f>
        <v>38.3161</v>
      </c>
      <c r="S99" s="0" t="n">
        <f aca="false">SUM(Sheet1!BI99:BR99)</f>
        <v>6.1964</v>
      </c>
      <c r="T99" s="0" t="n">
        <f aca="false">SUM(Sheet1!BS99:CB99)</f>
        <v>0.8112</v>
      </c>
      <c r="U99" s="0" t="n">
        <f aca="false">SUM(Sheet1!CC99:CL99)</f>
        <v>0.7479</v>
      </c>
      <c r="V99" s="0" t="n">
        <f aca="false">Sheet1!CM99</f>
        <v>0.2155</v>
      </c>
    </row>
    <row r="100" customFormat="false" ht="15" hidden="false" customHeight="false" outlineLevel="0" collapsed="false">
      <c r="A100" s="0" t="str">
        <f aca="false">Sheet1!A100</f>
        <v>N1909</v>
      </c>
      <c r="B100" s="0" t="str">
        <f aca="false">Sheet1!B100</f>
        <v>ADVW</v>
      </c>
      <c r="C100" s="0" t="n">
        <f aca="false">Sheet1!C100</f>
        <v>285</v>
      </c>
      <c r="D100" s="0" t="str">
        <f aca="false">Sheet1!D100</f>
        <v>ADVW.285.4</v>
      </c>
      <c r="E100" s="0" t="n">
        <f aca="false">Sheet1!E100</f>
        <v>0</v>
      </c>
      <c r="F100" s="0" t="n">
        <f aca="false">Sheet1!F100</f>
        <v>0</v>
      </c>
      <c r="G100" s="0" t="n">
        <f aca="false">Sheet1!G100</f>
        <v>2275.6342</v>
      </c>
      <c r="H100" s="0" t="n">
        <f aca="false">Sheet1!H100</f>
        <v>176.5192</v>
      </c>
      <c r="I100" s="0" t="n">
        <f aca="false">Sheet1!I100</f>
        <v>554.5514</v>
      </c>
      <c r="J100" s="0" t="n">
        <f aca="false">Sheet1!J100</f>
        <v>0.7749</v>
      </c>
      <c r="K100" s="0" t="n">
        <f aca="false">Sheet1!K100</f>
        <v>0</v>
      </c>
      <c r="L100" s="0" t="n">
        <f aca="false">SUM(Sheet1!O100:R100)</f>
        <v>413.4932</v>
      </c>
      <c r="M100" s="0" t="n">
        <f aca="false">SUM(Sheet1!S100:V100)</f>
        <v>186.3043</v>
      </c>
      <c r="N100" s="0" t="n">
        <f aca="false">SUM(Sheet1!W100:Z100)</f>
        <v>168.251</v>
      </c>
      <c r="O100" s="0" t="n">
        <f aca="false">SUM(Sheet1!AA100:AD100)</f>
        <v>122.0509</v>
      </c>
      <c r="P100" s="0" t="n">
        <f aca="false">SUM(Sheet1!AE100:AN100)</f>
        <v>311.8499</v>
      </c>
      <c r="Q100" s="0" t="n">
        <f aca="false">SUM(Sheet1!AO100:AX100)</f>
        <v>249.1326</v>
      </c>
      <c r="R100" s="0" t="n">
        <f aca="false">SUM(Sheet1!AY100:BH100)</f>
        <v>81.1535</v>
      </c>
      <c r="S100" s="0" t="n">
        <f aca="false">SUM(Sheet1!BI100:BR100)</f>
        <v>27.2508</v>
      </c>
      <c r="T100" s="0" t="n">
        <f aca="false">SUM(Sheet1!BS100:CB100)</f>
        <v>10.1775</v>
      </c>
      <c r="U100" s="0" t="n">
        <f aca="false">SUM(Sheet1!CC100:CL100)</f>
        <v>3.4112</v>
      </c>
      <c r="V100" s="0" t="n">
        <f aca="false">Sheet1!CM100</f>
        <v>0.8493</v>
      </c>
    </row>
    <row r="101" customFormat="false" ht="15" hidden="false" customHeight="false" outlineLevel="0" collapsed="false">
      <c r="A101" s="0" t="str">
        <f aca="false">Sheet1!A101</f>
        <v>N1911</v>
      </c>
      <c r="B101" s="0" t="str">
        <f aca="false">Sheet1!B101</f>
        <v>ADVW</v>
      </c>
      <c r="C101" s="0" t="n">
        <f aca="false">Sheet1!C101</f>
        <v>373</v>
      </c>
      <c r="D101" s="0" t="str">
        <f aca="false">Sheet1!D101</f>
        <v>ADVW.373.4</v>
      </c>
      <c r="E101" s="0" t="n">
        <f aca="false">Sheet1!E101</f>
        <v>0</v>
      </c>
      <c r="F101" s="0" t="n">
        <f aca="false">Sheet1!F101</f>
        <v>0</v>
      </c>
      <c r="G101" s="0" t="n">
        <f aca="false">Sheet1!G101</f>
        <v>3568.4652</v>
      </c>
      <c r="H101" s="0" t="n">
        <f aca="false">Sheet1!H101</f>
        <v>274.5623</v>
      </c>
      <c r="I101" s="0" t="n">
        <f aca="false">Sheet1!I101</f>
        <v>862.563</v>
      </c>
      <c r="J101" s="0" t="n">
        <f aca="false">Sheet1!J101</f>
        <v>0.76018</v>
      </c>
      <c r="K101" s="0" t="n">
        <f aca="false">Sheet1!K101</f>
        <v>0</v>
      </c>
      <c r="L101" s="0" t="n">
        <f aca="false">SUM(Sheet1!O101:R101)</f>
        <v>844.6042</v>
      </c>
      <c r="M101" s="0" t="n">
        <f aca="false">SUM(Sheet1!S101:V101)</f>
        <v>366.7502</v>
      </c>
      <c r="N101" s="0" t="n">
        <f aca="false">SUM(Sheet1!W101:Z101)</f>
        <v>295.7111</v>
      </c>
      <c r="O101" s="0" t="n">
        <f aca="false">SUM(Sheet1!AA101:AD101)</f>
        <v>203.1404</v>
      </c>
      <c r="P101" s="0" t="n">
        <f aca="false">SUM(Sheet1!AE101:AN101)</f>
        <v>523.1792</v>
      </c>
      <c r="Q101" s="0" t="n">
        <f aca="false">SUM(Sheet1!AO101:AX101)</f>
        <v>416.1322</v>
      </c>
      <c r="R101" s="0" t="n">
        <f aca="false">SUM(Sheet1!AY101:BH101)</f>
        <v>126.6069</v>
      </c>
      <c r="S101" s="0" t="n">
        <f aca="false">SUM(Sheet1!BI101:BR101)</f>
        <v>17.6264</v>
      </c>
      <c r="T101" s="0" t="n">
        <f aca="false">SUM(Sheet1!BS101:CB101)</f>
        <v>3.0739</v>
      </c>
      <c r="U101" s="0" t="n">
        <f aca="false">SUM(Sheet1!CC101:CL101)</f>
        <v>0.2172</v>
      </c>
      <c r="V101" s="0" t="n">
        <f aca="false">Sheet1!CM101</f>
        <v>0.8551</v>
      </c>
    </row>
    <row r="102" customFormat="false" ht="15" hidden="false" customHeight="false" outlineLevel="0" collapsed="false">
      <c r="A102" s="0" t="str">
        <f aca="false">Sheet1!A102</f>
        <v>N1913</v>
      </c>
      <c r="B102" s="0" t="str">
        <f aca="false">Sheet1!B102</f>
        <v>VWAD</v>
      </c>
      <c r="C102" s="0" t="n">
        <f aca="false">Sheet1!C102</f>
        <v>133</v>
      </c>
      <c r="D102" s="0" t="str">
        <f aca="false">Sheet1!D102</f>
        <v>VWAD.133.4</v>
      </c>
      <c r="E102" s="0" t="n">
        <f aca="false">Sheet1!E102</f>
        <v>0</v>
      </c>
      <c r="F102" s="0" t="n">
        <f aca="false">Sheet1!F102</f>
        <v>2.1105</v>
      </c>
      <c r="G102" s="0" t="n">
        <f aca="false">Sheet1!G102</f>
        <v>1363.8935</v>
      </c>
      <c r="H102" s="0" t="n">
        <f aca="false">Sheet1!H102</f>
        <v>107.2178</v>
      </c>
      <c r="I102" s="0" t="n">
        <f aca="false">Sheet1!I102</f>
        <v>336.8346</v>
      </c>
      <c r="J102" s="0" t="n">
        <f aca="false">Sheet1!J102</f>
        <v>0.6975</v>
      </c>
      <c r="K102" s="0" t="n">
        <f aca="false">Sheet1!K102</f>
        <v>0</v>
      </c>
      <c r="L102" s="0" t="n">
        <f aca="false">SUM(Sheet1!O102:R102)</f>
        <v>194.8147</v>
      </c>
      <c r="M102" s="0" t="n">
        <f aca="false">SUM(Sheet1!S102:V102)</f>
        <v>187.6913</v>
      </c>
      <c r="N102" s="0" t="n">
        <f aca="false">SUM(Sheet1!W102:Z102)</f>
        <v>161.7254</v>
      </c>
      <c r="O102" s="0" t="n">
        <f aca="false">SUM(Sheet1!AA102:AD102)</f>
        <v>86.7886</v>
      </c>
      <c r="P102" s="0" t="n">
        <f aca="false">SUM(Sheet1!AE102:AN102)</f>
        <v>179.2723</v>
      </c>
      <c r="Q102" s="0" t="n">
        <f aca="false">SUM(Sheet1!AO102:AX102)</f>
        <v>183.7621</v>
      </c>
      <c r="R102" s="0" t="n">
        <f aca="false">SUM(Sheet1!AY102:BH102)</f>
        <v>32.72</v>
      </c>
      <c r="S102" s="0" t="n">
        <f aca="false">SUM(Sheet1!BI102:BR102)</f>
        <v>3.4754</v>
      </c>
      <c r="T102" s="0" t="n">
        <f aca="false">SUM(Sheet1!BS102:CB102)</f>
        <v>0.111</v>
      </c>
      <c r="U102" s="0" t="n">
        <f aca="false">SUM(Sheet1!CC102:CL102)</f>
        <v>0</v>
      </c>
      <c r="V102" s="0" t="n">
        <f aca="false">Sheet1!CM102</f>
        <v>0</v>
      </c>
    </row>
    <row r="103" customFormat="false" ht="15" hidden="false" customHeight="false" outlineLevel="0" collapsed="false">
      <c r="A103" s="0" t="str">
        <f aca="false">Sheet1!A103</f>
        <v>N1914</v>
      </c>
      <c r="B103" s="0" t="str">
        <f aca="false">Sheet1!B103</f>
        <v>ADVW</v>
      </c>
      <c r="C103" s="0" t="n">
        <f aca="false">Sheet1!C103</f>
        <v>212</v>
      </c>
      <c r="D103" s="0" t="str">
        <f aca="false">Sheet1!D103</f>
        <v>ADVW.212.4</v>
      </c>
      <c r="E103" s="0" t="n">
        <f aca="false">Sheet1!E103</f>
        <v>0</v>
      </c>
      <c r="F103" s="0" t="n">
        <f aca="false">Sheet1!F103</f>
        <v>9.4545</v>
      </c>
      <c r="G103" s="0" t="n">
        <f aca="false">Sheet1!G103</f>
        <v>4749.3025</v>
      </c>
      <c r="H103" s="0" t="n">
        <f aca="false">Sheet1!H103</f>
        <v>408.1274</v>
      </c>
      <c r="I103" s="0" t="n">
        <f aca="false">Sheet1!I103</f>
        <v>1282.1701</v>
      </c>
      <c r="J103" s="0" t="n">
        <f aca="false">Sheet1!J103</f>
        <v>0.7988</v>
      </c>
      <c r="K103" s="0" t="n">
        <f aca="false">Sheet1!K103</f>
        <v>0</v>
      </c>
      <c r="L103" s="0" t="n">
        <f aca="false">SUM(Sheet1!O103:R103)</f>
        <v>769.4652</v>
      </c>
      <c r="M103" s="0" t="n">
        <f aca="false">SUM(Sheet1!S103:V103)</f>
        <v>472.3302</v>
      </c>
      <c r="N103" s="0" t="n">
        <f aca="false">SUM(Sheet1!W103:Z103)</f>
        <v>357.3302</v>
      </c>
      <c r="O103" s="0" t="n">
        <f aca="false">SUM(Sheet1!AA103:AD103)</f>
        <v>332.0913</v>
      </c>
      <c r="P103" s="0" t="n">
        <f aca="false">SUM(Sheet1!AE103:AN103)</f>
        <v>786.4594</v>
      </c>
      <c r="Q103" s="0" t="n">
        <f aca="false">SUM(Sheet1!AO103:AX103)</f>
        <v>718.2379</v>
      </c>
      <c r="R103" s="0" t="n">
        <f aca="false">SUM(Sheet1!AY103:BH103)</f>
        <v>164.3254</v>
      </c>
      <c r="S103" s="0" t="n">
        <f aca="false">SUM(Sheet1!BI103:BR103)</f>
        <v>20.6925</v>
      </c>
      <c r="T103" s="0" t="n">
        <f aca="false">SUM(Sheet1!BS103:CB103)</f>
        <v>3.4318</v>
      </c>
      <c r="U103" s="0" t="n">
        <f aca="false">SUM(Sheet1!CC103:CL103)</f>
        <v>0.672</v>
      </c>
      <c r="V103" s="0" t="n">
        <f aca="false">Sheet1!CM103</f>
        <v>0</v>
      </c>
    </row>
    <row r="104" customFormat="false" ht="15" hidden="false" customHeight="false" outlineLevel="0" collapsed="false">
      <c r="A104" s="0" t="str">
        <f aca="false">Sheet1!A104</f>
        <v>N1916</v>
      </c>
      <c r="B104" s="0" t="str">
        <f aca="false">Sheet1!B104</f>
        <v>ADVW</v>
      </c>
      <c r="C104" s="0" t="n">
        <f aca="false">Sheet1!C104</f>
        <v>356</v>
      </c>
      <c r="D104" s="0" t="str">
        <f aca="false">Sheet1!D104</f>
        <v>ADVW.356.4</v>
      </c>
      <c r="E104" s="0" t="e">
        <f aca="false">Sheet1!E104</f>
        <v>#N/A</v>
      </c>
      <c r="F104" s="0" t="e">
        <f aca="false">Sheet1!F104</f>
        <v>#N/A</v>
      </c>
      <c r="G104" s="0" t="n">
        <f aca="false">Sheet1!G104</f>
        <v>3052.8321</v>
      </c>
      <c r="H104" s="0" t="n">
        <f aca="false">Sheet1!H104</f>
        <v>223.1275</v>
      </c>
      <c r="I104" s="0" t="n">
        <f aca="false">Sheet1!I104</f>
        <v>700.9757</v>
      </c>
      <c r="J104" s="0" t="n">
        <f aca="false">Sheet1!J104</f>
        <v>0.732833333333333</v>
      </c>
      <c r="K104" s="0" t="n">
        <f aca="false">Sheet1!K104</f>
        <v>0</v>
      </c>
      <c r="L104" s="0" t="n">
        <f aca="false">SUM(Sheet1!O104:R104)</f>
        <v>574.3523</v>
      </c>
      <c r="M104" s="0" t="n">
        <f aca="false">SUM(Sheet1!S104:V104)</f>
        <v>330.1529</v>
      </c>
      <c r="N104" s="0" t="n">
        <f aca="false">SUM(Sheet1!W104:Z104)</f>
        <v>266.7842</v>
      </c>
      <c r="O104" s="0" t="n">
        <f aca="false">SUM(Sheet1!AA104:AD104)</f>
        <v>208.0436</v>
      </c>
      <c r="P104" s="0" t="n">
        <f aca="false">SUM(Sheet1!AE104:AN104)</f>
        <v>444.15</v>
      </c>
      <c r="Q104" s="0" t="n">
        <f aca="false">SUM(Sheet1!AO104:AX104)</f>
        <v>315.2526</v>
      </c>
      <c r="R104" s="0" t="n">
        <f aca="false">SUM(Sheet1!AY104:BH104)</f>
        <v>49.918</v>
      </c>
      <c r="S104" s="0" t="n">
        <f aca="false">SUM(Sheet1!BI104:BR104)</f>
        <v>9.8169</v>
      </c>
      <c r="T104" s="0" t="n">
        <f aca="false">SUM(Sheet1!BS104:CB104)</f>
        <v>4.9188</v>
      </c>
      <c r="U104" s="0" t="n">
        <f aca="false">SUM(Sheet1!CC104:CL104)</f>
        <v>3.9363</v>
      </c>
      <c r="V104" s="0" t="n">
        <f aca="false">Sheet1!CM104</f>
        <v>4.201</v>
      </c>
    </row>
    <row r="105" customFormat="false" ht="15" hidden="false" customHeight="false" outlineLevel="0" collapsed="false">
      <c r="A105" s="0" t="str">
        <f aca="false">Sheet1!A105</f>
        <v>N2005</v>
      </c>
      <c r="B105" s="0" t="str">
        <f aca="false">Sheet1!B105</f>
        <v>VWAD</v>
      </c>
      <c r="C105" s="0" t="n">
        <f aca="false">Sheet1!C105</f>
        <v>185</v>
      </c>
      <c r="D105" s="0" t="str">
        <f aca="false">Sheet1!D105</f>
        <v>VWAD.185.4</v>
      </c>
      <c r="E105" s="0" t="e">
        <f aca="false">Sheet1!E105</f>
        <v>#N/A</v>
      </c>
      <c r="F105" s="0" t="e">
        <f aca="false">Sheet1!F105</f>
        <v>#N/A</v>
      </c>
      <c r="G105" s="0" t="n">
        <f aca="false">Sheet1!G105</f>
        <v>2115.7043</v>
      </c>
      <c r="H105" s="0" t="n">
        <f aca="false">Sheet1!H105</f>
        <v>210.0738</v>
      </c>
      <c r="I105" s="0" t="n">
        <f aca="false">Sheet1!I105</f>
        <v>659.9662</v>
      </c>
      <c r="J105" s="0" t="n">
        <f aca="false">Sheet1!J105</f>
        <v>0.88676</v>
      </c>
      <c r="K105" s="0" t="n">
        <f aca="false">Sheet1!K105</f>
        <v>0</v>
      </c>
      <c r="L105" s="0" t="n">
        <f aca="false">SUM(Sheet1!O105:R105)</f>
        <v>692.4409</v>
      </c>
      <c r="M105" s="0" t="n">
        <f aca="false">SUM(Sheet1!S105:V105)</f>
        <v>229.0059</v>
      </c>
      <c r="N105" s="0" t="n">
        <f aca="false">SUM(Sheet1!W105:Z105)</f>
        <v>167.665</v>
      </c>
      <c r="O105" s="0" t="n">
        <f aca="false">SUM(Sheet1!AA105:AD105)</f>
        <v>97.9431</v>
      </c>
      <c r="P105" s="0" t="n">
        <f aca="false">SUM(Sheet1!AE105:AN105)</f>
        <v>289.5171</v>
      </c>
      <c r="Q105" s="0" t="n">
        <f aca="false">SUM(Sheet1!AO105:AX105)</f>
        <v>398.324</v>
      </c>
      <c r="R105" s="0" t="n">
        <f aca="false">SUM(Sheet1!AY105:BH105)</f>
        <v>86.8515</v>
      </c>
      <c r="S105" s="0" t="n">
        <f aca="false">SUM(Sheet1!BI105:BR105)</f>
        <v>14.3836</v>
      </c>
      <c r="T105" s="0" t="n">
        <f aca="false">SUM(Sheet1!BS105:CB105)</f>
        <v>2.4982</v>
      </c>
      <c r="U105" s="0" t="n">
        <f aca="false">SUM(Sheet1!CC105:CL105)</f>
        <v>0.5304</v>
      </c>
      <c r="V105" s="0" t="n">
        <f aca="false">Sheet1!CM105</f>
        <v>0</v>
      </c>
    </row>
    <row r="106" customFormat="false" ht="15" hidden="false" customHeight="false" outlineLevel="0" collapsed="false">
      <c r="A106" s="0" t="str">
        <f aca="false">Sheet1!A106</f>
        <v>N2006</v>
      </c>
      <c r="B106" s="0" t="str">
        <f aca="false">Sheet1!B106</f>
        <v>ADVW</v>
      </c>
      <c r="C106" s="0" t="n">
        <f aca="false">Sheet1!C106</f>
        <v>270</v>
      </c>
      <c r="D106" s="0" t="str">
        <f aca="false">Sheet1!D106</f>
        <v>ADVW.270.4</v>
      </c>
      <c r="E106" s="0" t="e">
        <f aca="false">Sheet1!E106</f>
        <v>#N/A</v>
      </c>
      <c r="F106" s="0" t="n">
        <f aca="false">Sheet1!F106</f>
        <v>7.3025</v>
      </c>
      <c r="G106" s="0" t="n">
        <f aca="false">Sheet1!G106</f>
        <v>3712.8591</v>
      </c>
      <c r="H106" s="0" t="n">
        <f aca="false">Sheet1!H106</f>
        <v>339.3816</v>
      </c>
      <c r="I106" s="0" t="n">
        <f aca="false">Sheet1!I106</f>
        <v>1066.1987</v>
      </c>
      <c r="J106" s="0" t="n">
        <f aca="false">Sheet1!J106</f>
        <v>0.8606</v>
      </c>
      <c r="K106" s="0" t="n">
        <f aca="false">Sheet1!K106</f>
        <v>0</v>
      </c>
      <c r="L106" s="0" t="n">
        <f aca="false">SUM(Sheet1!O106:R106)</f>
        <v>839.2731</v>
      </c>
      <c r="M106" s="0" t="n">
        <f aca="false">SUM(Sheet1!S106:V106)</f>
        <v>441.2445</v>
      </c>
      <c r="N106" s="0" t="n">
        <f aca="false">SUM(Sheet1!W106:Z106)</f>
        <v>296.0597</v>
      </c>
      <c r="O106" s="0" t="n">
        <f aca="false">SUM(Sheet1!AA106:AD106)</f>
        <v>207.9486</v>
      </c>
      <c r="P106" s="0" t="n">
        <f aca="false">SUM(Sheet1!AE106:AN106)</f>
        <v>481.8441</v>
      </c>
      <c r="Q106" s="0" t="n">
        <f aca="false">SUM(Sheet1!AO106:AX106)</f>
        <v>542.1246</v>
      </c>
      <c r="R106" s="0" t="n">
        <f aca="false">SUM(Sheet1!AY106:BH106)</f>
        <v>198.9792</v>
      </c>
      <c r="S106" s="0" t="n">
        <f aca="false">SUM(Sheet1!BI106:BR106)</f>
        <v>32.8067</v>
      </c>
      <c r="T106" s="0" t="n">
        <f aca="false">SUM(Sheet1!BS106:CB106)</f>
        <v>9.7958</v>
      </c>
      <c r="U106" s="0" t="n">
        <f aca="false">SUM(Sheet1!CC106:CL106)</f>
        <v>5.0387</v>
      </c>
      <c r="V106" s="0" t="n">
        <f aca="false">Sheet1!CM106</f>
        <v>2.7148</v>
      </c>
    </row>
    <row r="107" customFormat="false" ht="15" hidden="false" customHeight="false" outlineLevel="0" collapsed="false">
      <c r="A107" s="0" t="str">
        <f aca="false">Sheet1!A107</f>
        <v>N2009</v>
      </c>
      <c r="B107" s="0" t="str">
        <f aca="false">Sheet1!B107</f>
        <v>ADVW</v>
      </c>
      <c r="C107" s="0" t="n">
        <f aca="false">Sheet1!C107</f>
        <v>286</v>
      </c>
      <c r="D107" s="0" t="str">
        <f aca="false">Sheet1!D107</f>
        <v>ADVW.286.4</v>
      </c>
      <c r="E107" s="0" t="n">
        <f aca="false">Sheet1!E107</f>
        <v>0</v>
      </c>
      <c r="F107" s="0" t="e">
        <f aca="false">Sheet1!F107</f>
        <v>#N/A</v>
      </c>
      <c r="G107" s="0" t="n">
        <f aca="false">Sheet1!G107</f>
        <v>1271.6106</v>
      </c>
      <c r="H107" s="0" t="n">
        <f aca="false">Sheet1!H107</f>
        <v>112.4061</v>
      </c>
      <c r="I107" s="0" t="n">
        <f aca="false">Sheet1!I107</f>
        <v>353.1343</v>
      </c>
      <c r="J107" s="0" t="n">
        <f aca="false">Sheet1!J107</f>
        <v>0.8859</v>
      </c>
      <c r="K107" s="0" t="n">
        <f aca="false">Sheet1!K107</f>
        <v>0</v>
      </c>
      <c r="L107" s="0" t="n">
        <f aca="false">SUM(Sheet1!O107:R107)</f>
        <v>153.8592</v>
      </c>
      <c r="M107" s="0" t="n">
        <f aca="false">SUM(Sheet1!S107:V107)</f>
        <v>99.2483</v>
      </c>
      <c r="N107" s="0" t="n">
        <f aca="false">SUM(Sheet1!W107:Z107)</f>
        <v>75.3284</v>
      </c>
      <c r="O107" s="0" t="n">
        <f aca="false">SUM(Sheet1!AA107:AD107)</f>
        <v>76.5415</v>
      </c>
      <c r="P107" s="0" t="n">
        <f aca="false">SUM(Sheet1!AE107:AN107)</f>
        <v>226.4678</v>
      </c>
      <c r="Q107" s="0" t="n">
        <f aca="false">SUM(Sheet1!AO107:AX107)</f>
        <v>219.3958</v>
      </c>
      <c r="R107" s="0" t="n">
        <f aca="false">SUM(Sheet1!AY107:BH107)</f>
        <v>36.7893</v>
      </c>
      <c r="S107" s="0" t="n">
        <f aca="false">SUM(Sheet1!BI107:BR107)</f>
        <v>8.6518</v>
      </c>
      <c r="T107" s="0" t="n">
        <f aca="false">SUM(Sheet1!BS107:CB107)</f>
        <v>3.817</v>
      </c>
      <c r="U107" s="0" t="n">
        <f aca="false">SUM(Sheet1!CC107:CL107)</f>
        <v>0.6427</v>
      </c>
      <c r="V107" s="0" t="n">
        <f aca="false">Sheet1!CM107</f>
        <v>0.278</v>
      </c>
    </row>
    <row r="108" customFormat="false" ht="15" hidden="false" customHeight="false" outlineLevel="0" collapsed="false">
      <c r="A108" s="0" t="str">
        <f aca="false">Sheet1!A108</f>
        <v>N2010</v>
      </c>
      <c r="B108" s="0" t="str">
        <f aca="false">Sheet1!B108</f>
        <v>VWAD</v>
      </c>
      <c r="C108" s="0" t="n">
        <f aca="false">Sheet1!C108</f>
        <v>50</v>
      </c>
      <c r="D108" s="0" t="str">
        <f aca="false">Sheet1!D108</f>
        <v>VWAD.50.4</v>
      </c>
      <c r="E108" s="0" t="n">
        <f aca="false">Sheet1!E108</f>
        <v>0</v>
      </c>
      <c r="F108" s="0" t="n">
        <f aca="false">Sheet1!F108</f>
        <v>0</v>
      </c>
      <c r="G108" s="0" t="n">
        <f aca="false">Sheet1!G108</f>
        <v>2443.9356</v>
      </c>
      <c r="H108" s="0" t="n">
        <f aca="false">Sheet1!H108</f>
        <v>140.3522</v>
      </c>
      <c r="I108" s="0" t="n">
        <f aca="false">Sheet1!I108</f>
        <v>440.9295</v>
      </c>
      <c r="J108" s="0" t="n">
        <f aca="false">Sheet1!J108</f>
        <v>0.464575</v>
      </c>
      <c r="K108" s="0" t="n">
        <f aca="false">Sheet1!K108</f>
        <v>0</v>
      </c>
      <c r="L108" s="0" t="n">
        <f aca="false">SUM(Sheet1!O108:R108)</f>
        <v>660.7318</v>
      </c>
      <c r="M108" s="0" t="n">
        <f aca="false">SUM(Sheet1!S108:V108)</f>
        <v>273.8892</v>
      </c>
      <c r="N108" s="0" t="n">
        <f aca="false">SUM(Sheet1!W108:Z108)</f>
        <v>151.3082</v>
      </c>
      <c r="O108" s="0" t="n">
        <f aca="false">SUM(Sheet1!AA108:AD108)</f>
        <v>104.3261</v>
      </c>
      <c r="P108" s="0" t="n">
        <f aca="false">SUM(Sheet1!AE108:AN108)</f>
        <v>221.0585</v>
      </c>
      <c r="Q108" s="0" t="n">
        <f aca="false">SUM(Sheet1!AO108:AX108)</f>
        <v>190.2299</v>
      </c>
      <c r="R108" s="0" t="n">
        <f aca="false">SUM(Sheet1!AY108:BH108)</f>
        <v>38.01</v>
      </c>
      <c r="S108" s="0" t="n">
        <f aca="false">SUM(Sheet1!BI108:BR108)</f>
        <v>3.3035</v>
      </c>
      <c r="T108" s="0" t="n">
        <f aca="false">SUM(Sheet1!BS108:CB108)</f>
        <v>0.1603</v>
      </c>
      <c r="U108" s="0" t="n">
        <f aca="false">SUM(Sheet1!CC108:CL108)</f>
        <v>0.0338</v>
      </c>
      <c r="V108" s="0" t="n">
        <f aca="false">Sheet1!CM108</f>
        <v>0</v>
      </c>
    </row>
    <row r="109" customFormat="false" ht="15" hidden="false" customHeight="false" outlineLevel="0" collapsed="false">
      <c r="A109" s="0" t="str">
        <f aca="false">Sheet1!A109</f>
        <v>N2013</v>
      </c>
      <c r="B109" s="0" t="str">
        <f aca="false">Sheet1!B109</f>
        <v>ADVW</v>
      </c>
      <c r="C109" s="0" t="n">
        <f aca="false">Sheet1!C109</f>
        <v>328</v>
      </c>
      <c r="D109" s="0" t="str">
        <f aca="false">Sheet1!D109</f>
        <v>ADVW.328.16</v>
      </c>
      <c r="E109" s="0" t="n">
        <f aca="false">Sheet1!E109</f>
        <v>0</v>
      </c>
      <c r="F109" s="0" t="n">
        <f aca="false">Sheet1!F109</f>
        <v>0</v>
      </c>
      <c r="G109" s="0" t="n">
        <f aca="false">Sheet1!G109</f>
        <v>2463.0635</v>
      </c>
      <c r="H109" s="0" t="n">
        <f aca="false">Sheet1!H109</f>
        <v>242.5817</v>
      </c>
      <c r="I109" s="0" t="n">
        <f aca="false">Sheet1!I109</f>
        <v>762.0928</v>
      </c>
      <c r="J109" s="0" t="n">
        <f aca="false">Sheet1!J109</f>
        <v>0.9853</v>
      </c>
      <c r="K109" s="0" t="n">
        <f aca="false">Sheet1!K109</f>
        <v>0.199</v>
      </c>
      <c r="L109" s="0" t="n">
        <f aca="false">SUM(Sheet1!O109:R109)</f>
        <v>478.168</v>
      </c>
      <c r="M109" s="0" t="n">
        <f aca="false">SUM(Sheet1!S109:V109)</f>
        <v>214.4577</v>
      </c>
      <c r="N109" s="0" t="n">
        <f aca="false">SUM(Sheet1!W109:Z109)</f>
        <v>198.1241</v>
      </c>
      <c r="O109" s="0" t="n">
        <f aca="false">SUM(Sheet1!AA109:AD109)</f>
        <v>136.7916</v>
      </c>
      <c r="P109" s="0" t="n">
        <f aca="false">SUM(Sheet1!AE109:AN109)</f>
        <v>302.9678</v>
      </c>
      <c r="Q109" s="0" t="n">
        <f aca="false">SUM(Sheet1!AO109:AX109)</f>
        <v>269.5171</v>
      </c>
      <c r="R109" s="0" t="n">
        <f aca="false">SUM(Sheet1!AY109:BH109)</f>
        <v>179.8429</v>
      </c>
      <c r="S109" s="0" t="n">
        <f aca="false">SUM(Sheet1!BI109:BR109)</f>
        <v>82.1305</v>
      </c>
      <c r="T109" s="0" t="n">
        <f aca="false">SUM(Sheet1!BS109:CB109)</f>
        <v>36.2698</v>
      </c>
      <c r="U109" s="0" t="n">
        <f aca="false">SUM(Sheet1!CC109:CL109)</f>
        <v>19.2818</v>
      </c>
      <c r="V109" s="0" t="n">
        <f aca="false">Sheet1!CM109</f>
        <v>10.316</v>
      </c>
    </row>
    <row r="110" customFormat="false" ht="15" hidden="false" customHeight="false" outlineLevel="0" collapsed="false">
      <c r="A110" s="0" t="str">
        <f aca="false">Sheet1!A110</f>
        <v>N2015</v>
      </c>
      <c r="B110" s="0" t="str">
        <f aca="false">Sheet1!B110</f>
        <v>VWAD</v>
      </c>
      <c r="C110" s="0" t="n">
        <f aca="false">Sheet1!C110</f>
        <v>59</v>
      </c>
      <c r="D110" s="0" t="str">
        <f aca="false">Sheet1!D110</f>
        <v>VWAD.59.4</v>
      </c>
      <c r="E110" s="0" t="e">
        <f aca="false">Sheet1!E110</f>
        <v>#N/A</v>
      </c>
      <c r="F110" s="0" t="n">
        <f aca="false">Sheet1!F110</f>
        <v>2.3058</v>
      </c>
      <c r="G110" s="0" t="n">
        <f aca="false">Sheet1!G110</f>
        <v>1680.4576</v>
      </c>
      <c r="H110" s="0" t="n">
        <f aca="false">Sheet1!H110</f>
        <v>121.7485</v>
      </c>
      <c r="I110" s="0" t="n">
        <f aca="false">Sheet1!I110</f>
        <v>382.4843</v>
      </c>
      <c r="J110" s="0" t="n">
        <f aca="false">Sheet1!J110</f>
        <v>0.6554</v>
      </c>
      <c r="K110" s="0" t="n">
        <f aca="false">Sheet1!K110</f>
        <v>0</v>
      </c>
      <c r="L110" s="0" t="n">
        <f aca="false">SUM(Sheet1!O110:R110)</f>
        <v>245.9047</v>
      </c>
      <c r="M110" s="0" t="n">
        <f aca="false">SUM(Sheet1!S110:V110)</f>
        <v>208.5331</v>
      </c>
      <c r="N110" s="0" t="n">
        <f aca="false">SUM(Sheet1!W110:Z110)</f>
        <v>181.5214</v>
      </c>
      <c r="O110" s="0" t="n">
        <f aca="false">SUM(Sheet1!AA110:AD110)</f>
        <v>122.1927</v>
      </c>
      <c r="P110" s="0" t="n">
        <f aca="false">SUM(Sheet1!AE110:AN110)</f>
        <v>220.0641</v>
      </c>
      <c r="Q110" s="0" t="n">
        <f aca="false">SUM(Sheet1!AO110:AX110)</f>
        <v>138.3327</v>
      </c>
      <c r="R110" s="0" t="n">
        <f aca="false">SUM(Sheet1!AY110:BH110)</f>
        <v>49.8713</v>
      </c>
      <c r="S110" s="0" t="n">
        <f aca="false">SUM(Sheet1!BI110:BR110)</f>
        <v>9.7094</v>
      </c>
      <c r="T110" s="0" t="n">
        <f aca="false">SUM(Sheet1!BS110:CB110)</f>
        <v>2.3732</v>
      </c>
      <c r="U110" s="0" t="n">
        <f aca="false">SUM(Sheet1!CC110:CL110)</f>
        <v>0.0883</v>
      </c>
      <c r="V110" s="0" t="n">
        <f aca="false">Sheet1!CM110</f>
        <v>0</v>
      </c>
    </row>
    <row r="111" customFormat="false" ht="15" hidden="false" customHeight="false" outlineLevel="0" collapsed="false">
      <c r="A111" s="0" t="str">
        <f aca="false">Sheet1!A111</f>
        <v>N2102</v>
      </c>
      <c r="B111" s="0" t="str">
        <f aca="false">Sheet1!B111</f>
        <v>VWAD</v>
      </c>
      <c r="C111" s="0" t="n">
        <f aca="false">Sheet1!C111</f>
        <v>80</v>
      </c>
      <c r="D111" s="0" t="str">
        <f aca="false">Sheet1!D111</f>
        <v>VWAD.80.16</v>
      </c>
      <c r="E111" s="0" t="n">
        <f aca="false">Sheet1!E111</f>
        <v>0</v>
      </c>
      <c r="F111" s="0" t="n">
        <f aca="false">Sheet1!F111</f>
        <v>0</v>
      </c>
      <c r="G111" s="0" t="n">
        <f aca="false">Sheet1!G111</f>
        <v>3104.978</v>
      </c>
      <c r="H111" s="0" t="n">
        <f aca="false">Sheet1!H111</f>
        <v>181.4154</v>
      </c>
      <c r="I111" s="0" t="n">
        <f aca="false">Sheet1!I111</f>
        <v>569.9332</v>
      </c>
      <c r="J111" s="0" t="n">
        <f aca="false">Sheet1!J111</f>
        <v>0.565866666666667</v>
      </c>
      <c r="K111" s="0" t="n">
        <f aca="false">Sheet1!K111</f>
        <v>0</v>
      </c>
      <c r="L111" s="0" t="n">
        <f aca="false">SUM(Sheet1!O111:R111)</f>
        <v>898.6808</v>
      </c>
      <c r="M111" s="0" t="n">
        <f aca="false">SUM(Sheet1!S111:V111)</f>
        <v>278.6115</v>
      </c>
      <c r="N111" s="0" t="n">
        <f aca="false">SUM(Sheet1!W111:Z111)</f>
        <v>183.8299</v>
      </c>
      <c r="O111" s="0" t="n">
        <f aca="false">SUM(Sheet1!AA111:AD111)</f>
        <v>149.2239</v>
      </c>
      <c r="P111" s="0" t="n">
        <f aca="false">SUM(Sheet1!AE111:AN111)</f>
        <v>335.8211</v>
      </c>
      <c r="Q111" s="0" t="n">
        <f aca="false">SUM(Sheet1!AO111:AX111)</f>
        <v>242.2792</v>
      </c>
      <c r="R111" s="0" t="n">
        <f aca="false">SUM(Sheet1!AY111:BH111)</f>
        <v>34.0814</v>
      </c>
      <c r="S111" s="0" t="n">
        <f aca="false">SUM(Sheet1!BI111:BR111)</f>
        <v>4.7145</v>
      </c>
      <c r="T111" s="0" t="n">
        <f aca="false">SUM(Sheet1!BS111:CB111)</f>
        <v>1.6595</v>
      </c>
      <c r="U111" s="0" t="n">
        <f aca="false">SUM(Sheet1!CC111:CL111)</f>
        <v>0.9588</v>
      </c>
      <c r="V111" s="0" t="n">
        <f aca="false">Sheet1!CM111</f>
        <v>0.8307</v>
      </c>
    </row>
    <row r="112" customFormat="false" ht="15" hidden="false" customHeight="false" outlineLevel="0" collapsed="false">
      <c r="A112" s="0" t="str">
        <f aca="false">Sheet1!A112</f>
        <v>N2104</v>
      </c>
      <c r="B112" s="0" t="str">
        <f aca="false">Sheet1!B112</f>
        <v>ADVW</v>
      </c>
      <c r="C112" s="0" t="n">
        <f aca="false">Sheet1!C112</f>
        <v>353</v>
      </c>
      <c r="D112" s="0" t="str">
        <f aca="false">Sheet1!D112</f>
        <v>ADVW.353.4</v>
      </c>
      <c r="E112" s="0" t="e">
        <f aca="false">Sheet1!E112</f>
        <v>#N/A</v>
      </c>
      <c r="F112" s="0" t="n">
        <f aca="false">Sheet1!F112</f>
        <v>0</v>
      </c>
      <c r="G112" s="0" t="n">
        <f aca="false">Sheet1!G112</f>
        <v>2523.1952</v>
      </c>
      <c r="H112" s="0" t="n">
        <f aca="false">Sheet1!H112</f>
        <v>174.2059</v>
      </c>
      <c r="I112" s="0" t="n">
        <f aca="false">Sheet1!I112</f>
        <v>547.284</v>
      </c>
      <c r="J112" s="0" t="n">
        <f aca="false">Sheet1!J112</f>
        <v>0.6807</v>
      </c>
      <c r="K112" s="0" t="n">
        <f aca="false">Sheet1!K112</f>
        <v>0</v>
      </c>
      <c r="L112" s="0" t="n">
        <f aca="false">SUM(Sheet1!O112:R112)</f>
        <v>477.7962</v>
      </c>
      <c r="M112" s="0" t="n">
        <f aca="false">SUM(Sheet1!S112:V112)</f>
        <v>194.2182</v>
      </c>
      <c r="N112" s="0" t="n">
        <f aca="false">SUM(Sheet1!W112:Z112)</f>
        <v>111.629</v>
      </c>
      <c r="O112" s="0" t="n">
        <f aca="false">SUM(Sheet1!AA112:AD112)</f>
        <v>101.4585</v>
      </c>
      <c r="P112" s="0" t="n">
        <f aca="false">SUM(Sheet1!AE112:AN112)</f>
        <v>196.6902</v>
      </c>
      <c r="Q112" s="0" t="n">
        <f aca="false">SUM(Sheet1!AO112:AX112)</f>
        <v>197.2186</v>
      </c>
      <c r="R112" s="0" t="n">
        <f aca="false">SUM(Sheet1!AY112:BH112)</f>
        <v>154.5684</v>
      </c>
      <c r="S112" s="0" t="n">
        <f aca="false">SUM(Sheet1!BI112:BR112)</f>
        <v>35.9685</v>
      </c>
      <c r="T112" s="0" t="n">
        <f aca="false">SUM(Sheet1!BS112:CB112)</f>
        <v>8.3933</v>
      </c>
      <c r="U112" s="0" t="n">
        <f aca="false">SUM(Sheet1!CC112:CL112)</f>
        <v>2.5088</v>
      </c>
      <c r="V112" s="0" t="n">
        <f aca="false">Sheet1!CM112</f>
        <v>0.5451</v>
      </c>
    </row>
    <row r="113" customFormat="false" ht="15" hidden="false" customHeight="false" outlineLevel="0" collapsed="false">
      <c r="A113" s="0" t="str">
        <f aca="false">Sheet1!A113</f>
        <v>N2116</v>
      </c>
      <c r="B113" s="0" t="str">
        <f aca="false">Sheet1!B113</f>
        <v>VWAD</v>
      </c>
      <c r="C113" s="0" t="n">
        <f aca="false">Sheet1!C113</f>
        <v>161</v>
      </c>
      <c r="D113" s="0" t="str">
        <f aca="false">Sheet1!D113</f>
        <v>VWAD.161.4</v>
      </c>
      <c r="E113" s="0" t="n">
        <f aca="false">Sheet1!E113</f>
        <v>0</v>
      </c>
      <c r="F113" s="0" t="n">
        <f aca="false">Sheet1!F113</f>
        <v>0</v>
      </c>
      <c r="G113" s="0" t="n">
        <f aca="false">Sheet1!G113</f>
        <v>3402.8628</v>
      </c>
      <c r="H113" s="0" t="n">
        <f aca="false">Sheet1!H113</f>
        <v>283.5972</v>
      </c>
      <c r="I113" s="0" t="n">
        <f aca="false">Sheet1!I113</f>
        <v>890.947</v>
      </c>
      <c r="J113" s="0" t="n">
        <f aca="false">Sheet1!J113</f>
        <v>0.8352</v>
      </c>
      <c r="K113" s="0" t="n">
        <f aca="false">Sheet1!K113</f>
        <v>0.096</v>
      </c>
      <c r="L113" s="0" t="n">
        <f aca="false">SUM(Sheet1!O113:R113)</f>
        <v>708.4571</v>
      </c>
      <c r="M113" s="0" t="n">
        <f aca="false">SUM(Sheet1!S113:V113)</f>
        <v>313.2184</v>
      </c>
      <c r="N113" s="0" t="n">
        <f aca="false">SUM(Sheet1!W113:Z113)</f>
        <v>219.983</v>
      </c>
      <c r="O113" s="0" t="n">
        <f aca="false">SUM(Sheet1!AA113:AD113)</f>
        <v>206.5075</v>
      </c>
      <c r="P113" s="0" t="n">
        <f aca="false">SUM(Sheet1!AE113:AN113)</f>
        <v>507.5374</v>
      </c>
      <c r="Q113" s="0" t="n">
        <f aca="false">SUM(Sheet1!AO113:AX113)</f>
        <v>455.2721</v>
      </c>
      <c r="R113" s="0" t="n">
        <f aca="false">SUM(Sheet1!AY113:BH113)</f>
        <v>176.5902</v>
      </c>
      <c r="S113" s="0" t="n">
        <f aca="false">SUM(Sheet1!BI113:BR113)</f>
        <v>28.1257</v>
      </c>
      <c r="T113" s="0" t="n">
        <f aca="false">SUM(Sheet1!BS113:CB113)</f>
        <v>4.4912</v>
      </c>
      <c r="U113" s="0" t="n">
        <f aca="false">SUM(Sheet1!CC113:CL113)</f>
        <v>0.7229</v>
      </c>
      <c r="V113" s="0" t="n">
        <f aca="false">Sheet1!CM113</f>
        <v>0.3848</v>
      </c>
    </row>
    <row r="114" customFormat="false" ht="15" hidden="false" customHeight="false" outlineLevel="0" collapsed="false">
      <c r="A114" s="0" t="str">
        <f aca="false">Sheet1!A114</f>
        <v>N2119</v>
      </c>
      <c r="B114" s="0" t="str">
        <f aca="false">Sheet1!B114</f>
        <v>ADVW</v>
      </c>
      <c r="C114" s="0" t="n">
        <f aca="false">Sheet1!C114</f>
        <v>280</v>
      </c>
      <c r="D114" s="0" t="str">
        <f aca="false">Sheet1!D114</f>
        <v>ADVW.280.4</v>
      </c>
      <c r="E114" s="0" t="n">
        <f aca="false">Sheet1!E114</f>
        <v>0</v>
      </c>
      <c r="F114" s="0" t="e">
        <f aca="false">Sheet1!F114</f>
        <v>#N/A</v>
      </c>
      <c r="G114" s="0" t="n">
        <f aca="false">Sheet1!G114</f>
        <v>3199.1319</v>
      </c>
      <c r="H114" s="0" t="n">
        <f aca="false">Sheet1!H114</f>
        <v>243.0127</v>
      </c>
      <c r="I114" s="0" t="n">
        <f aca="false">Sheet1!I114</f>
        <v>763.4467</v>
      </c>
      <c r="J114" s="0" t="n">
        <f aca="false">Sheet1!J114</f>
        <v>0.73165</v>
      </c>
      <c r="K114" s="0" t="n">
        <f aca="false">Sheet1!K114</f>
        <v>0.0127</v>
      </c>
      <c r="L114" s="0" t="n">
        <f aca="false">SUM(Sheet1!O114:R114)</f>
        <v>1125.6434</v>
      </c>
      <c r="M114" s="0" t="n">
        <f aca="false">SUM(Sheet1!S114:V114)</f>
        <v>660.7369</v>
      </c>
      <c r="N114" s="0" t="n">
        <f aca="false">SUM(Sheet1!W114:Z114)</f>
        <v>326.6651</v>
      </c>
      <c r="O114" s="0" t="n">
        <f aca="false">SUM(Sheet1!AA114:AD114)</f>
        <v>148.0254</v>
      </c>
      <c r="P114" s="0" t="n">
        <f aca="false">SUM(Sheet1!AE114:AN114)</f>
        <v>271.8478</v>
      </c>
      <c r="Q114" s="0" t="n">
        <f aca="false">SUM(Sheet1!AO114:AX114)</f>
        <v>232.1477</v>
      </c>
      <c r="R114" s="0" t="n">
        <f aca="false">SUM(Sheet1!AY114:BH114)</f>
        <v>99.1707</v>
      </c>
      <c r="S114" s="0" t="n">
        <f aca="false">SUM(Sheet1!BI114:BR114)</f>
        <v>10.9722</v>
      </c>
      <c r="T114" s="0" t="n">
        <f aca="false">SUM(Sheet1!BS114:CB114)</f>
        <v>3.779</v>
      </c>
      <c r="U114" s="0" t="n">
        <f aca="false">SUM(Sheet1!CC114:CL114)</f>
        <v>0.3035</v>
      </c>
      <c r="V114" s="0" t="n">
        <f aca="false">Sheet1!CM114</f>
        <v>0.2526</v>
      </c>
    </row>
    <row r="115" customFormat="false" ht="15" hidden="false" customHeight="false" outlineLevel="0" collapsed="false">
      <c r="A115" s="0" t="str">
        <f aca="false">Sheet1!A115</f>
        <v>N2207</v>
      </c>
      <c r="B115" s="0" t="str">
        <f aca="false">Sheet1!B115</f>
        <v>ADVW</v>
      </c>
      <c r="C115" s="0" t="n">
        <f aca="false">Sheet1!C115</f>
        <v>378</v>
      </c>
      <c r="D115" s="0" t="str">
        <f aca="false">Sheet1!D115</f>
        <v>ADVW.378.16</v>
      </c>
      <c r="E115" s="0" t="n">
        <f aca="false">Sheet1!E115</f>
        <v>0</v>
      </c>
      <c r="F115" s="0" t="e">
        <f aca="false">Sheet1!F115</f>
        <v>#N/A</v>
      </c>
      <c r="G115" s="0" t="n">
        <f aca="false">Sheet1!G115</f>
        <v>2112.9683</v>
      </c>
      <c r="H115" s="0" t="n">
        <f aca="false">Sheet1!H115</f>
        <v>151.5217</v>
      </c>
      <c r="I115" s="0" t="n">
        <f aca="false">Sheet1!I115</f>
        <v>476.0195</v>
      </c>
      <c r="J115" s="0" t="n">
        <f aca="false">Sheet1!J115</f>
        <v>0.7163</v>
      </c>
      <c r="K115" s="0" t="n">
        <f aca="false">Sheet1!K115</f>
        <v>0</v>
      </c>
      <c r="L115" s="0" t="n">
        <f aca="false">SUM(Sheet1!O115:R115)</f>
        <v>346.1416</v>
      </c>
      <c r="M115" s="0" t="n">
        <f aca="false">SUM(Sheet1!S115:V115)</f>
        <v>195.9427</v>
      </c>
      <c r="N115" s="0" t="n">
        <f aca="false">SUM(Sheet1!W115:Z115)</f>
        <v>136.753</v>
      </c>
      <c r="O115" s="0" t="n">
        <f aca="false">SUM(Sheet1!AA115:AD115)</f>
        <v>124.8524</v>
      </c>
      <c r="P115" s="0" t="n">
        <f aca="false">SUM(Sheet1!AE115:AN115)</f>
        <v>251.7151</v>
      </c>
      <c r="Q115" s="0" t="n">
        <f aca="false">SUM(Sheet1!AO115:AX115)</f>
        <v>236.6649</v>
      </c>
      <c r="R115" s="0" t="n">
        <f aca="false">SUM(Sheet1!AY115:BH115)</f>
        <v>73.1029</v>
      </c>
      <c r="S115" s="0" t="n">
        <f aca="false">SUM(Sheet1!BI115:BR115)</f>
        <v>12.9107</v>
      </c>
      <c r="T115" s="0" t="n">
        <f aca="false">SUM(Sheet1!BS115:CB115)</f>
        <v>2.8448</v>
      </c>
      <c r="U115" s="0" t="n">
        <f aca="false">SUM(Sheet1!CC115:CL115)</f>
        <v>0.4155</v>
      </c>
      <c r="V115" s="0" t="n">
        <f aca="false">Sheet1!CM115</f>
        <v>0</v>
      </c>
    </row>
    <row r="116" customFormat="false" ht="15" hidden="false" customHeight="false" outlineLevel="0" collapsed="false">
      <c r="A116" s="0" t="str">
        <f aca="false">Sheet1!A116</f>
        <v>N2208</v>
      </c>
      <c r="B116" s="0" t="str">
        <f aca="false">Sheet1!B116</f>
        <v>VWAD</v>
      </c>
      <c r="C116" s="0" t="n">
        <f aca="false">Sheet1!C116</f>
        <v>154</v>
      </c>
      <c r="D116" s="0" t="str">
        <f aca="false">Sheet1!D116</f>
        <v>VWAD.154.4</v>
      </c>
      <c r="E116" s="0" t="e">
        <f aca="false">Sheet1!E116</f>
        <v>#N/A</v>
      </c>
      <c r="F116" s="0" t="n">
        <f aca="false">Sheet1!F116</f>
        <v>0</v>
      </c>
      <c r="G116" s="0" t="n">
        <f aca="false">Sheet1!G116</f>
        <v>2988.1213</v>
      </c>
      <c r="H116" s="0" t="n">
        <f aca="false">Sheet1!H116</f>
        <v>307.9862</v>
      </c>
      <c r="I116" s="0" t="n">
        <f aca="false">Sheet1!I116</f>
        <v>967.5673</v>
      </c>
      <c r="J116" s="0" t="n">
        <f aca="false">Sheet1!J116</f>
        <v>1.03045</v>
      </c>
      <c r="K116" s="0" t="n">
        <f aca="false">Sheet1!K116</f>
        <v>0</v>
      </c>
      <c r="L116" s="0" t="n">
        <f aca="false">SUM(Sheet1!O116:R116)</f>
        <v>800.1099</v>
      </c>
      <c r="M116" s="0" t="n">
        <f aca="false">SUM(Sheet1!S116:V116)</f>
        <v>477.2908</v>
      </c>
      <c r="N116" s="0" t="n">
        <f aca="false">SUM(Sheet1!W116:Z116)</f>
        <v>287.4209</v>
      </c>
      <c r="O116" s="0" t="n">
        <f aca="false">SUM(Sheet1!AA116:AD116)</f>
        <v>219.487</v>
      </c>
      <c r="P116" s="0" t="n">
        <f aca="false">SUM(Sheet1!AE116:AN116)</f>
        <v>383.5406</v>
      </c>
      <c r="Q116" s="0" t="n">
        <f aca="false">SUM(Sheet1!AO116:AX116)</f>
        <v>417.9773</v>
      </c>
      <c r="R116" s="0" t="n">
        <f aca="false">SUM(Sheet1!AY116:BH116)</f>
        <v>162.0209</v>
      </c>
      <c r="S116" s="0" t="n">
        <f aca="false">SUM(Sheet1!BI116:BR116)</f>
        <v>35.7103</v>
      </c>
      <c r="T116" s="0" t="n">
        <f aca="false">SUM(Sheet1!BS116:CB116)</f>
        <v>13.8864</v>
      </c>
      <c r="U116" s="0" t="n">
        <f aca="false">SUM(Sheet1!CC116:CL116)</f>
        <v>6.3245</v>
      </c>
      <c r="V116" s="0" t="n">
        <f aca="false">Sheet1!CM116</f>
        <v>5.8535</v>
      </c>
    </row>
    <row r="117" customFormat="false" ht="15" hidden="false" customHeight="false" outlineLevel="0" collapsed="false">
      <c r="A117" s="0" t="str">
        <f aca="false">Sheet1!A117</f>
        <v>N2211</v>
      </c>
      <c r="B117" s="0" t="str">
        <f aca="false">Sheet1!B117</f>
        <v>ADVW</v>
      </c>
      <c r="C117" s="0" t="n">
        <f aca="false">Sheet1!C117</f>
        <v>216</v>
      </c>
      <c r="D117" s="0" t="str">
        <f aca="false">Sheet1!D117</f>
        <v>ADVW.216.4</v>
      </c>
      <c r="E117" s="0" t="n">
        <f aca="false">Sheet1!E117</f>
        <v>0</v>
      </c>
      <c r="F117" s="0" t="e">
        <f aca="false">Sheet1!F117</f>
        <v>#N/A</v>
      </c>
      <c r="G117" s="0" t="n">
        <f aca="false">Sheet1!G117</f>
        <v>1543.3141</v>
      </c>
      <c r="H117" s="0" t="n">
        <f aca="false">Sheet1!H117</f>
        <v>140.4183</v>
      </c>
      <c r="I117" s="0" t="n">
        <f aca="false">Sheet1!I117</f>
        <v>441.137</v>
      </c>
      <c r="J117" s="0" t="n">
        <f aca="false">Sheet1!J117</f>
        <v>0.91005</v>
      </c>
      <c r="K117" s="0" t="n">
        <f aca="false">Sheet1!K117</f>
        <v>0</v>
      </c>
      <c r="L117" s="0" t="n">
        <f aca="false">SUM(Sheet1!O117:R117)</f>
        <v>165.0239</v>
      </c>
      <c r="M117" s="0" t="n">
        <f aca="false">SUM(Sheet1!S117:V117)</f>
        <v>146.1927</v>
      </c>
      <c r="N117" s="0" t="n">
        <f aca="false">SUM(Sheet1!W117:Z117)</f>
        <v>134.9836</v>
      </c>
      <c r="O117" s="0" t="n">
        <f aca="false">SUM(Sheet1!AA117:AD117)</f>
        <v>108.6903</v>
      </c>
      <c r="P117" s="0" t="n">
        <f aca="false">SUM(Sheet1!AE117:AN117)</f>
        <v>238.2663</v>
      </c>
      <c r="Q117" s="0" t="n">
        <f aca="false">SUM(Sheet1!AO117:AX117)</f>
        <v>264.0072</v>
      </c>
      <c r="R117" s="0" t="n">
        <f aca="false">SUM(Sheet1!AY117:BH117)</f>
        <v>67.6603</v>
      </c>
      <c r="S117" s="0" t="n">
        <f aca="false">SUM(Sheet1!BI117:BR117)</f>
        <v>13.6128</v>
      </c>
      <c r="T117" s="0" t="n">
        <f aca="false">SUM(Sheet1!BS117:CB117)</f>
        <v>3.7621</v>
      </c>
      <c r="U117" s="0" t="n">
        <f aca="false">SUM(Sheet1!CC117:CL117)</f>
        <v>0.4787</v>
      </c>
      <c r="V117" s="0" t="n">
        <f aca="false">Sheet1!CM117</f>
        <v>0.466</v>
      </c>
    </row>
    <row r="118" customFormat="false" ht="15" hidden="false" customHeight="false" outlineLevel="0" collapsed="false">
      <c r="A118" s="0" t="str">
        <f aca="false">Sheet1!A118</f>
        <v>N2212</v>
      </c>
      <c r="B118" s="0" t="str">
        <f aca="false">Sheet1!B118</f>
        <v>ADVW</v>
      </c>
      <c r="C118" s="0" t="n">
        <f aca="false">Sheet1!C118</f>
        <v>320</v>
      </c>
      <c r="D118" s="0" t="str">
        <f aca="false">Sheet1!D118</f>
        <v>ADVW.320.4</v>
      </c>
      <c r="E118" s="0" t="n">
        <f aca="false">Sheet1!E118</f>
        <v>0</v>
      </c>
      <c r="F118" s="0" t="n">
        <f aca="false">Sheet1!F118</f>
        <v>0</v>
      </c>
      <c r="G118" s="0" t="n">
        <f aca="false">Sheet1!G118</f>
        <v>743.6223</v>
      </c>
      <c r="H118" s="0" t="n">
        <f aca="false">Sheet1!H118</f>
        <v>76.9311</v>
      </c>
      <c r="I118" s="0" t="n">
        <f aca="false">Sheet1!I118</f>
        <v>241.6862</v>
      </c>
      <c r="J118" s="0" t="n">
        <f aca="false">Sheet1!J118</f>
        <v>1.0345</v>
      </c>
      <c r="K118" s="0" t="n">
        <f aca="false">Sheet1!K118</f>
        <v>0.0127</v>
      </c>
      <c r="L118" s="0" t="n">
        <f aca="false">SUM(Sheet1!O118:R118)</f>
        <v>176.8935</v>
      </c>
      <c r="M118" s="0" t="n">
        <f aca="false">SUM(Sheet1!S118:V118)</f>
        <v>115.8227</v>
      </c>
      <c r="N118" s="0" t="n">
        <f aca="false">SUM(Sheet1!W118:Z118)</f>
        <v>72.2435</v>
      </c>
      <c r="O118" s="0" t="n">
        <f aca="false">SUM(Sheet1!AA118:AD118)</f>
        <v>38.1468</v>
      </c>
      <c r="P118" s="0" t="n">
        <f aca="false">SUM(Sheet1!AE118:AN118)</f>
        <v>105.1234</v>
      </c>
      <c r="Q118" s="0" t="n">
        <f aca="false">SUM(Sheet1!AO118:AX118)</f>
        <v>104.8522</v>
      </c>
      <c r="R118" s="0" t="n">
        <f aca="false">SUM(Sheet1!AY118:BH118)</f>
        <v>62.0907</v>
      </c>
      <c r="S118" s="0" t="n">
        <f aca="false">SUM(Sheet1!BI118:BR118)</f>
        <v>5.5611</v>
      </c>
      <c r="T118" s="0" t="n">
        <f aca="false">SUM(Sheet1!BS118:CB118)</f>
        <v>0.4081</v>
      </c>
      <c r="U118" s="0" t="n">
        <f aca="false">SUM(Sheet1!CC118:CL118)</f>
        <v>0.018</v>
      </c>
      <c r="V118" s="0" t="n">
        <f aca="false">Sheet1!CM118</f>
        <v>0</v>
      </c>
    </row>
    <row r="119" customFormat="false" ht="15" hidden="false" customHeight="false" outlineLevel="0" collapsed="false">
      <c r="A119" s="0" t="str">
        <f aca="false">Sheet1!A119</f>
        <v>N2214</v>
      </c>
      <c r="B119" s="0" t="str">
        <f aca="false">Sheet1!B119</f>
        <v>VWAD</v>
      </c>
      <c r="C119" s="0" t="n">
        <f aca="false">Sheet1!C119</f>
        <v>84</v>
      </c>
      <c r="D119" s="0" t="str">
        <f aca="false">Sheet1!D119</f>
        <v>VWAD.84.4</v>
      </c>
      <c r="E119" s="0" t="e">
        <f aca="false">Sheet1!E119</f>
        <v>#N/A</v>
      </c>
      <c r="F119" s="0" t="n">
        <f aca="false">Sheet1!F119</f>
        <v>1.8072</v>
      </c>
      <c r="G119" s="0" t="n">
        <f aca="false">Sheet1!G119</f>
        <v>1603.0753</v>
      </c>
      <c r="H119" s="0" t="n">
        <f aca="false">Sheet1!H119</f>
        <v>158.9367</v>
      </c>
      <c r="I119" s="0" t="n">
        <f aca="false">Sheet1!I119</f>
        <v>499.3143</v>
      </c>
      <c r="J119" s="0" t="n">
        <f aca="false">Sheet1!J119</f>
        <v>0.77145</v>
      </c>
      <c r="K119" s="0" t="n">
        <f aca="false">Sheet1!K119</f>
        <v>0</v>
      </c>
      <c r="L119" s="0" t="n">
        <f aca="false">SUM(Sheet1!O119:R119)</f>
        <v>464.963</v>
      </c>
      <c r="M119" s="0" t="n">
        <f aca="false">SUM(Sheet1!S119:V119)</f>
        <v>240.8845</v>
      </c>
      <c r="N119" s="0" t="n">
        <f aca="false">SUM(Sheet1!W119:Z119)</f>
        <v>89.0142</v>
      </c>
      <c r="O119" s="0" t="n">
        <f aca="false">SUM(Sheet1!AA119:AD119)</f>
        <v>83.0501</v>
      </c>
      <c r="P119" s="0" t="n">
        <f aca="false">SUM(Sheet1!AE119:AN119)</f>
        <v>303.341</v>
      </c>
      <c r="Q119" s="0" t="n">
        <f aca="false">SUM(Sheet1!AO119:AX119)</f>
        <v>241.7633</v>
      </c>
      <c r="R119" s="0" t="n">
        <f aca="false">SUM(Sheet1!AY119:BH119)</f>
        <v>46.3049</v>
      </c>
      <c r="S119" s="0" t="n">
        <f aca="false">SUM(Sheet1!BI119:BR119)</f>
        <v>11.1918</v>
      </c>
      <c r="T119" s="0" t="n">
        <f aca="false">SUM(Sheet1!BS119:CB119)</f>
        <v>7.6842</v>
      </c>
      <c r="U119" s="0" t="n">
        <f aca="false">SUM(Sheet1!CC119:CL119)</f>
        <v>1.9114</v>
      </c>
      <c r="V119" s="0" t="n">
        <f aca="false">Sheet1!CM119</f>
        <v>1.7168</v>
      </c>
    </row>
    <row r="120" customFormat="false" ht="15" hidden="false" customHeight="false" outlineLevel="0" collapsed="false">
      <c r="A120" s="0" t="str">
        <f aca="false">Sheet1!A120</f>
        <v>N2215</v>
      </c>
      <c r="B120" s="0" t="str">
        <f aca="false">Sheet1!B120</f>
        <v>ADVW</v>
      </c>
      <c r="C120" s="0" t="n">
        <f aca="false">Sheet1!C120</f>
        <v>244</v>
      </c>
      <c r="D120" s="0" t="str">
        <f aca="false">Sheet1!D120</f>
        <v>ADVW.244.4</v>
      </c>
      <c r="E120" s="0" t="n">
        <f aca="false">Sheet1!E120</f>
        <v>0</v>
      </c>
      <c r="F120" s="0" t="n">
        <f aca="false">Sheet1!F120</f>
        <v>0</v>
      </c>
      <c r="G120" s="0" t="n">
        <f aca="false">Sheet1!G120</f>
        <v>2266.8865</v>
      </c>
      <c r="H120" s="0" t="n">
        <f aca="false">Sheet1!H120</f>
        <v>106.4741</v>
      </c>
      <c r="I120" s="0" t="n">
        <f aca="false">Sheet1!I120</f>
        <v>334.4982</v>
      </c>
      <c r="J120" s="0" t="n">
        <f aca="false">Sheet1!J120</f>
        <v>0.4695</v>
      </c>
      <c r="K120" s="0" t="n">
        <f aca="false">Sheet1!K120</f>
        <v>0.0132</v>
      </c>
      <c r="L120" s="0" t="n">
        <f aca="false">SUM(Sheet1!O120:R120)</f>
        <v>786.4177</v>
      </c>
      <c r="M120" s="0" t="n">
        <f aca="false">SUM(Sheet1!S120:V120)</f>
        <v>221.6997</v>
      </c>
      <c r="N120" s="0" t="n">
        <f aca="false">SUM(Sheet1!W120:Z120)</f>
        <v>101.7863</v>
      </c>
      <c r="O120" s="0" t="n">
        <f aca="false">SUM(Sheet1!AA120:AD120)</f>
        <v>74.4137</v>
      </c>
      <c r="P120" s="0" t="n">
        <f aca="false">SUM(Sheet1!AE120:AN120)</f>
        <v>139.4112</v>
      </c>
      <c r="Q120" s="0" t="n">
        <f aca="false">SUM(Sheet1!AO120:AX120)</f>
        <v>103.4533</v>
      </c>
      <c r="R120" s="0" t="n">
        <f aca="false">SUM(Sheet1!AY120:BH120)</f>
        <v>32.108</v>
      </c>
      <c r="S120" s="0" t="n">
        <f aca="false">SUM(Sheet1!BI120:BR120)</f>
        <v>1.9665</v>
      </c>
      <c r="T120" s="0" t="n">
        <f aca="false">SUM(Sheet1!BS120:CB120)</f>
        <v>0</v>
      </c>
      <c r="U120" s="0" t="n">
        <f aca="false">SUM(Sheet1!CC120:CL120)</f>
        <v>0</v>
      </c>
      <c r="V120" s="0" t="n">
        <f aca="false">Sheet1!CM120</f>
        <v>0</v>
      </c>
    </row>
    <row r="121" customFormat="false" ht="15" hidden="false" customHeight="false" outlineLevel="0" collapsed="false">
      <c r="A121" s="0" t="str">
        <f aca="false">Sheet1!A121</f>
        <v>N2217</v>
      </c>
      <c r="B121" s="0" t="str">
        <f aca="false">Sheet1!B121</f>
        <v>ADVW</v>
      </c>
      <c r="C121" s="0" t="n">
        <f aca="false">Sheet1!C121</f>
        <v>238</v>
      </c>
      <c r="D121" s="0" t="str">
        <f aca="false">Sheet1!D121</f>
        <v>ADVW.238.4</v>
      </c>
      <c r="E121" s="0" t="n">
        <f aca="false">Sheet1!E121</f>
        <v>0</v>
      </c>
      <c r="F121" s="0" t="e">
        <f aca="false">Sheet1!F121</f>
        <v>#N/A</v>
      </c>
      <c r="G121" s="0" t="n">
        <f aca="false">Sheet1!G121</f>
        <v>1498.1853</v>
      </c>
      <c r="H121" s="0" t="n">
        <f aca="false">Sheet1!H121</f>
        <v>101.4372</v>
      </c>
      <c r="I121" s="0" t="n">
        <f aca="false">Sheet1!I121</f>
        <v>318.6742</v>
      </c>
      <c r="J121" s="0" t="n">
        <f aca="false">Sheet1!J121</f>
        <v>0.6584</v>
      </c>
      <c r="K121" s="0" t="n">
        <f aca="false">Sheet1!K121</f>
        <v>0</v>
      </c>
      <c r="L121" s="0" t="n">
        <f aca="false">SUM(Sheet1!O121:R121)</f>
        <v>566.5991</v>
      </c>
      <c r="M121" s="0" t="n">
        <f aca="false">SUM(Sheet1!S121:V121)</f>
        <v>247.167</v>
      </c>
      <c r="N121" s="0" t="n">
        <f aca="false">SUM(Sheet1!W121:Z121)</f>
        <v>189.211</v>
      </c>
      <c r="O121" s="0" t="n">
        <f aca="false">SUM(Sheet1!AA121:AD121)</f>
        <v>137.9497</v>
      </c>
      <c r="P121" s="0" t="n">
        <f aca="false">SUM(Sheet1!AE121:AN121)</f>
        <v>157.4515</v>
      </c>
      <c r="Q121" s="0" t="n">
        <f aca="false">SUM(Sheet1!AO121:AX121)</f>
        <v>35.0557</v>
      </c>
      <c r="R121" s="0" t="n">
        <f aca="false">SUM(Sheet1!AY121:BH121)</f>
        <v>12.0008</v>
      </c>
      <c r="S121" s="0" t="n">
        <f aca="false">SUM(Sheet1!BI121:BR121)</f>
        <v>2.7631</v>
      </c>
      <c r="T121" s="0" t="n">
        <f aca="false">SUM(Sheet1!BS121:CB121)</f>
        <v>1.0235</v>
      </c>
      <c r="U121" s="0" t="n">
        <f aca="false">SUM(Sheet1!CC121:CL121)</f>
        <v>0</v>
      </c>
      <c r="V121" s="0" t="n">
        <f aca="false">Sheet1!CM121</f>
        <v>0.2844</v>
      </c>
    </row>
    <row r="122" customFormat="false" ht="15" hidden="false" customHeight="false" outlineLevel="0" collapsed="false">
      <c r="A122" s="0" t="str">
        <f aca="false">Sheet1!A122</f>
        <v>N2218</v>
      </c>
      <c r="B122" s="0" t="str">
        <f aca="false">Sheet1!B122</f>
        <v>VWAD</v>
      </c>
      <c r="C122" s="0" t="n">
        <f aca="false">Sheet1!C122</f>
        <v>139</v>
      </c>
      <c r="D122" s="0" t="str">
        <f aca="false">Sheet1!D122</f>
        <v>VWAD.139.4</v>
      </c>
      <c r="E122" s="0" t="n">
        <f aca="false">Sheet1!E122</f>
        <v>0</v>
      </c>
      <c r="F122" s="0" t="e">
        <f aca="false">Sheet1!F122</f>
        <v>#N/A</v>
      </c>
      <c r="G122" s="0" t="n">
        <f aca="false">Sheet1!G122</f>
        <v>1867.2849</v>
      </c>
      <c r="H122" s="0" t="n">
        <f aca="false">Sheet1!H122</f>
        <v>231.2089</v>
      </c>
      <c r="I122" s="0" t="n">
        <f aca="false">Sheet1!I122</f>
        <v>726.3642</v>
      </c>
      <c r="J122" s="0" t="n">
        <f aca="false">Sheet1!J122</f>
        <v>1.22745</v>
      </c>
      <c r="K122" s="0" t="n">
        <f aca="false">Sheet1!K122</f>
        <v>0</v>
      </c>
      <c r="L122" s="0" t="n">
        <f aca="false">SUM(Sheet1!O122:R122)</f>
        <v>287.8289</v>
      </c>
      <c r="M122" s="0" t="n">
        <f aca="false">SUM(Sheet1!S122:V122)</f>
        <v>171.9044</v>
      </c>
      <c r="N122" s="0" t="n">
        <f aca="false">SUM(Sheet1!W122:Z122)</f>
        <v>144.7118</v>
      </c>
      <c r="O122" s="0" t="n">
        <f aca="false">SUM(Sheet1!AA122:AD122)</f>
        <v>141.2979</v>
      </c>
      <c r="P122" s="0" t="n">
        <f aca="false">SUM(Sheet1!AE122:AN122)</f>
        <v>413.4572</v>
      </c>
      <c r="Q122" s="0" t="n">
        <f aca="false">SUM(Sheet1!AO122:AX122)</f>
        <v>440.827</v>
      </c>
      <c r="R122" s="0" t="n">
        <f aca="false">SUM(Sheet1!AY122:BH122)</f>
        <v>148.6468</v>
      </c>
      <c r="S122" s="0" t="n">
        <f aca="false">SUM(Sheet1!BI122:BR122)</f>
        <v>18.288</v>
      </c>
      <c r="T122" s="0" t="n">
        <f aca="false">SUM(Sheet1!BS122:CB122)</f>
        <v>3.5691</v>
      </c>
      <c r="U122" s="0" t="n">
        <f aca="false">SUM(Sheet1!CC122:CL122)</f>
        <v>1.2838</v>
      </c>
      <c r="V122" s="0" t="n">
        <f aca="false">Sheet1!CM122</f>
        <v>0</v>
      </c>
    </row>
    <row r="123" customFormat="false" ht="15" hidden="false" customHeight="false" outlineLevel="0" collapsed="false">
      <c r="A123" s="0" t="str">
        <f aca="false">Sheet1!A123</f>
        <v>N2303</v>
      </c>
      <c r="B123" s="0" t="str">
        <f aca="false">Sheet1!B123</f>
        <v>ADVW</v>
      </c>
      <c r="C123" s="0" t="n">
        <f aca="false">Sheet1!C123</f>
        <v>220</v>
      </c>
      <c r="D123" s="0" t="str">
        <f aca="false">Sheet1!D123</f>
        <v>ADVW.220.4</v>
      </c>
      <c r="E123" s="0" t="e">
        <f aca="false">Sheet1!E123</f>
        <v>#N/A</v>
      </c>
      <c r="F123" s="0" t="e">
        <f aca="false">Sheet1!F123</f>
        <v>#N/A</v>
      </c>
      <c r="G123" s="0" t="n">
        <f aca="false">Sheet1!G123</f>
        <v>2885.9063</v>
      </c>
      <c r="H123" s="0" t="n">
        <f aca="false">Sheet1!H123</f>
        <v>172.4911</v>
      </c>
      <c r="I123" s="0" t="n">
        <f aca="false">Sheet1!I123</f>
        <v>541.8966</v>
      </c>
      <c r="J123" s="0" t="n">
        <f aca="false">Sheet1!J123</f>
        <v>0.58595</v>
      </c>
      <c r="K123" s="0" t="n">
        <f aca="false">Sheet1!K123</f>
        <v>0</v>
      </c>
      <c r="L123" s="0" t="n">
        <f aca="false">SUM(Sheet1!O123:R123)</f>
        <v>540.5316</v>
      </c>
      <c r="M123" s="0" t="n">
        <f aca="false">SUM(Sheet1!S123:V123)</f>
        <v>302.8687</v>
      </c>
      <c r="N123" s="0" t="n">
        <f aca="false">SUM(Sheet1!W123:Z123)</f>
        <v>181.215</v>
      </c>
      <c r="O123" s="0" t="n">
        <f aca="false">SUM(Sheet1!AA123:AD123)</f>
        <v>121.734</v>
      </c>
      <c r="P123" s="0" t="n">
        <f aca="false">SUM(Sheet1!AE123:AN123)</f>
        <v>286.3655</v>
      </c>
      <c r="Q123" s="0" t="n">
        <f aca="false">SUM(Sheet1!AO123:AX123)</f>
        <v>243.054</v>
      </c>
      <c r="R123" s="0" t="n">
        <f aca="false">SUM(Sheet1!AY123:BH123)</f>
        <v>56.3273</v>
      </c>
      <c r="S123" s="0" t="n">
        <f aca="false">SUM(Sheet1!BI123:BR123)</f>
        <v>5.9096</v>
      </c>
      <c r="T123" s="0" t="n">
        <f aca="false">SUM(Sheet1!BS123:CB123)</f>
        <v>0.9558</v>
      </c>
      <c r="U123" s="0" t="n">
        <f aca="false">SUM(Sheet1!CC123:CL123)</f>
        <v>0.0069</v>
      </c>
      <c r="V123" s="0" t="n">
        <f aca="false">Sheet1!CM123</f>
        <v>0</v>
      </c>
    </row>
    <row r="124" customFormat="false" ht="15" hidden="false" customHeight="false" outlineLevel="0" collapsed="false">
      <c r="A124" s="0" t="str">
        <f aca="false">Sheet1!A124</f>
        <v>N2307</v>
      </c>
      <c r="B124" s="0" t="str">
        <f aca="false">Sheet1!B124</f>
        <v>VWAD</v>
      </c>
      <c r="C124" s="0" t="n">
        <f aca="false">Sheet1!C124</f>
        <v>152</v>
      </c>
      <c r="D124" s="0" t="str">
        <f aca="false">Sheet1!D124</f>
        <v>VWAD.152.4</v>
      </c>
      <c r="E124" s="0" t="n">
        <f aca="false">Sheet1!E124</f>
        <v>0</v>
      </c>
      <c r="F124" s="0" t="e">
        <f aca="false">Sheet1!F124</f>
        <v>#N/A</v>
      </c>
      <c r="G124" s="0" t="n">
        <f aca="false">Sheet1!G124</f>
        <v>1793.6384</v>
      </c>
      <c r="H124" s="0" t="n">
        <f aca="false">Sheet1!H124</f>
        <v>119.1572</v>
      </c>
      <c r="I124" s="0" t="n">
        <f aca="false">Sheet1!I124</f>
        <v>374.3436</v>
      </c>
      <c r="J124" s="0" t="n">
        <f aca="false">Sheet1!J124</f>
        <v>0.656633333333333</v>
      </c>
      <c r="K124" s="0" t="n">
        <f aca="false">Sheet1!K124</f>
        <v>0</v>
      </c>
      <c r="L124" s="0" t="n">
        <f aca="false">SUM(Sheet1!O124:R124)</f>
        <v>365.6708</v>
      </c>
      <c r="M124" s="0" t="n">
        <f aca="false">SUM(Sheet1!S124:V124)</f>
        <v>192.5819</v>
      </c>
      <c r="N124" s="0" t="n">
        <f aca="false">SUM(Sheet1!W124:Z124)</f>
        <v>103.2213</v>
      </c>
      <c r="O124" s="0" t="n">
        <f aca="false">SUM(Sheet1!AA124:AD124)</f>
        <v>78.2065</v>
      </c>
      <c r="P124" s="0" t="n">
        <f aca="false">SUM(Sheet1!AE124:AN124)</f>
        <v>289.4238</v>
      </c>
      <c r="Q124" s="0" t="n">
        <f aca="false">SUM(Sheet1!AO124:AX124)</f>
        <v>152.3093</v>
      </c>
      <c r="R124" s="0" t="n">
        <f aca="false">SUM(Sheet1!AY124:BH124)</f>
        <v>19.4211</v>
      </c>
      <c r="S124" s="0" t="n">
        <f aca="false">SUM(Sheet1!BI124:BR124)</f>
        <v>5.7576</v>
      </c>
      <c r="T124" s="0" t="n">
        <f aca="false">SUM(Sheet1!BS124:CB124)</f>
        <v>1.91</v>
      </c>
      <c r="U124" s="0" t="n">
        <f aca="false">SUM(Sheet1!CC124:CL124)</f>
        <v>0.6334</v>
      </c>
      <c r="V124" s="0" t="n">
        <f aca="false">Sheet1!CM124</f>
        <v>0</v>
      </c>
    </row>
    <row r="125" customFormat="false" ht="15" hidden="false" customHeight="false" outlineLevel="0" collapsed="false">
      <c r="A125" s="0" t="str">
        <f aca="false">Sheet1!A125</f>
        <v>N2310</v>
      </c>
      <c r="B125" s="0" t="str">
        <f aca="false">Sheet1!B125</f>
        <v>VWAD</v>
      </c>
      <c r="C125" s="0" t="n">
        <f aca="false">Sheet1!C125</f>
        <v>26</v>
      </c>
      <c r="D125" s="0" t="str">
        <f aca="false">Sheet1!D125</f>
        <v>VWAD.26.8</v>
      </c>
      <c r="E125" s="0" t="n">
        <f aca="false">Sheet1!E125</f>
        <v>0</v>
      </c>
      <c r="F125" s="0" t="n">
        <f aca="false">Sheet1!F125</f>
        <v>0</v>
      </c>
      <c r="G125" s="0" t="n">
        <f aca="false">Sheet1!G125</f>
        <v>1779.9168</v>
      </c>
      <c r="H125" s="0" t="n">
        <f aca="false">Sheet1!H125</f>
        <v>201.0592</v>
      </c>
      <c r="I125" s="0" t="n">
        <f aca="false">Sheet1!I125</f>
        <v>631.6462</v>
      </c>
      <c r="J125" s="0" t="n">
        <f aca="false">Sheet1!J125</f>
        <v>1.01845</v>
      </c>
      <c r="K125" s="0" t="n">
        <f aca="false">Sheet1!K125</f>
        <v>0.0153</v>
      </c>
      <c r="L125" s="0" t="n">
        <f aca="false">SUM(Sheet1!O125:R125)</f>
        <v>362.3231</v>
      </c>
      <c r="M125" s="0" t="n">
        <f aca="false">SUM(Sheet1!S125:V125)</f>
        <v>256.6574</v>
      </c>
      <c r="N125" s="0" t="n">
        <f aca="false">SUM(Sheet1!W125:Z125)</f>
        <v>203.9562</v>
      </c>
      <c r="O125" s="0" t="n">
        <f aca="false">SUM(Sheet1!AA125:AD125)</f>
        <v>118.8961</v>
      </c>
      <c r="P125" s="0" t="n">
        <f aca="false">SUM(Sheet1!AE125:AN125)</f>
        <v>222.5629</v>
      </c>
      <c r="Q125" s="0" t="n">
        <f aca="false">SUM(Sheet1!AO125:AX125)</f>
        <v>265.6605</v>
      </c>
      <c r="R125" s="0" t="n">
        <f aca="false">SUM(Sheet1!AY125:BH125)</f>
        <v>131.0697</v>
      </c>
      <c r="S125" s="0" t="n">
        <f aca="false">SUM(Sheet1!BI125:BR125)</f>
        <v>35.0765</v>
      </c>
      <c r="T125" s="0" t="n">
        <f aca="false">SUM(Sheet1!BS125:CB125)</f>
        <v>16.6672</v>
      </c>
      <c r="U125" s="0" t="n">
        <f aca="false">SUM(Sheet1!CC125:CL125)</f>
        <v>11.6077</v>
      </c>
      <c r="V125" s="0" t="n">
        <f aca="false">Sheet1!CM125</f>
        <v>7.3311</v>
      </c>
    </row>
    <row r="126" customFormat="false" ht="15" hidden="false" customHeight="false" outlineLevel="0" collapsed="false">
      <c r="A126" s="0" t="str">
        <f aca="false">Sheet1!A126</f>
        <v>N2313</v>
      </c>
      <c r="B126" s="0" t="str">
        <f aca="false">Sheet1!B126</f>
        <v>ADVW</v>
      </c>
      <c r="C126" s="0" t="n">
        <f aca="false">Sheet1!C126</f>
        <v>287</v>
      </c>
      <c r="D126" s="0" t="str">
        <f aca="false">Sheet1!D126</f>
        <v>ADVW.287.4</v>
      </c>
      <c r="E126" s="0" t="n">
        <f aca="false">Sheet1!E126</f>
        <v>0</v>
      </c>
      <c r="F126" s="0" t="e">
        <f aca="false">Sheet1!F126</f>
        <v>#N/A</v>
      </c>
      <c r="G126" s="0" t="n">
        <f aca="false">Sheet1!G126</f>
        <v>377.9854</v>
      </c>
      <c r="H126" s="0" t="n">
        <f aca="false">Sheet1!H126</f>
        <v>23.7216</v>
      </c>
      <c r="I126" s="0" t="n">
        <f aca="false">Sheet1!I126</f>
        <v>74.5236</v>
      </c>
      <c r="J126" s="0" t="n">
        <f aca="false">Sheet1!J126</f>
        <v>0.6276</v>
      </c>
      <c r="K126" s="0" t="n">
        <f aca="false">Sheet1!K126</f>
        <v>0</v>
      </c>
      <c r="L126" s="0" t="n">
        <f aca="false">SUM(Sheet1!O126:R126)</f>
        <v>71.4781</v>
      </c>
      <c r="M126" s="0" t="n">
        <f aca="false">SUM(Sheet1!S126:V126)</f>
        <v>35.4627</v>
      </c>
      <c r="N126" s="0" t="n">
        <f aca="false">SUM(Sheet1!W126:Z126)</f>
        <v>29.7568</v>
      </c>
      <c r="O126" s="0" t="n">
        <f aca="false">SUM(Sheet1!AA126:AD126)</f>
        <v>31.6913</v>
      </c>
      <c r="P126" s="0" t="n">
        <f aca="false">SUM(Sheet1!AE126:AN126)</f>
        <v>54.4317</v>
      </c>
      <c r="Q126" s="0" t="n">
        <f aca="false">SUM(Sheet1!AO126:AX126)</f>
        <v>26.8496</v>
      </c>
      <c r="R126" s="0" t="n">
        <f aca="false">SUM(Sheet1!AY126:BH126)</f>
        <v>2.8837</v>
      </c>
      <c r="S126" s="0" t="n">
        <f aca="false">SUM(Sheet1!BI126:BR126)</f>
        <v>0.0227</v>
      </c>
      <c r="T126" s="0" t="n">
        <f aca="false">SUM(Sheet1!BS126:CB126)</f>
        <v>0</v>
      </c>
      <c r="U126" s="0" t="n">
        <f aca="false">SUM(Sheet1!CC126:CL126)</f>
        <v>0</v>
      </c>
      <c r="V126" s="0" t="n">
        <f aca="false">Sheet1!CM126</f>
        <v>0</v>
      </c>
    </row>
    <row r="127" customFormat="false" ht="15" hidden="false" customHeight="false" outlineLevel="0" collapsed="false">
      <c r="A127" s="0" t="str">
        <f aca="false">Sheet1!A127</f>
        <v>N2317</v>
      </c>
      <c r="B127" s="0" t="str">
        <f aca="false">Sheet1!B127</f>
        <v>VWAD</v>
      </c>
      <c r="C127" s="0" t="n">
        <f aca="false">Sheet1!C127</f>
        <v>28</v>
      </c>
      <c r="D127" s="0" t="str">
        <f aca="false">Sheet1!D127</f>
        <v>VWAD.28.4</v>
      </c>
      <c r="E127" s="0" t="n">
        <f aca="false">Sheet1!E127</f>
        <v>0</v>
      </c>
      <c r="F127" s="0" t="e">
        <f aca="false">Sheet1!F127</f>
        <v>#N/A</v>
      </c>
      <c r="G127" s="0" t="n">
        <f aca="false">Sheet1!G127</f>
        <v>7413.0048</v>
      </c>
      <c r="H127" s="0" t="n">
        <f aca="false">Sheet1!H127</f>
        <v>505.9566</v>
      </c>
      <c r="I127" s="0" t="n">
        <f aca="false">Sheet1!I127</f>
        <v>1589.5089</v>
      </c>
      <c r="J127" s="0" t="n">
        <f aca="false">Sheet1!J127</f>
        <v>0.699258333333334</v>
      </c>
      <c r="K127" s="0" t="n">
        <f aca="false">Sheet1!K127</f>
        <v>0</v>
      </c>
      <c r="L127" s="0" t="n">
        <f aca="false">SUM(Sheet1!O127:R127)</f>
        <v>1338.1237</v>
      </c>
      <c r="M127" s="0" t="n">
        <f aca="false">SUM(Sheet1!S127:V127)</f>
        <v>778.1441</v>
      </c>
      <c r="N127" s="0" t="n">
        <f aca="false">SUM(Sheet1!W127:Z127)</f>
        <v>598.5507</v>
      </c>
      <c r="O127" s="0" t="n">
        <f aca="false">SUM(Sheet1!AA127:AD127)</f>
        <v>446.8262</v>
      </c>
      <c r="P127" s="0" t="n">
        <f aca="false">SUM(Sheet1!AE127:AN127)</f>
        <v>771.0604</v>
      </c>
      <c r="Q127" s="0" t="n">
        <f aca="false">SUM(Sheet1!AO127:AX127)</f>
        <v>660.9118</v>
      </c>
      <c r="R127" s="0" t="n">
        <f aca="false">SUM(Sheet1!AY127:BH127)</f>
        <v>183.5553</v>
      </c>
      <c r="S127" s="0" t="n">
        <f aca="false">SUM(Sheet1!BI127:BR127)</f>
        <v>50.881</v>
      </c>
      <c r="T127" s="0" t="n">
        <f aca="false">SUM(Sheet1!BS127:CB127)</f>
        <v>14.3493</v>
      </c>
      <c r="U127" s="0" t="n">
        <f aca="false">SUM(Sheet1!CC127:CL127)</f>
        <v>2.8967</v>
      </c>
      <c r="V127" s="0" t="n">
        <f aca="false">Sheet1!CM127</f>
        <v>0.4137</v>
      </c>
    </row>
    <row r="128" customFormat="false" ht="15" hidden="false" customHeight="false" outlineLevel="0" collapsed="false">
      <c r="A128" s="0" t="str">
        <f aca="false">Sheet1!A128</f>
        <v>N2319</v>
      </c>
      <c r="B128" s="0" t="str">
        <f aca="false">Sheet1!B128</f>
        <v>ADVW</v>
      </c>
      <c r="C128" s="0" t="n">
        <f aca="false">Sheet1!C128</f>
        <v>264</v>
      </c>
      <c r="D128" s="0" t="str">
        <f aca="false">Sheet1!D128</f>
        <v>ADVW.264.4</v>
      </c>
      <c r="E128" s="0" t="n">
        <f aca="false">Sheet1!E128</f>
        <v>0</v>
      </c>
      <c r="F128" s="0" t="n">
        <f aca="false">Sheet1!F128</f>
        <v>0</v>
      </c>
      <c r="G128" s="0" t="n">
        <f aca="false">Sheet1!G128</f>
        <v>1706.0677</v>
      </c>
      <c r="H128" s="0" t="n">
        <f aca="false">Sheet1!H128</f>
        <v>130.5086</v>
      </c>
      <c r="I128" s="0" t="n">
        <f aca="false">Sheet1!I128</f>
        <v>410.005</v>
      </c>
      <c r="J128" s="0" t="n">
        <f aca="false">Sheet1!J128</f>
        <v>0.731133333333333</v>
      </c>
      <c r="K128" s="0" t="n">
        <f aca="false">Sheet1!K128</f>
        <v>0</v>
      </c>
      <c r="L128" s="0" t="n">
        <f aca="false">SUM(Sheet1!O128:R128)</f>
        <v>368.3174</v>
      </c>
      <c r="M128" s="0" t="n">
        <f aca="false">SUM(Sheet1!S128:V128)</f>
        <v>192.5911</v>
      </c>
      <c r="N128" s="0" t="n">
        <f aca="false">SUM(Sheet1!W128:Z128)</f>
        <v>127.3638</v>
      </c>
      <c r="O128" s="0" t="n">
        <f aca="false">SUM(Sheet1!AA128:AD128)</f>
        <v>105.9558</v>
      </c>
      <c r="P128" s="0" t="n">
        <f aca="false">SUM(Sheet1!AE128:AN128)</f>
        <v>194.7115</v>
      </c>
      <c r="Q128" s="0" t="n">
        <f aca="false">SUM(Sheet1!AO128:AX128)</f>
        <v>222.7312</v>
      </c>
      <c r="R128" s="0" t="n">
        <f aca="false">SUM(Sheet1!AY128:BH128)</f>
        <v>57.8664</v>
      </c>
      <c r="S128" s="0" t="n">
        <f aca="false">SUM(Sheet1!BI128:BR128)</f>
        <v>8.629</v>
      </c>
      <c r="T128" s="0" t="n">
        <f aca="false">SUM(Sheet1!BS128:CB128)</f>
        <v>2.2635</v>
      </c>
      <c r="U128" s="0" t="n">
        <f aca="false">SUM(Sheet1!CC128:CL128)</f>
        <v>0.5131</v>
      </c>
      <c r="V128" s="0" t="n">
        <f aca="false">Sheet1!CM128</f>
        <v>0</v>
      </c>
    </row>
    <row r="129" customFormat="false" ht="15" hidden="false" customHeight="false" outlineLevel="0" collapsed="false">
      <c r="A129" s="0" t="str">
        <f aca="false">Sheet1!A129</f>
        <v>N2401</v>
      </c>
      <c r="B129" s="0" t="str">
        <f aca="false">Sheet1!B129</f>
        <v>VWAD</v>
      </c>
      <c r="C129" s="0" t="n">
        <f aca="false">Sheet1!C129</f>
        <v>164</v>
      </c>
      <c r="D129" s="0" t="str">
        <f aca="false">Sheet1!D129</f>
        <v>VWAD.164.4</v>
      </c>
      <c r="E129" s="0" t="n">
        <f aca="false">Sheet1!E129</f>
        <v>0</v>
      </c>
      <c r="F129" s="0" t="e">
        <f aca="false">Sheet1!F129</f>
        <v>#N/A</v>
      </c>
      <c r="G129" s="0" t="n">
        <f aca="false">Sheet1!G129</f>
        <v>2723.513</v>
      </c>
      <c r="H129" s="0" t="n">
        <f aca="false">Sheet1!H129</f>
        <v>208.0582</v>
      </c>
      <c r="I129" s="0" t="n">
        <f aca="false">Sheet1!I129</f>
        <v>653.6342</v>
      </c>
      <c r="J129" s="0" t="n">
        <f aca="false">Sheet1!J129</f>
        <v>0.747033333333333</v>
      </c>
      <c r="K129" s="0" t="n">
        <f aca="false">Sheet1!K129</f>
        <v>0.0254</v>
      </c>
      <c r="L129" s="0" t="n">
        <f aca="false">SUM(Sheet1!O129:R129)</f>
        <v>901.5583</v>
      </c>
      <c r="M129" s="0" t="n">
        <f aca="false">SUM(Sheet1!S129:V129)</f>
        <v>575.93</v>
      </c>
      <c r="N129" s="0" t="n">
        <f aca="false">SUM(Sheet1!W129:Z129)</f>
        <v>266.9557</v>
      </c>
      <c r="O129" s="0" t="n">
        <f aca="false">SUM(Sheet1!AA129:AD129)</f>
        <v>149.8294</v>
      </c>
      <c r="P129" s="0" t="n">
        <f aca="false">SUM(Sheet1!AE129:AN129)</f>
        <v>296.5684</v>
      </c>
      <c r="Q129" s="0" t="n">
        <f aca="false">SUM(Sheet1!AO129:AX129)</f>
        <v>221.9435</v>
      </c>
      <c r="R129" s="0" t="n">
        <f aca="false">SUM(Sheet1!AY129:BH129)</f>
        <v>39.4831</v>
      </c>
      <c r="S129" s="0" t="n">
        <f aca="false">SUM(Sheet1!BI129:BR129)</f>
        <v>5.8221</v>
      </c>
      <c r="T129" s="0" t="n">
        <f aca="false">SUM(Sheet1!BS129:CB129)</f>
        <v>2.3992</v>
      </c>
      <c r="U129" s="0" t="n">
        <f aca="false">SUM(Sheet1!CC129:CL129)</f>
        <v>1.1415</v>
      </c>
      <c r="V129" s="0" t="n">
        <f aca="false">Sheet1!CM129</f>
        <v>0.2126</v>
      </c>
    </row>
    <row r="130" customFormat="false" ht="15" hidden="false" customHeight="false" outlineLevel="0" collapsed="false">
      <c r="A130" s="0" t="str">
        <f aca="false">Sheet1!A130</f>
        <v>N2402</v>
      </c>
      <c r="B130" s="0" t="str">
        <f aca="false">Sheet1!B130</f>
        <v>VWAD</v>
      </c>
      <c r="C130" s="0" t="n">
        <f aca="false">Sheet1!C130</f>
        <v>176</v>
      </c>
      <c r="D130" s="0" t="str">
        <f aca="false">Sheet1!D130</f>
        <v>VWAD.176.4</v>
      </c>
      <c r="E130" s="0" t="n">
        <f aca="false">Sheet1!E130</f>
        <v>0</v>
      </c>
      <c r="F130" s="0" t="n">
        <f aca="false">Sheet1!F130</f>
        <v>0</v>
      </c>
      <c r="G130" s="0" t="n">
        <f aca="false">Sheet1!G130</f>
        <v>3086.9683</v>
      </c>
      <c r="H130" s="0" t="n">
        <f aca="false">Sheet1!H130</f>
        <v>135.3244</v>
      </c>
      <c r="I130" s="0" t="n">
        <f aca="false">Sheet1!I130</f>
        <v>425.134</v>
      </c>
      <c r="J130" s="0" t="n">
        <f aca="false">Sheet1!J130</f>
        <v>0.37062</v>
      </c>
      <c r="K130" s="0" t="n">
        <f aca="false">Sheet1!K130</f>
        <v>0.0503</v>
      </c>
      <c r="L130" s="0" t="n">
        <f aca="false">SUM(Sheet1!O130:R130)</f>
        <v>974.3214</v>
      </c>
      <c r="M130" s="0" t="n">
        <f aca="false">SUM(Sheet1!S130:V130)</f>
        <v>276.3067</v>
      </c>
      <c r="N130" s="0" t="n">
        <f aca="false">SUM(Sheet1!W130:Z130)</f>
        <v>140.4675</v>
      </c>
      <c r="O130" s="0" t="n">
        <f aca="false">SUM(Sheet1!AA130:AD130)</f>
        <v>109.2584</v>
      </c>
      <c r="P130" s="0" t="n">
        <f aca="false">SUM(Sheet1!AE130:AN130)</f>
        <v>226.2002</v>
      </c>
      <c r="Q130" s="0" t="n">
        <f aca="false">SUM(Sheet1!AO130:AX130)</f>
        <v>111.182</v>
      </c>
      <c r="R130" s="0" t="n">
        <f aca="false">SUM(Sheet1!AY130:BH130)</f>
        <v>11.6578</v>
      </c>
      <c r="S130" s="0" t="n">
        <f aca="false">SUM(Sheet1!BI130:BR130)</f>
        <v>1.8527</v>
      </c>
      <c r="T130" s="0" t="n">
        <f aca="false">SUM(Sheet1!BS130:CB130)</f>
        <v>0</v>
      </c>
      <c r="U130" s="0" t="n">
        <f aca="false">SUM(Sheet1!CC130:CL130)</f>
        <v>0.1973</v>
      </c>
      <c r="V130" s="0" t="n">
        <f aca="false">Sheet1!CM130</f>
        <v>0</v>
      </c>
    </row>
    <row r="131" customFormat="false" ht="15" hidden="false" customHeight="false" outlineLevel="0" collapsed="false">
      <c r="A131" s="0" t="str">
        <f aca="false">Sheet1!A131</f>
        <v>N2407</v>
      </c>
      <c r="B131" s="0" t="str">
        <f aca="false">Sheet1!B131</f>
        <v>VWAD</v>
      </c>
      <c r="C131" s="0" t="n">
        <f aca="false">Sheet1!C131</f>
        <v>42</v>
      </c>
      <c r="D131" s="0" t="str">
        <f aca="false">Sheet1!D131</f>
        <v>VWAD.42.4</v>
      </c>
      <c r="E131" s="0" t="n">
        <f aca="false">Sheet1!E131</f>
        <v>0</v>
      </c>
      <c r="F131" s="0" t="n">
        <f aca="false">Sheet1!F131</f>
        <v>0</v>
      </c>
      <c r="G131" s="0" t="n">
        <f aca="false">Sheet1!G131</f>
        <v>3685.3549</v>
      </c>
      <c r="H131" s="0" t="n">
        <f aca="false">Sheet1!H131</f>
        <v>199.6404</v>
      </c>
      <c r="I131" s="0" t="n">
        <f aca="false">Sheet1!I131</f>
        <v>627.1889</v>
      </c>
      <c r="J131" s="0" t="n">
        <f aca="false">Sheet1!J131</f>
        <v>0.49305</v>
      </c>
      <c r="K131" s="0" t="n">
        <f aca="false">Sheet1!K131</f>
        <v>0.0451</v>
      </c>
      <c r="L131" s="0" t="n">
        <f aca="false">SUM(Sheet1!O131:R131)</f>
        <v>1023.9766</v>
      </c>
      <c r="M131" s="0" t="n">
        <f aca="false">SUM(Sheet1!S131:V131)</f>
        <v>386.19</v>
      </c>
      <c r="N131" s="0" t="n">
        <f aca="false">SUM(Sheet1!W131:Z131)</f>
        <v>212.2561</v>
      </c>
      <c r="O131" s="0" t="n">
        <f aca="false">SUM(Sheet1!AA131:AD131)</f>
        <v>109.2888</v>
      </c>
      <c r="P131" s="0" t="n">
        <f aca="false">SUM(Sheet1!AE131:AN131)</f>
        <v>364.2709</v>
      </c>
      <c r="Q131" s="0" t="n">
        <f aca="false">SUM(Sheet1!AO131:AX131)</f>
        <v>222.4075</v>
      </c>
      <c r="R131" s="0" t="n">
        <f aca="false">SUM(Sheet1!AY131:BH131)</f>
        <v>56.1455</v>
      </c>
      <c r="S131" s="0" t="n">
        <f aca="false">SUM(Sheet1!BI131:BR131)</f>
        <v>12.4882</v>
      </c>
      <c r="T131" s="0" t="n">
        <f aca="false">SUM(Sheet1!BS131:CB131)</f>
        <v>1.6903</v>
      </c>
      <c r="U131" s="0" t="n">
        <f aca="false">SUM(Sheet1!CC131:CL131)</f>
        <v>1.1899</v>
      </c>
      <c r="V131" s="0" t="n">
        <f aca="false">Sheet1!CM131</f>
        <v>0.4911</v>
      </c>
    </row>
    <row r="132" customFormat="false" ht="15" hidden="false" customHeight="false" outlineLevel="0" collapsed="false">
      <c r="A132" s="0" t="str">
        <f aca="false">Sheet1!A132</f>
        <v>N2410</v>
      </c>
      <c r="B132" s="0" t="str">
        <f aca="false">Sheet1!B132</f>
        <v>ADVW</v>
      </c>
      <c r="C132" s="0" t="n">
        <f aca="false">Sheet1!C132</f>
        <v>325</v>
      </c>
      <c r="D132" s="0" t="str">
        <f aca="false">Sheet1!D132</f>
        <v>ADVW.325.4</v>
      </c>
      <c r="E132" s="0" t="n">
        <f aca="false">Sheet1!E132</f>
        <v>0</v>
      </c>
      <c r="F132" s="0" t="n">
        <f aca="false">Sheet1!F132</f>
        <v>0</v>
      </c>
      <c r="G132" s="0" t="n">
        <f aca="false">Sheet1!G132</f>
        <v>974.2848</v>
      </c>
      <c r="H132" s="0" t="n">
        <f aca="false">Sheet1!H132</f>
        <v>69.224</v>
      </c>
      <c r="I132" s="0" t="n">
        <f aca="false">Sheet1!I132</f>
        <v>217.4736</v>
      </c>
      <c r="J132" s="0" t="n">
        <f aca="false">Sheet1!J132</f>
        <v>0.7105</v>
      </c>
      <c r="K132" s="0" t="n">
        <f aca="false">Sheet1!K132</f>
        <v>0.0127</v>
      </c>
      <c r="L132" s="0" t="n">
        <f aca="false">SUM(Sheet1!O132:R132)</f>
        <v>231.316</v>
      </c>
      <c r="M132" s="0" t="n">
        <f aca="false">SUM(Sheet1!S132:V132)</f>
        <v>115.0393</v>
      </c>
      <c r="N132" s="0" t="n">
        <f aca="false">SUM(Sheet1!W132:Z132)</f>
        <v>80.2428</v>
      </c>
      <c r="O132" s="0" t="n">
        <f aca="false">SUM(Sheet1!AA132:AD132)</f>
        <v>53.7585</v>
      </c>
      <c r="P132" s="0" t="n">
        <f aca="false">SUM(Sheet1!AE132:AN132)</f>
        <v>128.8296</v>
      </c>
      <c r="Q132" s="0" t="n">
        <f aca="false">SUM(Sheet1!AO132:AX132)</f>
        <v>96.1261</v>
      </c>
      <c r="R132" s="0" t="n">
        <f aca="false">SUM(Sheet1!AY132:BH132)</f>
        <v>28.3665</v>
      </c>
      <c r="S132" s="0" t="n">
        <f aca="false">SUM(Sheet1!BI132:BR132)</f>
        <v>3.2071</v>
      </c>
      <c r="T132" s="0" t="n">
        <f aca="false">SUM(Sheet1!BS132:CB132)</f>
        <v>0.231</v>
      </c>
      <c r="U132" s="0" t="n">
        <f aca="false">SUM(Sheet1!CC132:CL132)</f>
        <v>0.1385</v>
      </c>
      <c r="V132" s="0" t="n">
        <f aca="false">Sheet1!CM132</f>
        <v>0</v>
      </c>
    </row>
    <row r="133" customFormat="false" ht="15" hidden="false" customHeight="false" outlineLevel="0" collapsed="false">
      <c r="A133" s="0" t="str">
        <f aca="false">Sheet1!A133</f>
        <v>N2415</v>
      </c>
      <c r="B133" s="0" t="str">
        <f aca="false">Sheet1!B133</f>
        <v>ADVW</v>
      </c>
      <c r="C133" s="0" t="n">
        <f aca="false">Sheet1!C133</f>
        <v>283</v>
      </c>
      <c r="D133" s="0" t="str">
        <f aca="false">Sheet1!D133</f>
        <v>ADVW.283.4</v>
      </c>
      <c r="E133" s="0" t="n">
        <f aca="false">Sheet1!E133</f>
        <v>0</v>
      </c>
      <c r="F133" s="0" t="n">
        <f aca="false">Sheet1!F133</f>
        <v>0</v>
      </c>
      <c r="G133" s="0" t="n">
        <f aca="false">Sheet1!G133</f>
        <v>983.5668</v>
      </c>
      <c r="H133" s="0" t="n">
        <f aca="false">Sheet1!H133</f>
        <v>57.905</v>
      </c>
      <c r="I133" s="0" t="n">
        <f aca="false">Sheet1!I133</f>
        <v>181.9139</v>
      </c>
      <c r="J133" s="0" t="n">
        <f aca="false">Sheet1!J133</f>
        <v>0.5887</v>
      </c>
      <c r="K133" s="0" t="n">
        <f aca="false">Sheet1!K133</f>
        <v>0</v>
      </c>
      <c r="L133" s="0" t="n">
        <f aca="false">SUM(Sheet1!O133:R133)</f>
        <v>219.3912</v>
      </c>
      <c r="M133" s="0" t="n">
        <f aca="false">SUM(Sheet1!S133:V133)</f>
        <v>134.2719</v>
      </c>
      <c r="N133" s="0" t="n">
        <f aca="false">SUM(Sheet1!W133:Z133)</f>
        <v>93.2795</v>
      </c>
      <c r="O133" s="0" t="n">
        <f aca="false">SUM(Sheet1!AA133:AD133)</f>
        <v>38.5477</v>
      </c>
      <c r="P133" s="0" t="n">
        <f aca="false">SUM(Sheet1!AE133:AN133)</f>
        <v>75.7956</v>
      </c>
      <c r="Q133" s="0" t="n">
        <f aca="false">SUM(Sheet1!AO133:AX133)</f>
        <v>64.1598</v>
      </c>
      <c r="R133" s="0" t="n">
        <f aca="false">SUM(Sheet1!AY133:BH133)</f>
        <v>19.5625</v>
      </c>
      <c r="S133" s="0" t="n">
        <f aca="false">SUM(Sheet1!BI133:BR133)</f>
        <v>9.0026</v>
      </c>
      <c r="T133" s="0" t="n">
        <f aca="false">SUM(Sheet1!BS133:CB133)</f>
        <v>2.2295</v>
      </c>
      <c r="U133" s="0" t="n">
        <f aca="false">SUM(Sheet1!CC133:CL133)</f>
        <v>0</v>
      </c>
      <c r="V133" s="0" t="n">
        <f aca="false">Sheet1!CM133</f>
        <v>0</v>
      </c>
    </row>
    <row r="134" customFormat="false" ht="15" hidden="false" customHeight="false" outlineLevel="0" collapsed="false">
      <c r="A134" s="0" t="str">
        <f aca="false">Sheet1!A134</f>
        <v>N2417</v>
      </c>
      <c r="B134" s="0" t="str">
        <f aca="false">Sheet1!B134</f>
        <v>VWAD</v>
      </c>
      <c r="C134" s="0" t="n">
        <f aca="false">Sheet1!C134</f>
        <v>127</v>
      </c>
      <c r="D134" s="0" t="str">
        <f aca="false">Sheet1!D134</f>
        <v>VWAD.127.4</v>
      </c>
      <c r="E134" s="0" t="n">
        <f aca="false">Sheet1!E134</f>
        <v>0</v>
      </c>
      <c r="F134" s="0" t="n">
        <f aca="false">Sheet1!F134</f>
        <v>0</v>
      </c>
      <c r="G134" s="0" t="n">
        <f aca="false">Sheet1!G134</f>
        <v>1483.0828</v>
      </c>
      <c r="H134" s="0" t="n">
        <f aca="false">Sheet1!H134</f>
        <v>100.0929</v>
      </c>
      <c r="I134" s="0" t="n">
        <f aca="false">Sheet1!I134</f>
        <v>314.4511</v>
      </c>
      <c r="J134" s="0" t="n">
        <f aca="false">Sheet1!J134</f>
        <v>0.6927</v>
      </c>
      <c r="K134" s="0" t="n">
        <f aca="false">Sheet1!K134</f>
        <v>0</v>
      </c>
      <c r="L134" s="0" t="n">
        <f aca="false">SUM(Sheet1!O134:R134)</f>
        <v>297.5576</v>
      </c>
      <c r="M134" s="0" t="n">
        <f aca="false">SUM(Sheet1!S134:V134)</f>
        <v>221.1734</v>
      </c>
      <c r="N134" s="0" t="n">
        <f aca="false">SUM(Sheet1!W134:Z134)</f>
        <v>167.1594</v>
      </c>
      <c r="O134" s="0" t="n">
        <f aca="false">SUM(Sheet1!AA134:AD134)</f>
        <v>105.3218</v>
      </c>
      <c r="P134" s="0" t="n">
        <f aca="false">SUM(Sheet1!AE134:AN134)</f>
        <v>225.274</v>
      </c>
      <c r="Q134" s="0" t="n">
        <f aca="false">SUM(Sheet1!AO134:AX134)</f>
        <v>118.4224</v>
      </c>
      <c r="R134" s="0" t="n">
        <f aca="false">SUM(Sheet1!AY134:BH134)</f>
        <v>11.5002</v>
      </c>
      <c r="S134" s="0" t="n">
        <f aca="false">SUM(Sheet1!BI134:BR134)</f>
        <v>0.561</v>
      </c>
      <c r="T134" s="0" t="n">
        <f aca="false">SUM(Sheet1!BS134:CB134)</f>
        <v>0</v>
      </c>
      <c r="U134" s="0" t="n">
        <f aca="false">SUM(Sheet1!CC134:CL134)</f>
        <v>0</v>
      </c>
      <c r="V134" s="0" t="n">
        <f aca="false">Sheet1!CM134</f>
        <v>0</v>
      </c>
    </row>
    <row r="135" customFormat="false" ht="15" hidden="false" customHeight="false" outlineLevel="0" collapsed="false">
      <c r="A135" s="0" t="str">
        <f aca="false">Sheet1!A135</f>
        <v>N2419</v>
      </c>
      <c r="B135" s="0" t="str">
        <f aca="false">Sheet1!B135</f>
        <v>VWAD</v>
      </c>
      <c r="C135" s="0" t="n">
        <f aca="false">Sheet1!C135</f>
        <v>44</v>
      </c>
      <c r="D135" s="0" t="str">
        <f aca="false">Sheet1!D135</f>
        <v>VWAD.44.4</v>
      </c>
      <c r="E135" s="0" t="n">
        <f aca="false">Sheet1!E135</f>
        <v>0</v>
      </c>
      <c r="F135" s="0" t="n">
        <f aca="false">Sheet1!F135</f>
        <v>0</v>
      </c>
      <c r="G135" s="0" t="n">
        <f aca="false">Sheet1!G135</f>
        <v>4115.9796</v>
      </c>
      <c r="H135" s="0" t="n">
        <f aca="false">Sheet1!H135</f>
        <v>281.8827</v>
      </c>
      <c r="I135" s="0" t="n">
        <f aca="false">Sheet1!I135</f>
        <v>885.5606</v>
      </c>
      <c r="J135" s="0" t="n">
        <f aca="false">Sheet1!J135</f>
        <v>0.6532</v>
      </c>
      <c r="K135" s="0" t="n">
        <f aca="false">Sheet1!K135</f>
        <v>0.0367</v>
      </c>
      <c r="L135" s="0" t="n">
        <f aca="false">SUM(Sheet1!O135:R135)</f>
        <v>969.1152</v>
      </c>
      <c r="M135" s="0" t="n">
        <f aca="false">SUM(Sheet1!S135:V135)</f>
        <v>452.3413</v>
      </c>
      <c r="N135" s="0" t="n">
        <f aca="false">SUM(Sheet1!W135:Z135)</f>
        <v>340.9818</v>
      </c>
      <c r="O135" s="0" t="n">
        <f aca="false">SUM(Sheet1!AA135:AD135)</f>
        <v>255.9524</v>
      </c>
      <c r="P135" s="0" t="n">
        <f aca="false">SUM(Sheet1!AE135:AN135)</f>
        <v>662.9075</v>
      </c>
      <c r="Q135" s="0" t="n">
        <f aca="false">SUM(Sheet1!AO135:AX135)</f>
        <v>354.5933</v>
      </c>
      <c r="R135" s="0" t="n">
        <f aca="false">SUM(Sheet1!AY135:BH135)</f>
        <v>53.2764</v>
      </c>
      <c r="S135" s="0" t="n">
        <f aca="false">SUM(Sheet1!BI135:BR135)</f>
        <v>10.4994</v>
      </c>
      <c r="T135" s="0" t="n">
        <f aca="false">SUM(Sheet1!BS135:CB135)</f>
        <v>0.3114</v>
      </c>
      <c r="U135" s="0" t="n">
        <f aca="false">SUM(Sheet1!CC135:CL135)</f>
        <v>0.3739</v>
      </c>
      <c r="V135" s="0" t="n">
        <f aca="false">Sheet1!CM135</f>
        <v>0.2607</v>
      </c>
    </row>
    <row r="136" customFormat="false" ht="15" hidden="false" customHeight="false" outlineLevel="0" collapsed="false">
      <c r="A136" s="0" t="str">
        <f aca="false">Sheet1!A136</f>
        <v>N2504</v>
      </c>
      <c r="B136" s="0" t="str">
        <f aca="false">Sheet1!B136</f>
        <v>ADVW</v>
      </c>
      <c r="C136" s="0" t="n">
        <f aca="false">Sheet1!C136</f>
        <v>222</v>
      </c>
      <c r="D136" s="0" t="str">
        <f aca="false">Sheet1!D136</f>
        <v>ADVW.222.4</v>
      </c>
      <c r="E136" s="0" t="n">
        <f aca="false">Sheet1!E136</f>
        <v>0</v>
      </c>
      <c r="F136" s="0" t="n">
        <f aca="false">Sheet1!F136</f>
        <v>0</v>
      </c>
      <c r="G136" s="0" t="n">
        <f aca="false">Sheet1!G136</f>
        <v>3070.4389</v>
      </c>
      <c r="H136" s="0" t="n">
        <f aca="false">Sheet1!H136</f>
        <v>222.3591</v>
      </c>
      <c r="I136" s="0" t="n">
        <f aca="false">Sheet1!I136</f>
        <v>698.5621</v>
      </c>
      <c r="J136" s="0" t="n">
        <f aca="false">Sheet1!J136</f>
        <v>0.758066666666667</v>
      </c>
      <c r="K136" s="0" t="n">
        <f aca="false">Sheet1!K136</f>
        <v>0</v>
      </c>
      <c r="L136" s="0" t="n">
        <f aca="false">SUM(Sheet1!O136:R136)</f>
        <v>846.4837</v>
      </c>
      <c r="M136" s="0" t="n">
        <f aca="false">SUM(Sheet1!S136:V136)</f>
        <v>354.9231</v>
      </c>
      <c r="N136" s="0" t="n">
        <f aca="false">SUM(Sheet1!W136:Z136)</f>
        <v>252.467</v>
      </c>
      <c r="O136" s="0" t="n">
        <f aca="false">SUM(Sheet1!AA136:AD136)</f>
        <v>148.3853</v>
      </c>
      <c r="P136" s="0" t="n">
        <f aca="false">SUM(Sheet1!AE136:AN136)</f>
        <v>307.1047</v>
      </c>
      <c r="Q136" s="0" t="n">
        <f aca="false">SUM(Sheet1!AO136:AX136)</f>
        <v>317.7002</v>
      </c>
      <c r="R136" s="0" t="n">
        <f aca="false">SUM(Sheet1!AY136:BH136)</f>
        <v>145.8809</v>
      </c>
      <c r="S136" s="0" t="n">
        <f aca="false">SUM(Sheet1!BI136:BR136)</f>
        <v>18.5058</v>
      </c>
      <c r="T136" s="0" t="n">
        <f aca="false">SUM(Sheet1!BS136:CB136)</f>
        <v>1.8508</v>
      </c>
      <c r="U136" s="0" t="n">
        <f aca="false">SUM(Sheet1!CC136:CL136)</f>
        <v>0.7733</v>
      </c>
      <c r="V136" s="0" t="n">
        <f aca="false">Sheet1!CM136</f>
        <v>0.5953</v>
      </c>
    </row>
    <row r="137" customFormat="false" ht="15" hidden="false" customHeight="false" outlineLevel="0" collapsed="false">
      <c r="A137" s="0" t="str">
        <f aca="false">Sheet1!A137</f>
        <v>N2507</v>
      </c>
      <c r="B137" s="0" t="str">
        <f aca="false">Sheet1!B137</f>
        <v>ADVW</v>
      </c>
      <c r="C137" s="0" t="n">
        <f aca="false">Sheet1!C137</f>
        <v>357</v>
      </c>
      <c r="D137" s="0" t="str">
        <f aca="false">Sheet1!D137</f>
        <v>ADVW.357.4</v>
      </c>
      <c r="E137" s="0" t="e">
        <f aca="false">Sheet1!E137</f>
        <v>#N/A</v>
      </c>
      <c r="F137" s="0" t="n">
        <f aca="false">Sheet1!F137</f>
        <v>0.9389</v>
      </c>
      <c r="G137" s="0" t="n">
        <f aca="false">Sheet1!G137</f>
        <v>677.6382</v>
      </c>
      <c r="H137" s="0" t="n">
        <f aca="false">Sheet1!H137</f>
        <v>66.0003</v>
      </c>
      <c r="I137" s="0" t="n">
        <f aca="false">Sheet1!I137</f>
        <v>207.346</v>
      </c>
      <c r="J137" s="0" t="n">
        <f aca="false">Sheet1!J137</f>
        <v>0.974</v>
      </c>
      <c r="K137" s="0" t="n">
        <f aca="false">Sheet1!K137</f>
        <v>0.0069</v>
      </c>
      <c r="L137" s="0" t="n">
        <f aca="false">SUM(Sheet1!O137:R137)</f>
        <v>197.206</v>
      </c>
      <c r="M137" s="0" t="n">
        <f aca="false">SUM(Sheet1!S137:V137)</f>
        <v>93.6955</v>
      </c>
      <c r="N137" s="0" t="n">
        <f aca="false">SUM(Sheet1!W137:Z137)</f>
        <v>55.2265</v>
      </c>
      <c r="O137" s="0" t="n">
        <f aca="false">SUM(Sheet1!AA137:AD137)</f>
        <v>39.2396</v>
      </c>
      <c r="P137" s="0" t="n">
        <f aca="false">SUM(Sheet1!AE137:AN137)</f>
        <v>108.5328</v>
      </c>
      <c r="Q137" s="0" t="n">
        <f aca="false">SUM(Sheet1!AO137:AX137)</f>
        <v>102.1316</v>
      </c>
      <c r="R137" s="0" t="n">
        <f aca="false">SUM(Sheet1!AY137:BH137)</f>
        <v>23.9518</v>
      </c>
      <c r="S137" s="0" t="n">
        <f aca="false">SUM(Sheet1!BI137:BR137)</f>
        <v>3.7063</v>
      </c>
      <c r="T137" s="0" t="n">
        <f aca="false">SUM(Sheet1!BS137:CB137)</f>
        <v>1.7135</v>
      </c>
      <c r="U137" s="0" t="n">
        <f aca="false">SUM(Sheet1!CC137:CL137)</f>
        <v>1.5892</v>
      </c>
      <c r="V137" s="0" t="n">
        <f aca="false">Sheet1!CM137</f>
        <v>1.6137</v>
      </c>
    </row>
    <row r="138" customFormat="false" ht="15" hidden="false" customHeight="false" outlineLevel="0" collapsed="false">
      <c r="A138" s="0" t="str">
        <f aca="false">Sheet1!A138</f>
        <v>N2511</v>
      </c>
      <c r="B138" s="0" t="str">
        <f aca="false">Sheet1!B138</f>
        <v>ADVW</v>
      </c>
      <c r="C138" s="0" t="n">
        <f aca="false">Sheet1!C138</f>
        <v>202</v>
      </c>
      <c r="D138" s="0" t="str">
        <f aca="false">Sheet1!D138</f>
        <v>ADVW.202.4</v>
      </c>
      <c r="E138" s="0" t="n">
        <f aca="false">Sheet1!E138</f>
        <v>0</v>
      </c>
      <c r="F138" s="0" t="e">
        <f aca="false">Sheet1!F138</f>
        <v>#N/A</v>
      </c>
      <c r="G138" s="0" t="n">
        <f aca="false">Sheet1!G138</f>
        <v>1736.9796</v>
      </c>
      <c r="H138" s="0" t="n">
        <f aca="false">Sheet1!H138</f>
        <v>118.819</v>
      </c>
      <c r="I138" s="0" t="n">
        <f aca="false">Sheet1!I138</f>
        <v>373.2807</v>
      </c>
      <c r="J138" s="0" t="n">
        <f aca="false">Sheet1!J138</f>
        <v>0.684133333333333</v>
      </c>
      <c r="K138" s="0" t="n">
        <f aca="false">Sheet1!K138</f>
        <v>0</v>
      </c>
      <c r="L138" s="0" t="n">
        <f aca="false">SUM(Sheet1!O138:R138)</f>
        <v>319.4049</v>
      </c>
      <c r="M138" s="0" t="n">
        <f aca="false">SUM(Sheet1!S138:V138)</f>
        <v>187.8307</v>
      </c>
      <c r="N138" s="0" t="n">
        <f aca="false">SUM(Sheet1!W138:Z138)</f>
        <v>88.7374</v>
      </c>
      <c r="O138" s="0" t="n">
        <f aca="false">SUM(Sheet1!AA138:AD138)</f>
        <v>85.8419</v>
      </c>
      <c r="P138" s="0" t="n">
        <f aca="false">SUM(Sheet1!AE138:AN138)</f>
        <v>276.4809</v>
      </c>
      <c r="Q138" s="0" t="n">
        <f aca="false">SUM(Sheet1!AO138:AX138)</f>
        <v>176.7253</v>
      </c>
      <c r="R138" s="0" t="n">
        <f aca="false">SUM(Sheet1!AY138:BH138)</f>
        <v>19.8099</v>
      </c>
      <c r="S138" s="0" t="n">
        <f aca="false">SUM(Sheet1!BI138:BR138)</f>
        <v>2.561</v>
      </c>
      <c r="T138" s="0" t="n">
        <f aca="false">SUM(Sheet1!BS138:CB138)</f>
        <v>0.4437</v>
      </c>
      <c r="U138" s="0" t="n">
        <f aca="false">SUM(Sheet1!CC138:CL138)</f>
        <v>1.2914</v>
      </c>
      <c r="V138" s="0" t="n">
        <f aca="false">Sheet1!CM138</f>
        <v>0</v>
      </c>
    </row>
    <row r="139" customFormat="false" ht="15" hidden="false" customHeight="false" outlineLevel="0" collapsed="false">
      <c r="A139" s="0" t="str">
        <f aca="false">Sheet1!A139</f>
        <v>N2512</v>
      </c>
      <c r="B139" s="0" t="str">
        <f aca="false">Sheet1!B139</f>
        <v>VWAD</v>
      </c>
      <c r="C139" s="0" t="n">
        <f aca="false">Sheet1!C139</f>
        <v>157</v>
      </c>
      <c r="D139" s="0" t="str">
        <f aca="false">Sheet1!D139</f>
        <v>VWAD.157.4</v>
      </c>
      <c r="E139" s="0" t="n">
        <f aca="false">Sheet1!E139</f>
        <v>0</v>
      </c>
      <c r="F139" s="0" t="n">
        <f aca="false">Sheet1!F139</f>
        <v>0</v>
      </c>
      <c r="G139" s="0" t="n">
        <f aca="false">Sheet1!G139</f>
        <v>1795.013</v>
      </c>
      <c r="H139" s="0" t="n">
        <f aca="false">Sheet1!H139</f>
        <v>126.8978</v>
      </c>
      <c r="I139" s="0" t="n">
        <f aca="false">Sheet1!I139</f>
        <v>398.6611</v>
      </c>
      <c r="J139" s="0" t="n">
        <f aca="false">Sheet1!J139</f>
        <v>0.7272</v>
      </c>
      <c r="K139" s="0" t="n">
        <f aca="false">Sheet1!K139</f>
        <v>0</v>
      </c>
      <c r="L139" s="0" t="n">
        <f aca="false">SUM(Sheet1!O139:R139)</f>
        <v>469.203</v>
      </c>
      <c r="M139" s="0" t="n">
        <f aca="false">SUM(Sheet1!S139:V139)</f>
        <v>159.2572</v>
      </c>
      <c r="N139" s="0" t="n">
        <f aca="false">SUM(Sheet1!W139:Z139)</f>
        <v>125.9522</v>
      </c>
      <c r="O139" s="0" t="n">
        <f aca="false">SUM(Sheet1!AA139:AD139)</f>
        <v>68.7243</v>
      </c>
      <c r="P139" s="0" t="n">
        <f aca="false">SUM(Sheet1!AE139:AN139)</f>
        <v>217.9777</v>
      </c>
      <c r="Q139" s="0" t="n">
        <f aca="false">SUM(Sheet1!AO139:AX139)</f>
        <v>200.8522</v>
      </c>
      <c r="R139" s="0" t="n">
        <f aca="false">SUM(Sheet1!AY139:BH139)</f>
        <v>63.2187</v>
      </c>
      <c r="S139" s="0" t="n">
        <f aca="false">SUM(Sheet1!BI139:BR139)</f>
        <v>7.2703</v>
      </c>
      <c r="T139" s="0" t="n">
        <f aca="false">SUM(Sheet1!BS139:CB139)</f>
        <v>1.5427</v>
      </c>
      <c r="U139" s="0" t="n">
        <f aca="false">SUM(Sheet1!CC139:CL139)</f>
        <v>0.1752</v>
      </c>
      <c r="V139" s="0" t="n">
        <f aca="false">Sheet1!CM139</f>
        <v>0.1269</v>
      </c>
    </row>
    <row r="140" customFormat="false" ht="15" hidden="false" customHeight="false" outlineLevel="0" collapsed="false">
      <c r="A140" s="0" t="str">
        <f aca="false">Sheet1!A140</f>
        <v>N2513</v>
      </c>
      <c r="B140" s="0" t="str">
        <f aca="false">Sheet1!B140</f>
        <v>ADVW</v>
      </c>
      <c r="C140" s="0" t="n">
        <f aca="false">Sheet1!C140</f>
        <v>314</v>
      </c>
      <c r="D140" s="0" t="str">
        <f aca="false">Sheet1!D140</f>
        <v>ADVW.314.4</v>
      </c>
      <c r="E140" s="0" t="e">
        <f aca="false">Sheet1!E140</f>
        <v>#N/A</v>
      </c>
      <c r="F140" s="0" t="n">
        <f aca="false">Sheet1!F140</f>
        <v>3.8549</v>
      </c>
      <c r="G140" s="0" t="n">
        <f aca="false">Sheet1!G140</f>
        <v>3930.1181</v>
      </c>
      <c r="H140" s="0" t="n">
        <f aca="false">Sheet1!H140</f>
        <v>246.2862</v>
      </c>
      <c r="I140" s="0" t="n">
        <f aca="false">Sheet1!I140</f>
        <v>773.731</v>
      </c>
      <c r="J140" s="0" t="n">
        <f aca="false">Sheet1!J140</f>
        <v>0.6272375</v>
      </c>
      <c r="K140" s="0" t="n">
        <f aca="false">Sheet1!K140</f>
        <v>0</v>
      </c>
      <c r="L140" s="0" t="n">
        <f aca="false">SUM(Sheet1!O140:R140)</f>
        <v>944.5478</v>
      </c>
      <c r="M140" s="0" t="n">
        <f aca="false">SUM(Sheet1!S140:V140)</f>
        <v>458.4759</v>
      </c>
      <c r="N140" s="0" t="n">
        <f aca="false">SUM(Sheet1!W140:Z140)</f>
        <v>256.0637</v>
      </c>
      <c r="O140" s="0" t="n">
        <f aca="false">SUM(Sheet1!AA140:AD140)</f>
        <v>190.7269</v>
      </c>
      <c r="P140" s="0" t="n">
        <f aca="false">SUM(Sheet1!AE140:AN140)</f>
        <v>409.7264</v>
      </c>
      <c r="Q140" s="0" t="n">
        <f aca="false">SUM(Sheet1!AO140:AX140)</f>
        <v>272.8436</v>
      </c>
      <c r="R140" s="0" t="n">
        <f aca="false">SUM(Sheet1!AY140:BH140)</f>
        <v>60.8609</v>
      </c>
      <c r="S140" s="0" t="n">
        <f aca="false">SUM(Sheet1!BI140:BR140)</f>
        <v>14.1974</v>
      </c>
      <c r="T140" s="0" t="n">
        <f aca="false">SUM(Sheet1!BS140:CB140)</f>
        <v>7.0743</v>
      </c>
      <c r="U140" s="0" t="n">
        <f aca="false">SUM(Sheet1!CC140:CL140)</f>
        <v>2.8983</v>
      </c>
      <c r="V140" s="0" t="n">
        <f aca="false">Sheet1!CM140</f>
        <v>2.3674</v>
      </c>
    </row>
    <row r="141" customFormat="false" ht="15" hidden="false" customHeight="false" outlineLevel="0" collapsed="false">
      <c r="A141" s="0" t="str">
        <f aca="false">Sheet1!A141</f>
        <v>N2514</v>
      </c>
      <c r="B141" s="0" t="str">
        <f aca="false">Sheet1!B141</f>
        <v>VWAD</v>
      </c>
      <c r="C141" s="0" t="n">
        <f aca="false">Sheet1!C141</f>
        <v>27</v>
      </c>
      <c r="D141" s="0" t="str">
        <f aca="false">Sheet1!D141</f>
        <v>VWAD.27.4</v>
      </c>
      <c r="E141" s="0" t="n">
        <f aca="false">Sheet1!E141</f>
        <v>0</v>
      </c>
      <c r="F141" s="0" t="n">
        <f aca="false">Sheet1!F141</f>
        <v>2.9315</v>
      </c>
      <c r="G141" s="0" t="n">
        <f aca="false">Sheet1!G141</f>
        <v>2323.4397</v>
      </c>
      <c r="H141" s="0" t="n">
        <f aca="false">Sheet1!H141</f>
        <v>223.6935</v>
      </c>
      <c r="I141" s="0" t="n">
        <f aca="false">Sheet1!I141</f>
        <v>702.754</v>
      </c>
      <c r="J141" s="0" t="n">
        <f aca="false">Sheet1!J141</f>
        <v>0.8656</v>
      </c>
      <c r="K141" s="0" t="n">
        <f aca="false">Sheet1!K141</f>
        <v>0</v>
      </c>
      <c r="L141" s="0" t="n">
        <f aca="false">SUM(Sheet1!O141:R141)</f>
        <v>723.4776</v>
      </c>
      <c r="M141" s="0" t="n">
        <f aca="false">SUM(Sheet1!S141:V141)</f>
        <v>365.6617</v>
      </c>
      <c r="N141" s="0" t="n">
        <f aca="false">SUM(Sheet1!W141:Z141)</f>
        <v>210.7691</v>
      </c>
      <c r="O141" s="0" t="n">
        <f aca="false">SUM(Sheet1!AA141:AD141)</f>
        <v>148.644</v>
      </c>
      <c r="P141" s="0" t="n">
        <f aca="false">SUM(Sheet1!AE141:AN141)</f>
        <v>318.5417</v>
      </c>
      <c r="Q141" s="0" t="n">
        <f aca="false">SUM(Sheet1!AO141:AX141)</f>
        <v>284.8536</v>
      </c>
      <c r="R141" s="0" t="n">
        <f aca="false">SUM(Sheet1!AY141:BH141)</f>
        <v>92.7408</v>
      </c>
      <c r="S141" s="0" t="n">
        <f aca="false">SUM(Sheet1!BI141:BR141)</f>
        <v>18.4059</v>
      </c>
      <c r="T141" s="0" t="n">
        <f aca="false">SUM(Sheet1!BS141:CB141)</f>
        <v>8.0848</v>
      </c>
      <c r="U141" s="0" t="n">
        <f aca="false">SUM(Sheet1!CC141:CL141)</f>
        <v>7.2576</v>
      </c>
      <c r="V141" s="0" t="n">
        <f aca="false">Sheet1!CM141</f>
        <v>4.3839</v>
      </c>
    </row>
    <row r="142" customFormat="false" ht="15" hidden="false" customHeight="false" outlineLevel="0" collapsed="false">
      <c r="A142" s="0" t="str">
        <f aca="false">Sheet1!A142</f>
        <v>N2515</v>
      </c>
      <c r="B142" s="0" t="str">
        <f aca="false">Sheet1!B142</f>
        <v>ADVW</v>
      </c>
      <c r="C142" s="0" t="n">
        <f aca="false">Sheet1!C142</f>
        <v>213</v>
      </c>
      <c r="D142" s="0" t="str">
        <f aca="false">Sheet1!D142</f>
        <v>ADVW.213.4</v>
      </c>
      <c r="E142" s="0" t="str">
        <f aca="false">Sheet1!E142</f>
        <v>REDO</v>
      </c>
      <c r="F142" s="0" t="n">
        <f aca="false">Sheet1!F142</f>
        <v>0</v>
      </c>
      <c r="G142" s="0" t="n">
        <f aca="false">Sheet1!G142</f>
        <v>4498.1173</v>
      </c>
      <c r="H142" s="0" t="n">
        <f aca="false">Sheet1!H142</f>
        <v>195.1772</v>
      </c>
      <c r="I142" s="0" t="n">
        <f aca="false">Sheet1!I142</f>
        <v>613.1678</v>
      </c>
      <c r="J142" s="0" t="n">
        <f aca="false">Sheet1!J142</f>
        <v>0.423266666666667</v>
      </c>
      <c r="K142" s="0" t="n">
        <f aca="false">Sheet1!K142</f>
        <v>0.0303</v>
      </c>
      <c r="L142" s="0" t="n">
        <f aca="false">SUM(Sheet1!O142:R142)</f>
        <v>1780.3677</v>
      </c>
      <c r="M142" s="0" t="n">
        <f aca="false">SUM(Sheet1!S142:V142)</f>
        <v>487.3733</v>
      </c>
      <c r="N142" s="0" t="n">
        <f aca="false">SUM(Sheet1!W142:Z142)</f>
        <v>282.3072</v>
      </c>
      <c r="O142" s="0" t="n">
        <f aca="false">SUM(Sheet1!AA142:AD142)</f>
        <v>153.7622</v>
      </c>
      <c r="P142" s="0" t="n">
        <f aca="false">SUM(Sheet1!AE142:AN142)</f>
        <v>222.5341</v>
      </c>
      <c r="Q142" s="0" t="n">
        <f aca="false">SUM(Sheet1!AO142:AX142)</f>
        <v>159.6878</v>
      </c>
      <c r="R142" s="0" t="n">
        <f aca="false">SUM(Sheet1!AY142:BH142)</f>
        <v>12.0554</v>
      </c>
      <c r="S142" s="0" t="n">
        <f aca="false">SUM(Sheet1!BI142:BR142)</f>
        <v>1.036</v>
      </c>
      <c r="T142" s="0" t="n">
        <f aca="false">SUM(Sheet1!BS142:CB142)</f>
        <v>0</v>
      </c>
      <c r="U142" s="0" t="n">
        <f aca="false">SUM(Sheet1!CC142:CL142)</f>
        <v>0</v>
      </c>
      <c r="V142" s="0" t="n">
        <f aca="false">Sheet1!CM142</f>
        <v>0</v>
      </c>
    </row>
    <row r="143" customFormat="false" ht="15" hidden="false" customHeight="false" outlineLevel="0" collapsed="false">
      <c r="A143" s="0" t="str">
        <f aca="false">Sheet1!A143</f>
        <v>N2516</v>
      </c>
      <c r="B143" s="0" t="str">
        <f aca="false">Sheet1!B143</f>
        <v>VWAD</v>
      </c>
      <c r="C143" s="0" t="n">
        <f aca="false">Sheet1!C143</f>
        <v>158</v>
      </c>
      <c r="D143" s="0" t="str">
        <f aca="false">Sheet1!D143</f>
        <v>VWAD.158.4</v>
      </c>
      <c r="E143" s="0" t="n">
        <f aca="false">Sheet1!E143</f>
        <v>0</v>
      </c>
      <c r="F143" s="0" t="e">
        <f aca="false">Sheet1!F143</f>
        <v>#N/A</v>
      </c>
      <c r="G143" s="0" t="n">
        <f aca="false">Sheet1!G143</f>
        <v>3654.6161</v>
      </c>
      <c r="H143" s="0" t="n">
        <f aca="false">Sheet1!H143</f>
        <v>180.1334</v>
      </c>
      <c r="I143" s="0" t="n">
        <f aca="false">Sheet1!I143</f>
        <v>565.9053</v>
      </c>
      <c r="J143" s="0" t="n">
        <f aca="false">Sheet1!J143</f>
        <v>0.487183333333333</v>
      </c>
      <c r="K143" s="0" t="n">
        <f aca="false">Sheet1!K143</f>
        <v>0</v>
      </c>
      <c r="L143" s="0" t="n">
        <f aca="false">SUM(Sheet1!O143:R143)</f>
        <v>733.6082</v>
      </c>
      <c r="M143" s="0" t="n">
        <f aca="false">SUM(Sheet1!S143:V143)</f>
        <v>472.3815</v>
      </c>
      <c r="N143" s="0" t="n">
        <f aca="false">SUM(Sheet1!W143:Z143)</f>
        <v>332.2799</v>
      </c>
      <c r="O143" s="0" t="n">
        <f aca="false">SUM(Sheet1!AA143:AD143)</f>
        <v>243.5569</v>
      </c>
      <c r="P143" s="0" t="n">
        <f aca="false">SUM(Sheet1!AE143:AN143)</f>
        <v>274.235</v>
      </c>
      <c r="Q143" s="0" t="n">
        <f aca="false">SUM(Sheet1!AO143:AX143)</f>
        <v>106.8439</v>
      </c>
      <c r="R143" s="0" t="n">
        <f aca="false">SUM(Sheet1!AY143:BH143)</f>
        <v>15.036</v>
      </c>
      <c r="S143" s="0" t="n">
        <f aca="false">SUM(Sheet1!BI143:BR143)</f>
        <v>1.804</v>
      </c>
      <c r="T143" s="0" t="n">
        <f aca="false">SUM(Sheet1!BS143:CB143)</f>
        <v>0.0741</v>
      </c>
      <c r="U143" s="0" t="n">
        <f aca="false">SUM(Sheet1!CC143:CL143)</f>
        <v>0.4901</v>
      </c>
      <c r="V143" s="0" t="n">
        <f aca="false">Sheet1!CM143</f>
        <v>0</v>
      </c>
    </row>
    <row r="144" customFormat="false" ht="15" hidden="false" customHeight="false" outlineLevel="0" collapsed="false">
      <c r="A144" s="0" t="str">
        <f aca="false">Sheet1!A144</f>
        <v>N2518</v>
      </c>
      <c r="B144" s="0" t="str">
        <f aca="false">Sheet1!B144</f>
        <v>ADVW</v>
      </c>
      <c r="C144" s="0" t="n">
        <f aca="false">Sheet1!C144</f>
        <v>368</v>
      </c>
      <c r="D144" s="0" t="str">
        <f aca="false">Sheet1!D144</f>
        <v>ADVW.368.4</v>
      </c>
      <c r="E144" s="0" t="e">
        <f aca="false">Sheet1!E144</f>
        <v>#N/A</v>
      </c>
      <c r="F144" s="0" t="n">
        <f aca="false">Sheet1!F144</f>
        <v>0</v>
      </c>
      <c r="G144" s="0" t="n">
        <f aca="false">Sheet1!G144</f>
        <v>2177.4992</v>
      </c>
      <c r="H144" s="0" t="n">
        <f aca="false">Sheet1!H144</f>
        <v>148.6485</v>
      </c>
      <c r="I144" s="0" t="n">
        <f aca="false">Sheet1!I144</f>
        <v>466.9928</v>
      </c>
      <c r="J144" s="0" t="n">
        <f aca="false">Sheet1!J144</f>
        <v>0.63595</v>
      </c>
      <c r="K144" s="0" t="n">
        <f aca="false">Sheet1!K144</f>
        <v>0</v>
      </c>
      <c r="L144" s="0" t="n">
        <f aca="false">SUM(Sheet1!O144:R144)</f>
        <v>378.9939</v>
      </c>
      <c r="M144" s="0" t="n">
        <f aca="false">SUM(Sheet1!S144:V144)</f>
        <v>154.5779</v>
      </c>
      <c r="N144" s="0" t="n">
        <f aca="false">SUM(Sheet1!W144:Z144)</f>
        <v>98.0627</v>
      </c>
      <c r="O144" s="0" t="n">
        <f aca="false">SUM(Sheet1!AA144:AD144)</f>
        <v>111.0488</v>
      </c>
      <c r="P144" s="0" t="n">
        <f aca="false">SUM(Sheet1!AE144:AN144)</f>
        <v>352.97</v>
      </c>
      <c r="Q144" s="0" t="n">
        <f aca="false">SUM(Sheet1!AO144:AX144)</f>
        <v>219.813</v>
      </c>
      <c r="R144" s="0" t="n">
        <f aca="false">SUM(Sheet1!AY144:BH144)</f>
        <v>39.8592</v>
      </c>
      <c r="S144" s="0" t="n">
        <f aca="false">SUM(Sheet1!BI144:BR144)</f>
        <v>3.3747</v>
      </c>
      <c r="T144" s="0" t="n">
        <f aca="false">SUM(Sheet1!BS144:CB144)</f>
        <v>0.2559</v>
      </c>
      <c r="U144" s="0" t="n">
        <f aca="false">SUM(Sheet1!CC144:CL144)</f>
        <v>0</v>
      </c>
      <c r="V144" s="0" t="n">
        <f aca="false">Sheet1!CM144</f>
        <v>0</v>
      </c>
    </row>
    <row r="145" customFormat="false" ht="15" hidden="false" customHeight="false" outlineLevel="0" collapsed="false">
      <c r="A145" s="0" t="str">
        <f aca="false">Sheet1!A145</f>
        <v>N2601</v>
      </c>
      <c r="B145" s="0" t="str">
        <f aca="false">Sheet1!B145</f>
        <v>VWAD</v>
      </c>
      <c r="C145" s="0" t="n">
        <f aca="false">Sheet1!C145</f>
        <v>119</v>
      </c>
      <c r="D145" s="0" t="str">
        <f aca="false">Sheet1!D145</f>
        <v>VWAD.119.4</v>
      </c>
      <c r="E145" s="0" t="n">
        <f aca="false">Sheet1!E145</f>
        <v>0</v>
      </c>
      <c r="F145" s="0" t="n">
        <f aca="false">Sheet1!F145</f>
        <v>6.549</v>
      </c>
      <c r="G145" s="0" t="n">
        <f aca="false">Sheet1!G145</f>
        <v>5114.6765</v>
      </c>
      <c r="H145" s="0" t="n">
        <f aca="false">Sheet1!H145</f>
        <v>377.9283</v>
      </c>
      <c r="I145" s="0" t="n">
        <f aca="false">Sheet1!I145</f>
        <v>1187.2966</v>
      </c>
      <c r="J145" s="0" t="n">
        <f aca="false">Sheet1!J145</f>
        <v>0.71455</v>
      </c>
      <c r="K145" s="0" t="n">
        <f aca="false">Sheet1!K145</f>
        <v>0</v>
      </c>
      <c r="L145" s="0" t="n">
        <f aca="false">SUM(Sheet1!O145:R145)</f>
        <v>1080.1558</v>
      </c>
      <c r="M145" s="0" t="n">
        <f aca="false">SUM(Sheet1!S145:V145)</f>
        <v>567.2406</v>
      </c>
      <c r="N145" s="0" t="n">
        <f aca="false">SUM(Sheet1!W145:Z145)</f>
        <v>316.2445</v>
      </c>
      <c r="O145" s="0" t="n">
        <f aca="false">SUM(Sheet1!AA145:AD145)</f>
        <v>214.6352</v>
      </c>
      <c r="P145" s="0" t="n">
        <f aca="false">SUM(Sheet1!AE145:AN145)</f>
        <v>502.6217</v>
      </c>
      <c r="Q145" s="0" t="n">
        <f aca="false">SUM(Sheet1!AO145:AX145)</f>
        <v>634.6301</v>
      </c>
      <c r="R145" s="0" t="n">
        <f aca="false">SUM(Sheet1!AY145:BH145)</f>
        <v>226.7401</v>
      </c>
      <c r="S145" s="0" t="n">
        <f aca="false">SUM(Sheet1!BI145:BR145)</f>
        <v>24.5907</v>
      </c>
      <c r="T145" s="0" t="n">
        <f aca="false">SUM(Sheet1!BS145:CB145)</f>
        <v>1.8042</v>
      </c>
      <c r="U145" s="0" t="n">
        <f aca="false">SUM(Sheet1!CC145:CL145)</f>
        <v>0.3651</v>
      </c>
      <c r="V145" s="0" t="n">
        <f aca="false">Sheet1!CM145</f>
        <v>0</v>
      </c>
    </row>
    <row r="146" customFormat="false" ht="15" hidden="false" customHeight="false" outlineLevel="0" collapsed="false">
      <c r="A146" s="0" t="str">
        <f aca="false">Sheet1!A146</f>
        <v>N2602</v>
      </c>
      <c r="B146" s="0" t="str">
        <f aca="false">Sheet1!B146</f>
        <v>ADVW</v>
      </c>
      <c r="C146" s="0" t="n">
        <f aca="false">Sheet1!C146</f>
        <v>402</v>
      </c>
      <c r="D146" s="0" t="str">
        <f aca="false">Sheet1!D146</f>
        <v>ADVW.402.4</v>
      </c>
      <c r="E146" s="0" t="n">
        <f aca="false">Sheet1!E146</f>
        <v>0</v>
      </c>
      <c r="F146" s="0" t="n">
        <f aca="false">Sheet1!F146</f>
        <v>0</v>
      </c>
      <c r="G146" s="0" t="n">
        <f aca="false">Sheet1!G146</f>
        <v>4910.6883</v>
      </c>
      <c r="H146" s="0" t="n">
        <f aca="false">Sheet1!H146</f>
        <v>513.7682</v>
      </c>
      <c r="I146" s="0" t="n">
        <f aca="false">Sheet1!I146</f>
        <v>1614.0503</v>
      </c>
      <c r="J146" s="0" t="n">
        <f aca="false">Sheet1!J146</f>
        <v>1.010125</v>
      </c>
      <c r="K146" s="0" t="n">
        <f aca="false">Sheet1!K146</f>
        <v>0.0126</v>
      </c>
      <c r="L146" s="0" t="n">
        <f aca="false">SUM(Sheet1!O146:R146)</f>
        <v>1251.1074</v>
      </c>
      <c r="M146" s="0" t="n">
        <f aca="false">SUM(Sheet1!S146:V146)</f>
        <v>880.359</v>
      </c>
      <c r="N146" s="0" t="n">
        <f aca="false">SUM(Sheet1!W146:Z146)</f>
        <v>539.5583</v>
      </c>
      <c r="O146" s="0" t="n">
        <f aca="false">SUM(Sheet1!AA146:AD146)</f>
        <v>305.9956</v>
      </c>
      <c r="P146" s="0" t="n">
        <f aca="false">SUM(Sheet1!AE146:AN146)</f>
        <v>482.189</v>
      </c>
      <c r="Q146" s="0" t="n">
        <f aca="false">SUM(Sheet1!AO146:AX146)</f>
        <v>748.5943</v>
      </c>
      <c r="R146" s="0" t="n">
        <f aca="false">SUM(Sheet1!AY146:BH146)</f>
        <v>417.6829</v>
      </c>
      <c r="S146" s="0" t="n">
        <f aca="false">SUM(Sheet1!BI146:BR146)</f>
        <v>56.8252</v>
      </c>
      <c r="T146" s="0" t="n">
        <f aca="false">SUM(Sheet1!BS146:CB146)</f>
        <v>8.8905</v>
      </c>
      <c r="U146" s="0" t="n">
        <f aca="false">SUM(Sheet1!CC146:CL146)</f>
        <v>1.957</v>
      </c>
      <c r="V146" s="0" t="n">
        <f aca="false">Sheet1!CM146</f>
        <v>0.9305</v>
      </c>
    </row>
    <row r="147" customFormat="false" ht="15" hidden="false" customHeight="false" outlineLevel="0" collapsed="false">
      <c r="A147" s="0" t="str">
        <f aca="false">Sheet1!A147</f>
        <v>N2603</v>
      </c>
      <c r="B147" s="0" t="str">
        <f aca="false">Sheet1!B147</f>
        <v>VWAD</v>
      </c>
      <c r="C147" s="0" t="n">
        <f aca="false">Sheet1!C147</f>
        <v>7</v>
      </c>
      <c r="D147" s="0" t="str">
        <f aca="false">Sheet1!D147</f>
        <v>VWAD.7.4</v>
      </c>
      <c r="E147" s="0" t="e">
        <f aca="false">Sheet1!E147</f>
        <v>#N/A</v>
      </c>
      <c r="F147" s="0" t="n">
        <f aca="false">Sheet1!F147</f>
        <v>0</v>
      </c>
      <c r="G147" s="0" t="n">
        <f aca="false">Sheet1!G147</f>
        <v>1924.6523</v>
      </c>
      <c r="H147" s="0" t="n">
        <f aca="false">Sheet1!H147</f>
        <v>166.9329</v>
      </c>
      <c r="I147" s="0" t="n">
        <f aca="false">Sheet1!I147</f>
        <v>524.4352</v>
      </c>
      <c r="J147" s="0" t="n">
        <f aca="false">Sheet1!J147</f>
        <v>0.8966</v>
      </c>
      <c r="K147" s="0" t="n">
        <f aca="false">Sheet1!K147</f>
        <v>0</v>
      </c>
      <c r="L147" s="0" t="n">
        <f aca="false">SUM(Sheet1!O147:R147)</f>
        <v>495.4484</v>
      </c>
      <c r="M147" s="0" t="n">
        <f aca="false">SUM(Sheet1!S147:V147)</f>
        <v>334.8661</v>
      </c>
      <c r="N147" s="0" t="n">
        <f aca="false">SUM(Sheet1!W147:Z147)</f>
        <v>210.5859</v>
      </c>
      <c r="O147" s="0" t="n">
        <f aca="false">SUM(Sheet1!AA147:AD147)</f>
        <v>189.3453</v>
      </c>
      <c r="P147" s="0" t="n">
        <f aca="false">SUM(Sheet1!AE147:AN147)</f>
        <v>278.7073</v>
      </c>
      <c r="Q147" s="0" t="n">
        <f aca="false">SUM(Sheet1!AO147:AX147)</f>
        <v>202.8333</v>
      </c>
      <c r="R147" s="0" t="n">
        <f aca="false">SUM(Sheet1!AY147:BH147)</f>
        <v>37.9364</v>
      </c>
      <c r="S147" s="0" t="n">
        <f aca="false">SUM(Sheet1!BI147:BR147)</f>
        <v>3.7356</v>
      </c>
      <c r="T147" s="0" t="n">
        <f aca="false">SUM(Sheet1!BS147:CB147)</f>
        <v>0.2511</v>
      </c>
      <c r="U147" s="0" t="n">
        <f aca="false">SUM(Sheet1!CC147:CL147)</f>
        <v>0.3995</v>
      </c>
      <c r="V147" s="0" t="n">
        <f aca="false">Sheet1!CM147</f>
        <v>0.2966</v>
      </c>
    </row>
    <row r="148" customFormat="false" ht="15" hidden="false" customHeight="false" outlineLevel="0" collapsed="false">
      <c r="A148" s="0" t="str">
        <f aca="false">Sheet1!A148</f>
        <v>N2604</v>
      </c>
      <c r="B148" s="0" t="e">
        <f aca="false">Sheet1!B148</f>
        <v>#N/A</v>
      </c>
      <c r="C148" s="0" t="e">
        <f aca="false">Sheet1!C148</f>
        <v>#N/A</v>
      </c>
      <c r="D148" s="0" t="e">
        <f aca="false">Sheet1!D148</f>
        <v>#N/A</v>
      </c>
      <c r="E148" s="0" t="n">
        <f aca="false">Sheet1!E148</f>
        <v>0</v>
      </c>
      <c r="F148" s="0" t="n">
        <f aca="false">Sheet1!F148</f>
        <v>0</v>
      </c>
      <c r="G148" s="0" t="n">
        <f aca="false">Sheet1!G148</f>
        <v>2262.1329</v>
      </c>
      <c r="H148" s="0" t="n">
        <f aca="false">Sheet1!H148</f>
        <v>144.0963</v>
      </c>
      <c r="I148" s="0" t="n">
        <f aca="false">Sheet1!I148</f>
        <v>452.692</v>
      </c>
      <c r="J148" s="0" t="n">
        <f aca="false">Sheet1!J148</f>
        <v>0.638033333333333</v>
      </c>
      <c r="K148" s="0" t="n">
        <f aca="false">Sheet1!K148</f>
        <v>0</v>
      </c>
      <c r="L148" s="0" t="n">
        <f aca="false">SUM(Sheet1!O148:R148)</f>
        <v>741.473</v>
      </c>
      <c r="M148" s="0" t="n">
        <f aca="false">SUM(Sheet1!S148:V148)</f>
        <v>246.3463</v>
      </c>
      <c r="N148" s="0" t="n">
        <f aca="false">SUM(Sheet1!W148:Z148)</f>
        <v>114.8119</v>
      </c>
      <c r="O148" s="0" t="n">
        <f aca="false">SUM(Sheet1!AA148:AD148)</f>
        <v>77.2515</v>
      </c>
      <c r="P148" s="0" t="n">
        <f aca="false">SUM(Sheet1!AE148:AN148)</f>
        <v>191.5123</v>
      </c>
      <c r="Q148" s="0" t="n">
        <f aca="false">SUM(Sheet1!AO148:AX148)</f>
        <v>199.4268</v>
      </c>
      <c r="R148" s="0" t="n">
        <f aca="false">SUM(Sheet1!AY148:BH148)</f>
        <v>66.9793</v>
      </c>
      <c r="S148" s="0" t="n">
        <f aca="false">SUM(Sheet1!BI148:BR148)</f>
        <v>14.4749</v>
      </c>
      <c r="T148" s="0" t="n">
        <f aca="false">SUM(Sheet1!BS148:CB148)</f>
        <v>6.6392</v>
      </c>
      <c r="U148" s="0" t="n">
        <f aca="false">SUM(Sheet1!CC148:CL148)</f>
        <v>3.4985</v>
      </c>
      <c r="V148" s="0" t="n">
        <f aca="false">Sheet1!CM148</f>
        <v>0.7795</v>
      </c>
    </row>
    <row r="149" customFormat="false" ht="15" hidden="false" customHeight="false" outlineLevel="0" collapsed="false">
      <c r="A149" s="0" t="str">
        <f aca="false">Sheet1!A149</f>
        <v>N2614</v>
      </c>
      <c r="B149" s="0" t="str">
        <f aca="false">Sheet1!B149</f>
        <v>VWAD</v>
      </c>
      <c r="C149" s="0" t="n">
        <f aca="false">Sheet1!C149</f>
        <v>168</v>
      </c>
      <c r="D149" s="0" t="str">
        <f aca="false">Sheet1!D149</f>
        <v>VWAD.168.4</v>
      </c>
      <c r="E149" s="0" t="n">
        <f aca="false">Sheet1!E149</f>
        <v>0</v>
      </c>
      <c r="F149" s="0" t="n">
        <f aca="false">Sheet1!F149</f>
        <v>3.9945</v>
      </c>
      <c r="G149" s="0" t="n">
        <f aca="false">Sheet1!G149</f>
        <v>2776.227</v>
      </c>
      <c r="H149" s="0" t="n">
        <f aca="false">Sheet1!H149</f>
        <v>276.1219</v>
      </c>
      <c r="I149" s="0" t="n">
        <f aca="false">Sheet1!I149</f>
        <v>867.4626</v>
      </c>
      <c r="J149" s="0" t="n">
        <f aca="false">Sheet1!J149</f>
        <v>0.96795</v>
      </c>
      <c r="K149" s="0" t="n">
        <f aca="false">Sheet1!K149</f>
        <v>0.019</v>
      </c>
      <c r="L149" s="0" t="n">
        <f aca="false">SUM(Sheet1!O149:R149)</f>
        <v>824.039</v>
      </c>
      <c r="M149" s="0" t="n">
        <f aca="false">SUM(Sheet1!S149:V149)</f>
        <v>472.4744</v>
      </c>
      <c r="N149" s="0" t="n">
        <f aca="false">SUM(Sheet1!W149:Z149)</f>
        <v>269.3208</v>
      </c>
      <c r="O149" s="0" t="n">
        <f aca="false">SUM(Sheet1!AA149:AD149)</f>
        <v>194.7144</v>
      </c>
      <c r="P149" s="0" t="n">
        <f aca="false">SUM(Sheet1!AE149:AN149)</f>
        <v>352.3943</v>
      </c>
      <c r="Q149" s="0" t="n">
        <f aca="false">SUM(Sheet1!AO149:AX149)</f>
        <v>278.9601</v>
      </c>
      <c r="R149" s="0" t="n">
        <f aca="false">SUM(Sheet1!AY149:BH149)</f>
        <v>116.7916</v>
      </c>
      <c r="S149" s="0" t="n">
        <f aca="false">SUM(Sheet1!BI149:BR149)</f>
        <v>45.7328</v>
      </c>
      <c r="T149" s="0" t="n">
        <f aca="false">SUM(Sheet1!BS149:CB149)</f>
        <v>22.7506</v>
      </c>
      <c r="U149" s="0" t="n">
        <f aca="false">SUM(Sheet1!CC149:CL149)</f>
        <v>11.8273</v>
      </c>
      <c r="V149" s="0" t="n">
        <f aca="false">Sheet1!CM149</f>
        <v>13.5948</v>
      </c>
    </row>
    <row r="150" customFormat="false" ht="15" hidden="false" customHeight="false" outlineLevel="0" collapsed="false">
      <c r="A150" s="0" t="str">
        <f aca="false">Sheet1!A150</f>
        <v>N2616</v>
      </c>
      <c r="B150" s="0" t="str">
        <f aca="false">Sheet1!B150</f>
        <v>ADVW</v>
      </c>
      <c r="C150" s="0" t="n">
        <f aca="false">Sheet1!C150</f>
        <v>384</v>
      </c>
      <c r="D150" s="0" t="str">
        <f aca="false">Sheet1!D150</f>
        <v>ADVW.384.4</v>
      </c>
      <c r="E150" s="0" t="n">
        <f aca="false">Sheet1!E150</f>
        <v>0</v>
      </c>
      <c r="F150" s="0" t="n">
        <f aca="false">Sheet1!F150</f>
        <v>2.4365</v>
      </c>
      <c r="G150" s="0" t="n">
        <f aca="false">Sheet1!G150</f>
        <v>1905.264</v>
      </c>
      <c r="H150" s="0" t="n">
        <f aca="false">Sheet1!H150</f>
        <v>130.593</v>
      </c>
      <c r="I150" s="0" t="n">
        <f aca="false">Sheet1!I150</f>
        <v>410.2699</v>
      </c>
      <c r="J150" s="0" t="n">
        <f aca="false">Sheet1!J150</f>
        <v>0.59945</v>
      </c>
      <c r="K150" s="0" t="n">
        <f aca="false">Sheet1!K150</f>
        <v>0</v>
      </c>
      <c r="L150" s="0" t="n">
        <f aca="false">SUM(Sheet1!O150:R150)</f>
        <v>386.5735</v>
      </c>
      <c r="M150" s="0" t="n">
        <f aca="false">SUM(Sheet1!S150:V150)</f>
        <v>239.9054</v>
      </c>
      <c r="N150" s="0" t="n">
        <f aca="false">SUM(Sheet1!W150:Z150)</f>
        <v>187.582</v>
      </c>
      <c r="O150" s="0" t="n">
        <f aca="false">SUM(Sheet1!AA150:AD150)</f>
        <v>126.7123</v>
      </c>
      <c r="P150" s="0" t="n">
        <f aca="false">SUM(Sheet1!AE150:AN150)</f>
        <v>246.839</v>
      </c>
      <c r="Q150" s="0" t="n">
        <f aca="false">SUM(Sheet1!AO150:AX150)</f>
        <v>170.6855</v>
      </c>
      <c r="R150" s="0" t="n">
        <f aca="false">SUM(Sheet1!AY150:BH150)</f>
        <v>27.9381</v>
      </c>
      <c r="S150" s="0" t="n">
        <f aca="false">SUM(Sheet1!BI150:BR150)</f>
        <v>2.166</v>
      </c>
      <c r="T150" s="0" t="n">
        <f aca="false">SUM(Sheet1!BS150:CB150)</f>
        <v>1.0967</v>
      </c>
      <c r="U150" s="0" t="n">
        <f aca="false">SUM(Sheet1!CC150:CL150)</f>
        <v>0.1745</v>
      </c>
      <c r="V150" s="0" t="n">
        <f aca="false">Sheet1!CM150</f>
        <v>0</v>
      </c>
    </row>
    <row r="151" customFormat="false" ht="15" hidden="false" customHeight="false" outlineLevel="0" collapsed="false">
      <c r="A151" s="0" t="str">
        <f aca="false">Sheet1!A151</f>
        <v>N2617</v>
      </c>
      <c r="B151" s="0" t="str">
        <f aca="false">Sheet1!B151</f>
        <v>VWAD</v>
      </c>
      <c r="C151" s="0" t="n">
        <f aca="false">Sheet1!C151</f>
        <v>36</v>
      </c>
      <c r="D151" s="0" t="str">
        <f aca="false">Sheet1!D151</f>
        <v>VWAD.36.4</v>
      </c>
      <c r="E151" s="0" t="n">
        <f aca="false">Sheet1!E151</f>
        <v>0</v>
      </c>
      <c r="F151" s="0" t="n">
        <f aca="false">Sheet1!F151</f>
        <v>0</v>
      </c>
      <c r="G151" s="0" t="n">
        <f aca="false">Sheet1!G151</f>
        <v>1167.1686</v>
      </c>
      <c r="H151" s="0" t="n">
        <f aca="false">Sheet1!H151</f>
        <v>111.4815</v>
      </c>
      <c r="I151" s="0" t="n">
        <f aca="false">Sheet1!I151</f>
        <v>350.2297</v>
      </c>
      <c r="J151" s="0" t="n">
        <f aca="false">Sheet1!J151</f>
        <v>0.9596</v>
      </c>
      <c r="K151" s="0" t="n">
        <f aca="false">Sheet1!K151</f>
        <v>0.0051</v>
      </c>
      <c r="L151" s="0" t="n">
        <f aca="false">SUM(Sheet1!O151:R151)</f>
        <v>212.8788</v>
      </c>
      <c r="M151" s="0" t="n">
        <f aca="false">SUM(Sheet1!S151:V151)</f>
        <v>123.1498</v>
      </c>
      <c r="N151" s="0" t="n">
        <f aca="false">SUM(Sheet1!W151:Z151)</f>
        <v>88.0518</v>
      </c>
      <c r="O151" s="0" t="n">
        <f aca="false">SUM(Sheet1!AA151:AD151)</f>
        <v>70.4634</v>
      </c>
      <c r="P151" s="0" t="n">
        <f aca="false">SUM(Sheet1!AE151:AN151)</f>
        <v>179.2186</v>
      </c>
      <c r="Q151" s="0" t="n">
        <f aca="false">SUM(Sheet1!AO151:AX151)</f>
        <v>171.7946</v>
      </c>
      <c r="R151" s="0" t="n">
        <f aca="false">SUM(Sheet1!AY151:BH151)</f>
        <v>104.6114</v>
      </c>
      <c r="S151" s="0" t="n">
        <f aca="false">SUM(Sheet1!BI151:BR151)</f>
        <v>14.0367</v>
      </c>
      <c r="T151" s="0" t="n">
        <f aca="false">SUM(Sheet1!BS151:CB151)</f>
        <v>1.7225</v>
      </c>
      <c r="U151" s="0" t="n">
        <f aca="false">SUM(Sheet1!CC151:CL151)</f>
        <v>0</v>
      </c>
      <c r="V151" s="0" t="n">
        <f aca="false">Sheet1!CM151</f>
        <v>0</v>
      </c>
    </row>
    <row r="152" customFormat="false" ht="15" hidden="false" customHeight="false" outlineLevel="0" collapsed="false">
      <c r="A152" s="0" t="str">
        <f aca="false">Sheet1!A152</f>
        <v>N2618</v>
      </c>
      <c r="B152" s="0" t="str">
        <f aca="false">Sheet1!B152</f>
        <v>ADVW</v>
      </c>
      <c r="C152" s="0" t="n">
        <f aca="false">Sheet1!C152</f>
        <v>332</v>
      </c>
      <c r="D152" s="0" t="str">
        <f aca="false">Sheet1!D152</f>
        <v>ADVW.332.4</v>
      </c>
      <c r="E152" s="0" t="n">
        <f aca="false">Sheet1!E152</f>
        <v>0</v>
      </c>
      <c r="F152" s="0" t="n">
        <f aca="false">Sheet1!F152</f>
        <v>0</v>
      </c>
      <c r="G152" s="0" t="n">
        <f aca="false">Sheet1!G152</f>
        <v>3487.8426</v>
      </c>
      <c r="H152" s="0" t="n">
        <f aca="false">Sheet1!H152</f>
        <v>316.3016</v>
      </c>
      <c r="I152" s="0" t="n">
        <f aca="false">Sheet1!I152</f>
        <v>993.6906</v>
      </c>
      <c r="J152" s="0" t="n">
        <f aca="false">Sheet1!J152</f>
        <v>1.10735</v>
      </c>
      <c r="K152" s="0" t="n">
        <f aca="false">Sheet1!K152</f>
        <v>0</v>
      </c>
      <c r="L152" s="0" t="n">
        <f aca="false">SUM(Sheet1!O152:R152)</f>
        <v>736.1032</v>
      </c>
      <c r="M152" s="0" t="n">
        <f aca="false">SUM(Sheet1!S152:V152)</f>
        <v>446.1525</v>
      </c>
      <c r="N152" s="0" t="n">
        <f aca="false">SUM(Sheet1!W152:Z152)</f>
        <v>276.5005</v>
      </c>
      <c r="O152" s="0" t="n">
        <f aca="false">SUM(Sheet1!AA152:AD152)</f>
        <v>183.066</v>
      </c>
      <c r="P152" s="0" t="n">
        <f aca="false">SUM(Sheet1!AE152:AN152)</f>
        <v>323.9857</v>
      </c>
      <c r="Q152" s="0" t="n">
        <f aca="false">SUM(Sheet1!AO152:AX152)</f>
        <v>484.1418</v>
      </c>
      <c r="R152" s="0" t="n">
        <f aca="false">SUM(Sheet1!AY152:BH152)</f>
        <v>240.3956</v>
      </c>
      <c r="S152" s="0" t="n">
        <f aca="false">SUM(Sheet1!BI152:BR152)</f>
        <v>38.6052</v>
      </c>
      <c r="T152" s="0" t="n">
        <f aca="false">SUM(Sheet1!BS152:CB152)</f>
        <v>8.5037</v>
      </c>
      <c r="U152" s="0" t="n">
        <f aca="false">SUM(Sheet1!CC152:CL152)</f>
        <v>3.75</v>
      </c>
      <c r="V152" s="0" t="n">
        <f aca="false">Sheet1!CM152</f>
        <v>2.8014</v>
      </c>
    </row>
    <row r="153" customFormat="false" ht="15" hidden="false" customHeight="false" outlineLevel="0" collapsed="false">
      <c r="A153" s="0" t="str">
        <f aca="false">Sheet1!A153</f>
        <v>N2620</v>
      </c>
      <c r="B153" s="0" t="str">
        <f aca="false">Sheet1!B153</f>
        <v>ADVW</v>
      </c>
      <c r="C153" s="0" t="n">
        <f aca="false">Sheet1!C153</f>
        <v>274</v>
      </c>
      <c r="D153" s="0" t="str">
        <f aca="false">Sheet1!D153</f>
        <v>ADVW.274.4</v>
      </c>
      <c r="E153" s="0" t="n">
        <f aca="false">Sheet1!E153</f>
        <v>0</v>
      </c>
      <c r="F153" s="0" t="n">
        <f aca="false">Sheet1!F153</f>
        <v>0</v>
      </c>
      <c r="G153" s="0" t="n">
        <f aca="false">Sheet1!G153</f>
        <v>2796.031</v>
      </c>
      <c r="H153" s="0" t="n">
        <f aca="false">Sheet1!H153</f>
        <v>125.595</v>
      </c>
      <c r="I153" s="0" t="n">
        <f aca="false">Sheet1!I153</f>
        <v>394.5683</v>
      </c>
      <c r="J153" s="0" t="n">
        <f aca="false">Sheet1!J153</f>
        <v>0.401529166666667</v>
      </c>
      <c r="K153" s="0" t="n">
        <f aca="false">Sheet1!K153</f>
        <v>0</v>
      </c>
      <c r="L153" s="0" t="n">
        <f aca="false">SUM(Sheet1!O153:R153)</f>
        <v>712.7421</v>
      </c>
      <c r="M153" s="0" t="n">
        <f aca="false">SUM(Sheet1!S153:V153)</f>
        <v>192.8954</v>
      </c>
      <c r="N153" s="0" t="n">
        <f aca="false">SUM(Sheet1!W153:Z153)</f>
        <v>113.9311</v>
      </c>
      <c r="O153" s="0" t="n">
        <f aca="false">SUM(Sheet1!AA153:AD153)</f>
        <v>82.6296</v>
      </c>
      <c r="P153" s="0" t="n">
        <f aca="false">SUM(Sheet1!AE153:AN153)</f>
        <v>169.0477</v>
      </c>
      <c r="Q153" s="0" t="n">
        <f aca="false">SUM(Sheet1!AO153:AX153)</f>
        <v>135.679</v>
      </c>
      <c r="R153" s="0" t="n">
        <f aca="false">SUM(Sheet1!AY153:BH153)</f>
        <v>26.8333</v>
      </c>
      <c r="S153" s="0" t="n">
        <f aca="false">SUM(Sheet1!BI153:BR153)</f>
        <v>1.4616</v>
      </c>
      <c r="T153" s="0" t="n">
        <f aca="false">SUM(Sheet1!BS153:CB153)</f>
        <v>0.1889</v>
      </c>
      <c r="U153" s="0" t="n">
        <f aca="false">SUM(Sheet1!CC153:CL153)</f>
        <v>0.2713</v>
      </c>
      <c r="V153" s="0" t="n">
        <f aca="false">Sheet1!CM153</f>
        <v>0</v>
      </c>
    </row>
    <row r="154" customFormat="false" ht="15" hidden="false" customHeight="false" outlineLevel="0" collapsed="false">
      <c r="A154" s="0" t="str">
        <f aca="false">Sheet1!A154</f>
        <v>N2702</v>
      </c>
      <c r="B154" s="0" t="str">
        <f aca="false">Sheet1!B154</f>
        <v>F0</v>
      </c>
      <c r="C154" s="0" t="str">
        <f aca="false">Sheet1!C154</f>
        <v>DAC</v>
      </c>
      <c r="D154" s="0" t="str">
        <f aca="false">Sheet1!D154</f>
        <v>F0.DAC</v>
      </c>
      <c r="E154" s="0" t="n">
        <f aca="false">Sheet1!E154</f>
        <v>0</v>
      </c>
      <c r="F154" s="0" t="n">
        <f aca="false">Sheet1!F154</f>
        <v>0</v>
      </c>
      <c r="G154" s="0" t="n">
        <f aca="false">Sheet1!G154</f>
        <v>1118.8892</v>
      </c>
      <c r="H154" s="0" t="n">
        <f aca="false">Sheet1!H154</f>
        <v>84.0293</v>
      </c>
      <c r="I154" s="0" t="n">
        <f aca="false">Sheet1!I154</f>
        <v>263.9861</v>
      </c>
      <c r="J154" s="0" t="n">
        <f aca="false">Sheet1!J154</f>
        <v>0.7307</v>
      </c>
      <c r="K154" s="0" t="n">
        <f aca="false">Sheet1!K154</f>
        <v>0.0796</v>
      </c>
      <c r="L154" s="0" t="n">
        <f aca="false">SUM(Sheet1!O154:R154)</f>
        <v>387.9521</v>
      </c>
      <c r="M154" s="0" t="n">
        <f aca="false">SUM(Sheet1!S154:V154)</f>
        <v>174.7276</v>
      </c>
      <c r="N154" s="0" t="n">
        <f aca="false">SUM(Sheet1!W154:Z154)</f>
        <v>114.7264</v>
      </c>
      <c r="O154" s="0" t="n">
        <f aca="false">SUM(Sheet1!AA154:AD154)</f>
        <v>87.4566</v>
      </c>
      <c r="P154" s="0" t="n">
        <f aca="false">SUM(Sheet1!AE154:AN154)</f>
        <v>176.2453</v>
      </c>
      <c r="Q154" s="0" t="n">
        <f aca="false">SUM(Sheet1!AO154:AX154)</f>
        <v>53.1286</v>
      </c>
      <c r="R154" s="0" t="n">
        <f aca="false">SUM(Sheet1!AY154:BH154)</f>
        <v>4.8618</v>
      </c>
      <c r="S154" s="0" t="n">
        <f aca="false">SUM(Sheet1!BI154:BR154)</f>
        <v>0.9178</v>
      </c>
      <c r="T154" s="0" t="n">
        <f aca="false">SUM(Sheet1!BS154:CB154)</f>
        <v>0.7415</v>
      </c>
      <c r="U154" s="0" t="n">
        <f aca="false">SUM(Sheet1!CC154:CL154)</f>
        <v>0</v>
      </c>
      <c r="V154" s="0" t="n">
        <f aca="false">Sheet1!CM154</f>
        <v>0</v>
      </c>
    </row>
    <row r="155" customFormat="false" ht="15" hidden="false" customHeight="false" outlineLevel="0" collapsed="false">
      <c r="A155" s="0" t="str">
        <f aca="false">Sheet1!A155</f>
        <v>N2703</v>
      </c>
      <c r="B155" s="0" t="str">
        <f aca="false">Sheet1!B155</f>
        <v>VWAD</v>
      </c>
      <c r="C155" s="0" t="n">
        <f aca="false">Sheet1!C155</f>
        <v>46</v>
      </c>
      <c r="D155" s="0" t="str">
        <f aca="false">Sheet1!D155</f>
        <v>VWAD.46.4</v>
      </c>
      <c r="E155" s="0" t="n">
        <f aca="false">Sheet1!E155</f>
        <v>0</v>
      </c>
      <c r="F155" s="0" t="n">
        <f aca="false">Sheet1!F155</f>
        <v>0</v>
      </c>
      <c r="G155" s="0" t="n">
        <f aca="false">Sheet1!G155</f>
        <v>3256.8443</v>
      </c>
      <c r="H155" s="0" t="n">
        <f aca="false">Sheet1!H155</f>
        <v>276.711</v>
      </c>
      <c r="I155" s="0" t="n">
        <f aca="false">Sheet1!I155</f>
        <v>869.3133</v>
      </c>
      <c r="J155" s="0" t="n">
        <f aca="false">Sheet1!J155</f>
        <v>0.827033333333333</v>
      </c>
      <c r="K155" s="0" t="n">
        <f aca="false">Sheet1!K155</f>
        <v>0</v>
      </c>
      <c r="L155" s="0" t="n">
        <f aca="false">SUM(Sheet1!O155:R155)</f>
        <v>751.4013</v>
      </c>
      <c r="M155" s="0" t="n">
        <f aca="false">SUM(Sheet1!S155:V155)</f>
        <v>374.8194</v>
      </c>
      <c r="N155" s="0" t="n">
        <f aca="false">SUM(Sheet1!W155:Z155)</f>
        <v>261.6657</v>
      </c>
      <c r="O155" s="0" t="n">
        <f aca="false">SUM(Sheet1!AA155:AD155)</f>
        <v>169.1817</v>
      </c>
      <c r="P155" s="0" t="n">
        <f aca="false">SUM(Sheet1!AE155:AN155)</f>
        <v>366.1901</v>
      </c>
      <c r="Q155" s="0" t="n">
        <f aca="false">SUM(Sheet1!AO155:AX155)</f>
        <v>433.8983</v>
      </c>
      <c r="R155" s="0" t="n">
        <f aca="false">SUM(Sheet1!AY155:BH155)</f>
        <v>222.0361</v>
      </c>
      <c r="S155" s="0" t="n">
        <f aca="false">SUM(Sheet1!BI155:BR155)</f>
        <v>35.8796</v>
      </c>
      <c r="T155" s="0" t="n">
        <f aca="false">SUM(Sheet1!BS155:CB155)</f>
        <v>4.998</v>
      </c>
      <c r="U155" s="0" t="n">
        <f aca="false">SUM(Sheet1!CC155:CL155)</f>
        <v>2.2422</v>
      </c>
      <c r="V155" s="0" t="n">
        <f aca="false">Sheet1!CM155</f>
        <v>0.568</v>
      </c>
    </row>
    <row r="156" customFormat="false" ht="15" hidden="false" customHeight="false" outlineLevel="0" collapsed="false">
      <c r="A156" s="0" t="str">
        <f aca="false">Sheet1!A156</f>
        <v>N2705</v>
      </c>
      <c r="B156" s="0" t="e">
        <f aca="false">Sheet1!B156</f>
        <v>#N/A</v>
      </c>
      <c r="C156" s="0" t="e">
        <f aca="false">Sheet1!C156</f>
        <v>#N/A</v>
      </c>
      <c r="D156" s="0" t="e">
        <f aca="false">Sheet1!D156</f>
        <v>#N/A</v>
      </c>
      <c r="E156" s="0" t="n">
        <f aca="false">Sheet1!E156</f>
        <v>0</v>
      </c>
      <c r="F156" s="0" t="n">
        <f aca="false">Sheet1!F156</f>
        <v>0</v>
      </c>
      <c r="G156" s="0" t="n">
        <f aca="false">Sheet1!G156</f>
        <v>1936.5616</v>
      </c>
      <c r="H156" s="0" t="n">
        <f aca="false">Sheet1!H156</f>
        <v>150.9936</v>
      </c>
      <c r="I156" s="0" t="n">
        <f aca="false">Sheet1!I156</f>
        <v>474.3605</v>
      </c>
      <c r="J156" s="0" t="n">
        <f aca="false">Sheet1!J156</f>
        <v>0.7769</v>
      </c>
      <c r="K156" s="0" t="n">
        <f aca="false">Sheet1!K156</f>
        <v>0.2942</v>
      </c>
      <c r="L156" s="0" t="n">
        <f aca="false">SUM(Sheet1!O156:R156)</f>
        <v>388.1499</v>
      </c>
      <c r="M156" s="0" t="n">
        <f aca="false">SUM(Sheet1!S156:V156)</f>
        <v>158.4012</v>
      </c>
      <c r="N156" s="0" t="n">
        <f aca="false">SUM(Sheet1!W156:Z156)</f>
        <v>99.1226</v>
      </c>
      <c r="O156" s="0" t="n">
        <f aca="false">SUM(Sheet1!AA156:AD156)</f>
        <v>90.1045</v>
      </c>
      <c r="P156" s="0" t="n">
        <f aca="false">SUM(Sheet1!AE156:AN156)</f>
        <v>293.5156</v>
      </c>
      <c r="Q156" s="0" t="n">
        <f aca="false">SUM(Sheet1!AO156:AX156)</f>
        <v>252.2152</v>
      </c>
      <c r="R156" s="0" t="n">
        <f aca="false">SUM(Sheet1!AY156:BH156)</f>
        <v>63.9431</v>
      </c>
      <c r="S156" s="0" t="n">
        <f aca="false">SUM(Sheet1!BI156:BR156)</f>
        <v>16.7104</v>
      </c>
      <c r="T156" s="0" t="n">
        <f aca="false">SUM(Sheet1!BS156:CB156)</f>
        <v>5.277</v>
      </c>
      <c r="U156" s="0" t="n">
        <f aca="false">SUM(Sheet1!CC156:CL156)</f>
        <v>2.1086</v>
      </c>
      <c r="V156" s="0" t="n">
        <f aca="false">Sheet1!CM156</f>
        <v>0.7091</v>
      </c>
    </row>
    <row r="157" customFormat="false" ht="15" hidden="false" customHeight="false" outlineLevel="0" collapsed="false">
      <c r="A157" s="0" t="str">
        <f aca="false">Sheet1!A157</f>
        <v>N2707</v>
      </c>
      <c r="B157" s="0" t="str">
        <f aca="false">Sheet1!B157</f>
        <v>ADVW</v>
      </c>
      <c r="C157" s="0" t="n">
        <f aca="false">Sheet1!C157</f>
        <v>239</v>
      </c>
      <c r="D157" s="0" t="str">
        <f aca="false">Sheet1!D157</f>
        <v>ADVW.239.4</v>
      </c>
      <c r="E157" s="0" t="n">
        <f aca="false">Sheet1!E157</f>
        <v>0</v>
      </c>
      <c r="F157" s="0" t="n">
        <f aca="false">Sheet1!F157</f>
        <v>0</v>
      </c>
      <c r="G157" s="0" t="n">
        <f aca="false">Sheet1!G157</f>
        <v>3048.1312</v>
      </c>
      <c r="H157" s="0" t="n">
        <f aca="false">Sheet1!H157</f>
        <v>230.8425</v>
      </c>
      <c r="I157" s="0" t="n">
        <f aca="false">Sheet1!I157</f>
        <v>725.2131</v>
      </c>
      <c r="J157" s="0" t="n">
        <f aca="false">Sheet1!J157</f>
        <v>0.740875</v>
      </c>
      <c r="K157" s="0" t="n">
        <f aca="false">Sheet1!K157</f>
        <v>0.009</v>
      </c>
      <c r="L157" s="0" t="n">
        <f aca="false">SUM(Sheet1!O157:R157)</f>
        <v>674.6205</v>
      </c>
      <c r="M157" s="0" t="n">
        <f aca="false">SUM(Sheet1!S157:V157)</f>
        <v>282.7197</v>
      </c>
      <c r="N157" s="0" t="n">
        <f aca="false">SUM(Sheet1!W157:Z157)</f>
        <v>224.1448</v>
      </c>
      <c r="O157" s="0" t="n">
        <f aca="false">SUM(Sheet1!AA157:AD157)</f>
        <v>166.5818</v>
      </c>
      <c r="P157" s="0" t="n">
        <f aca="false">SUM(Sheet1!AE157:AN157)</f>
        <v>355.3091</v>
      </c>
      <c r="Q157" s="0" t="n">
        <f aca="false">SUM(Sheet1!AO157:AX157)</f>
        <v>367.2771</v>
      </c>
      <c r="R157" s="0" t="n">
        <f aca="false">SUM(Sheet1!AY157:BH157)</f>
        <v>131.6609</v>
      </c>
      <c r="S157" s="0" t="n">
        <f aca="false">SUM(Sheet1!BI157:BR157)</f>
        <v>26.7984</v>
      </c>
      <c r="T157" s="0" t="n">
        <f aca="false">SUM(Sheet1!BS157:CB157)</f>
        <v>3.4942</v>
      </c>
      <c r="U157" s="0" t="n">
        <f aca="false">SUM(Sheet1!CC157:CL157)</f>
        <v>0.8038</v>
      </c>
      <c r="V157" s="0" t="n">
        <f aca="false">Sheet1!CM157</f>
        <v>0.1608</v>
      </c>
    </row>
    <row r="158" customFormat="false" ht="15" hidden="false" customHeight="false" outlineLevel="0" collapsed="false">
      <c r="A158" s="0" t="str">
        <f aca="false">Sheet1!A158</f>
        <v>N2714</v>
      </c>
      <c r="B158" s="0" t="str">
        <f aca="false">Sheet1!B158</f>
        <v>VWAD</v>
      </c>
      <c r="C158" s="0" t="n">
        <f aca="false">Sheet1!C158</f>
        <v>125</v>
      </c>
      <c r="D158" s="0" t="str">
        <f aca="false">Sheet1!D158</f>
        <v>VWAD.125.4</v>
      </c>
      <c r="E158" s="0" t="n">
        <f aca="false">Sheet1!E158</f>
        <v>0</v>
      </c>
      <c r="F158" s="0" t="n">
        <f aca="false">Sheet1!F158</f>
        <v>0</v>
      </c>
      <c r="G158" s="0" t="n">
        <f aca="false">Sheet1!G158</f>
        <v>957.9125</v>
      </c>
      <c r="H158" s="0" t="n">
        <f aca="false">Sheet1!H158</f>
        <v>49.4168</v>
      </c>
      <c r="I158" s="0" t="n">
        <f aca="false">Sheet1!I158</f>
        <v>155.2476</v>
      </c>
      <c r="J158" s="0" t="n">
        <f aca="false">Sheet1!J158</f>
        <v>0.5159</v>
      </c>
      <c r="K158" s="0" t="n">
        <f aca="false">Sheet1!K158</f>
        <v>0</v>
      </c>
      <c r="L158" s="0" t="n">
        <f aca="false">SUM(Sheet1!O158:R158)</f>
        <v>212.6209</v>
      </c>
      <c r="M158" s="0" t="n">
        <f aca="false">SUM(Sheet1!S158:V158)</f>
        <v>89.5121</v>
      </c>
      <c r="N158" s="0" t="n">
        <f aca="false">SUM(Sheet1!W158:Z158)</f>
        <v>50.4117</v>
      </c>
      <c r="O158" s="0" t="n">
        <f aca="false">SUM(Sheet1!AA158:AD158)</f>
        <v>33.474</v>
      </c>
      <c r="P158" s="0" t="n">
        <f aca="false">SUM(Sheet1!AE158:AN158)</f>
        <v>108.6881</v>
      </c>
      <c r="Q158" s="0" t="n">
        <f aca="false">SUM(Sheet1!AO158:AX158)</f>
        <v>63.7474</v>
      </c>
      <c r="R158" s="0" t="n">
        <f aca="false">SUM(Sheet1!AY158:BH158)</f>
        <v>4.6969</v>
      </c>
      <c r="S158" s="0" t="n">
        <f aca="false">SUM(Sheet1!BI158:BR158)</f>
        <v>0.3082</v>
      </c>
      <c r="T158" s="0" t="n">
        <f aca="false">SUM(Sheet1!BS158:CB158)</f>
        <v>0</v>
      </c>
      <c r="U158" s="0" t="n">
        <f aca="false">SUM(Sheet1!CC158:CL158)</f>
        <v>0</v>
      </c>
      <c r="V158" s="0" t="n">
        <f aca="false">Sheet1!CM158</f>
        <v>0</v>
      </c>
    </row>
    <row r="159" customFormat="false" ht="15" hidden="false" customHeight="false" outlineLevel="0" collapsed="false">
      <c r="A159" s="0" t="str">
        <f aca="false">Sheet1!A159</f>
        <v>N2715</v>
      </c>
      <c r="B159" s="0" t="str">
        <f aca="false">Sheet1!B159</f>
        <v>ADVW</v>
      </c>
      <c r="C159" s="0" t="n">
        <f aca="false">Sheet1!C159</f>
        <v>367</v>
      </c>
      <c r="D159" s="0" t="str">
        <f aca="false">Sheet1!D159</f>
        <v>ADVW.367.4</v>
      </c>
      <c r="E159" s="0" t="n">
        <f aca="false">Sheet1!E159</f>
        <v>0</v>
      </c>
      <c r="F159" s="0" t="n">
        <f aca="false">Sheet1!F159</f>
        <v>0</v>
      </c>
      <c r="G159" s="0" t="n">
        <f aca="false">Sheet1!G159</f>
        <v>3017.1146</v>
      </c>
      <c r="H159" s="0" t="n">
        <f aca="false">Sheet1!H159</f>
        <v>152.344</v>
      </c>
      <c r="I159" s="0" t="n">
        <f aca="false">Sheet1!I159</f>
        <v>478.6028</v>
      </c>
      <c r="J159" s="0" t="n">
        <f aca="false">Sheet1!J159</f>
        <v>0.502266666666667</v>
      </c>
      <c r="K159" s="0" t="n">
        <f aca="false">Sheet1!K159</f>
        <v>0.0127</v>
      </c>
      <c r="L159" s="0" t="n">
        <f aca="false">SUM(Sheet1!O159:R159)</f>
        <v>819.9793</v>
      </c>
      <c r="M159" s="0" t="n">
        <f aca="false">SUM(Sheet1!S159:V159)</f>
        <v>304.9664</v>
      </c>
      <c r="N159" s="0" t="n">
        <f aca="false">SUM(Sheet1!W159:Z159)</f>
        <v>200.3508</v>
      </c>
      <c r="O159" s="0" t="n">
        <f aca="false">SUM(Sheet1!AA159:AD159)</f>
        <v>100.6403</v>
      </c>
      <c r="P159" s="0" t="n">
        <f aca="false">SUM(Sheet1!AE159:AN159)</f>
        <v>229.2168</v>
      </c>
      <c r="Q159" s="0" t="n">
        <f aca="false">SUM(Sheet1!AO159:AX159)</f>
        <v>130.5961</v>
      </c>
      <c r="R159" s="0" t="n">
        <f aca="false">SUM(Sheet1!AY159:BH159)</f>
        <v>38.5645</v>
      </c>
      <c r="S159" s="0" t="n">
        <f aca="false">SUM(Sheet1!BI159:BR159)</f>
        <v>10.6925</v>
      </c>
      <c r="T159" s="0" t="n">
        <f aca="false">SUM(Sheet1!BS159:CB159)</f>
        <v>6.3731</v>
      </c>
      <c r="U159" s="0" t="n">
        <f aca="false">SUM(Sheet1!CC159:CL159)</f>
        <v>2.5795</v>
      </c>
      <c r="V159" s="0" t="n">
        <f aca="false">Sheet1!CM159</f>
        <v>1.2012</v>
      </c>
    </row>
    <row r="160" customFormat="false" ht="15" hidden="false" customHeight="false" outlineLevel="0" collapsed="false">
      <c r="A160" s="0" t="str">
        <f aca="false">Sheet1!A160</f>
        <v>N2716</v>
      </c>
      <c r="B160" s="0" t="str">
        <f aca="false">Sheet1!B160</f>
        <v>VWAD</v>
      </c>
      <c r="C160" s="0" t="n">
        <f aca="false">Sheet1!C160</f>
        <v>191</v>
      </c>
      <c r="D160" s="0" t="str">
        <f aca="false">Sheet1!D160</f>
        <v>VWAD.191.4</v>
      </c>
      <c r="E160" s="0" t="n">
        <f aca="false">Sheet1!E160</f>
        <v>0</v>
      </c>
      <c r="F160" s="0" t="n">
        <f aca="false">Sheet1!F160</f>
        <v>1.2313</v>
      </c>
      <c r="G160" s="0" t="n">
        <f aca="false">Sheet1!G160</f>
        <v>1106.8679</v>
      </c>
      <c r="H160" s="0" t="n">
        <f aca="false">Sheet1!H160</f>
        <v>74.3619</v>
      </c>
      <c r="I160" s="0" t="n">
        <f aca="false">Sheet1!I160</f>
        <v>233.6147</v>
      </c>
      <c r="J160" s="0" t="n">
        <f aca="false">Sheet1!J160</f>
        <v>0.6718</v>
      </c>
      <c r="K160" s="0" t="n">
        <f aca="false">Sheet1!K160</f>
        <v>0</v>
      </c>
      <c r="L160" s="0" t="n">
        <f aca="false">SUM(Sheet1!O160:R160)</f>
        <v>191.7113</v>
      </c>
      <c r="M160" s="0" t="n">
        <f aca="false">SUM(Sheet1!S160:V160)</f>
        <v>129.7548</v>
      </c>
      <c r="N160" s="0" t="n">
        <f aca="false">SUM(Sheet1!W160:Z160)</f>
        <v>90.5442</v>
      </c>
      <c r="O160" s="0" t="n">
        <f aca="false">SUM(Sheet1!AA160:AD160)</f>
        <v>82.8244</v>
      </c>
      <c r="P160" s="0" t="n">
        <f aca="false">SUM(Sheet1!AE160:AN160)</f>
        <v>137.5674</v>
      </c>
      <c r="Q160" s="0" t="n">
        <f aca="false">SUM(Sheet1!AO160:AX160)</f>
        <v>92.9522</v>
      </c>
      <c r="R160" s="0" t="n">
        <f aca="false">SUM(Sheet1!AY160:BH160)</f>
        <v>27.6994</v>
      </c>
      <c r="S160" s="0" t="n">
        <f aca="false">SUM(Sheet1!BI160:BR160)</f>
        <v>1.862</v>
      </c>
      <c r="T160" s="0" t="n">
        <f aca="false">SUM(Sheet1!BS160:CB160)</f>
        <v>0.1588</v>
      </c>
      <c r="U160" s="0" t="n">
        <f aca="false">SUM(Sheet1!CC160:CL160)</f>
        <v>0.0931</v>
      </c>
      <c r="V160" s="0" t="n">
        <f aca="false">Sheet1!CM160</f>
        <v>0</v>
      </c>
    </row>
    <row r="161" customFormat="false" ht="15" hidden="false" customHeight="false" outlineLevel="0" collapsed="false">
      <c r="A161" s="0" t="str">
        <f aca="false">Sheet1!A161</f>
        <v>N2719</v>
      </c>
      <c r="B161" s="0" t="str">
        <f aca="false">Sheet1!B161</f>
        <v>VWAD</v>
      </c>
      <c r="C161" s="0" t="n">
        <f aca="false">Sheet1!C161</f>
        <v>106</v>
      </c>
      <c r="D161" s="0" t="str">
        <f aca="false">Sheet1!D161</f>
        <v>VWAD.106.4</v>
      </c>
      <c r="E161" s="0" t="e">
        <f aca="false">Sheet1!E161</f>
        <v>#N/A</v>
      </c>
      <c r="F161" s="0" t="n">
        <f aca="false">Sheet1!F161</f>
        <v>3.3797</v>
      </c>
      <c r="G161" s="0" t="n">
        <f aca="false">Sheet1!G161</f>
        <v>2109.2901</v>
      </c>
      <c r="H161" s="0" t="n">
        <f aca="false">Sheet1!H161</f>
        <v>211.1508</v>
      </c>
      <c r="I161" s="0" t="n">
        <f aca="false">Sheet1!I161</f>
        <v>663.3496</v>
      </c>
      <c r="J161" s="0" t="n">
        <f aca="false">Sheet1!J161</f>
        <v>1.00615</v>
      </c>
      <c r="K161" s="0" t="n">
        <f aca="false">Sheet1!K161</f>
        <v>0</v>
      </c>
      <c r="L161" s="0" t="n">
        <f aca="false">SUM(Sheet1!O161:R161)</f>
        <v>588.2799</v>
      </c>
      <c r="M161" s="0" t="n">
        <f aca="false">SUM(Sheet1!S161:V161)</f>
        <v>243.4307</v>
      </c>
      <c r="N161" s="0" t="n">
        <f aca="false">SUM(Sheet1!W161:Z161)</f>
        <v>204.0384</v>
      </c>
      <c r="O161" s="0" t="n">
        <f aca="false">SUM(Sheet1!AA161:AD161)</f>
        <v>158.7047</v>
      </c>
      <c r="P161" s="0" t="n">
        <f aca="false">SUM(Sheet1!AE161:AN161)</f>
        <v>331.5614</v>
      </c>
      <c r="Q161" s="0" t="n">
        <f aca="false">SUM(Sheet1!AO161:AX161)</f>
        <v>342.5013</v>
      </c>
      <c r="R161" s="0" t="n">
        <f aca="false">SUM(Sheet1!AY161:BH161)</f>
        <v>82.3427</v>
      </c>
      <c r="S161" s="0" t="n">
        <f aca="false">SUM(Sheet1!BI161:BR161)</f>
        <v>11.559</v>
      </c>
      <c r="T161" s="0" t="n">
        <f aca="false">SUM(Sheet1!BS161:CB161)</f>
        <v>4.749</v>
      </c>
      <c r="U161" s="0" t="n">
        <f aca="false">SUM(Sheet1!CC161:CL161)</f>
        <v>1.463</v>
      </c>
      <c r="V161" s="0" t="n">
        <f aca="false">Sheet1!CM161</f>
        <v>0.9256</v>
      </c>
    </row>
    <row r="162" customFormat="false" ht="15" hidden="false" customHeight="false" outlineLevel="0" collapsed="false">
      <c r="A162" s="0" t="str">
        <f aca="false">Sheet1!A162</f>
        <v>N2801</v>
      </c>
      <c r="B162" s="0" t="str">
        <f aca="false">Sheet1!B162</f>
        <v>ADVW</v>
      </c>
      <c r="C162" s="0" t="n">
        <f aca="false">Sheet1!C162</f>
        <v>339</v>
      </c>
      <c r="D162" s="0" t="str">
        <f aca="false">Sheet1!D162</f>
        <v>ADVW.339.4</v>
      </c>
      <c r="E162" s="0" t="n">
        <f aca="false">Sheet1!E162</f>
        <v>0</v>
      </c>
      <c r="F162" s="0" t="n">
        <f aca="false">Sheet1!F162</f>
        <v>0</v>
      </c>
      <c r="G162" s="0" t="n">
        <f aca="false">Sheet1!G162</f>
        <v>4374.3045</v>
      </c>
      <c r="H162" s="0" t="n">
        <f aca="false">Sheet1!H162</f>
        <v>276.8796</v>
      </c>
      <c r="I162" s="0" t="n">
        <f aca="false">Sheet1!I162</f>
        <v>869.8427</v>
      </c>
      <c r="J162" s="0" t="n">
        <f aca="false">Sheet1!J162</f>
        <v>0.650833333333333</v>
      </c>
      <c r="K162" s="0" t="n">
        <f aca="false">Sheet1!K162</f>
        <v>0</v>
      </c>
      <c r="L162" s="0" t="n">
        <f aca="false">SUM(Sheet1!O162:R162)</f>
        <v>926.0108</v>
      </c>
      <c r="M162" s="0" t="n">
        <f aca="false">SUM(Sheet1!S162:V162)</f>
        <v>375.2572</v>
      </c>
      <c r="N162" s="0" t="n">
        <f aca="false">SUM(Sheet1!W162:Z162)</f>
        <v>345.4564</v>
      </c>
      <c r="O162" s="0" t="n">
        <f aca="false">SUM(Sheet1!AA162:AD162)</f>
        <v>296.2316</v>
      </c>
      <c r="P162" s="0" t="n">
        <f aca="false">SUM(Sheet1!AE162:AN162)</f>
        <v>683.1217</v>
      </c>
      <c r="Q162" s="0" t="n">
        <f aca="false">SUM(Sheet1!AO162:AX162)</f>
        <v>316.1169</v>
      </c>
      <c r="R162" s="0" t="n">
        <f aca="false">SUM(Sheet1!AY162:BH162)</f>
        <v>41.1304</v>
      </c>
      <c r="S162" s="0" t="n">
        <f aca="false">SUM(Sheet1!BI162:BR162)</f>
        <v>6.0531</v>
      </c>
      <c r="T162" s="0" t="n">
        <f aca="false">SUM(Sheet1!BS162:CB162)</f>
        <v>1.524</v>
      </c>
      <c r="U162" s="0" t="n">
        <f aca="false">SUM(Sheet1!CC162:CL162)</f>
        <v>0.4212</v>
      </c>
      <c r="V162" s="0" t="n">
        <f aca="false">Sheet1!CM162</f>
        <v>0</v>
      </c>
    </row>
    <row r="163" customFormat="false" ht="15" hidden="false" customHeight="false" outlineLevel="0" collapsed="false">
      <c r="A163" s="0" t="str">
        <f aca="false">Sheet1!A163</f>
        <v>N2802</v>
      </c>
      <c r="B163" s="0" t="str">
        <f aca="false">Sheet1!B163</f>
        <v>VWAD</v>
      </c>
      <c r="C163" s="0" t="n">
        <f aca="false">Sheet1!C163</f>
        <v>188</v>
      </c>
      <c r="D163" s="0" t="str">
        <f aca="false">Sheet1!D163</f>
        <v>VWAD.188.4</v>
      </c>
      <c r="E163" s="0" t="n">
        <f aca="false">Sheet1!E163</f>
        <v>0</v>
      </c>
      <c r="F163" s="0" t="n">
        <f aca="false">Sheet1!F163</f>
        <v>0</v>
      </c>
      <c r="G163" s="0" t="n">
        <f aca="false">Sheet1!G163</f>
        <v>2774.4622</v>
      </c>
      <c r="H163" s="0" t="n">
        <f aca="false">Sheet1!H163</f>
        <v>191.0874</v>
      </c>
      <c r="I163" s="0" t="n">
        <f aca="false">Sheet1!I163</f>
        <v>600.3187</v>
      </c>
      <c r="J163" s="0" t="n">
        <f aca="false">Sheet1!J163</f>
        <v>0.690366666666667</v>
      </c>
      <c r="K163" s="0" t="n">
        <f aca="false">Sheet1!K163</f>
        <v>0</v>
      </c>
      <c r="L163" s="0" t="n">
        <f aca="false">SUM(Sheet1!O163:R163)</f>
        <v>724.1744</v>
      </c>
      <c r="M163" s="0" t="n">
        <f aca="false">SUM(Sheet1!S163:V163)</f>
        <v>263.1199</v>
      </c>
      <c r="N163" s="0" t="n">
        <f aca="false">SUM(Sheet1!W163:Z163)</f>
        <v>161.4247</v>
      </c>
      <c r="O163" s="0" t="n">
        <f aca="false">SUM(Sheet1!AA163:AD163)</f>
        <v>120.2331</v>
      </c>
      <c r="P163" s="0" t="n">
        <f aca="false">SUM(Sheet1!AE163:AN163)</f>
        <v>278.567</v>
      </c>
      <c r="Q163" s="0" t="n">
        <f aca="false">SUM(Sheet1!AO163:AX163)</f>
        <v>247.9026</v>
      </c>
      <c r="R163" s="0" t="n">
        <f aca="false">SUM(Sheet1!AY163:BH163)</f>
        <v>83.4794</v>
      </c>
      <c r="S163" s="0" t="n">
        <f aca="false">SUM(Sheet1!BI163:BR163)</f>
        <v>28.3318</v>
      </c>
      <c r="T163" s="0" t="n">
        <f aca="false">SUM(Sheet1!BS163:CB163)</f>
        <v>10.4488</v>
      </c>
      <c r="U163" s="0" t="n">
        <f aca="false">SUM(Sheet1!CC163:CL163)</f>
        <v>5.5969</v>
      </c>
      <c r="V163" s="0" t="n">
        <f aca="false">Sheet1!CM163</f>
        <v>1.6347</v>
      </c>
    </row>
    <row r="164" customFormat="false" ht="15" hidden="false" customHeight="false" outlineLevel="0" collapsed="false">
      <c r="A164" s="0" t="str">
        <f aca="false">Sheet1!A164</f>
        <v>N2805</v>
      </c>
      <c r="B164" s="0" t="str">
        <f aca="false">Sheet1!B164</f>
        <v>ADVW</v>
      </c>
      <c r="C164" s="0" t="n">
        <f aca="false">Sheet1!C164</f>
        <v>319</v>
      </c>
      <c r="D164" s="0" t="str">
        <f aca="false">Sheet1!D164</f>
        <v>ADVW.319.4</v>
      </c>
      <c r="E164" s="0" t="n">
        <f aca="false">Sheet1!E164</f>
        <v>0</v>
      </c>
      <c r="F164" s="0" t="n">
        <f aca="false">Sheet1!F164</f>
        <v>2.1012</v>
      </c>
      <c r="G164" s="0" t="n">
        <f aca="false">Sheet1!G164</f>
        <v>1477.1944</v>
      </c>
      <c r="H164" s="0" t="n">
        <f aca="false">Sheet1!H164</f>
        <v>129.8334</v>
      </c>
      <c r="I164" s="0" t="n">
        <f aca="false">Sheet1!I164</f>
        <v>407.8837</v>
      </c>
      <c r="J164" s="0" t="n">
        <f aca="false">Sheet1!J164</f>
        <v>0.748333333333334</v>
      </c>
      <c r="K164" s="0" t="n">
        <f aca="false">Sheet1!K164</f>
        <v>0</v>
      </c>
      <c r="L164" s="0" t="n">
        <f aca="false">SUM(Sheet1!O164:R164)</f>
        <v>518.5787</v>
      </c>
      <c r="M164" s="0" t="n">
        <f aca="false">SUM(Sheet1!S164:V164)</f>
        <v>236.1305</v>
      </c>
      <c r="N164" s="0" t="n">
        <f aca="false">SUM(Sheet1!W164:Z164)</f>
        <v>103.7185</v>
      </c>
      <c r="O164" s="0" t="n">
        <f aca="false">SUM(Sheet1!AA164:AD164)</f>
        <v>65.0558</v>
      </c>
      <c r="P164" s="0" t="n">
        <f aca="false">SUM(Sheet1!AE164:AN164)</f>
        <v>145.7148</v>
      </c>
      <c r="Q164" s="0" t="n">
        <f aca="false">SUM(Sheet1!AO164:AX164)</f>
        <v>241.3872</v>
      </c>
      <c r="R164" s="0" t="n">
        <f aca="false">SUM(Sheet1!AY164:BH164)</f>
        <v>45.378</v>
      </c>
      <c r="S164" s="0" t="n">
        <f aca="false">SUM(Sheet1!BI164:BR164)</f>
        <v>5.8405</v>
      </c>
      <c r="T164" s="0" t="n">
        <f aca="false">SUM(Sheet1!BS164:CB164)</f>
        <v>0.1554</v>
      </c>
      <c r="U164" s="0" t="n">
        <f aca="false">SUM(Sheet1!CC164:CL164)</f>
        <v>0.314</v>
      </c>
      <c r="V164" s="0" t="n">
        <f aca="false">Sheet1!CM164</f>
        <v>0</v>
      </c>
    </row>
    <row r="165" customFormat="false" ht="15" hidden="false" customHeight="false" outlineLevel="0" collapsed="false">
      <c r="A165" s="0" t="str">
        <f aca="false">Sheet1!A165</f>
        <v>N2811</v>
      </c>
      <c r="B165" s="0" t="e">
        <f aca="false">Sheet1!B165</f>
        <v>#N/A</v>
      </c>
      <c r="C165" s="0" t="e">
        <f aca="false">Sheet1!C165</f>
        <v>#N/A</v>
      </c>
      <c r="D165" s="0" t="e">
        <f aca="false">Sheet1!D165</f>
        <v>#N/A</v>
      </c>
      <c r="E165" s="0" t="n">
        <f aca="false">Sheet1!E165</f>
        <v>0</v>
      </c>
      <c r="F165" s="0" t="n">
        <f aca="false">Sheet1!F165</f>
        <v>0</v>
      </c>
      <c r="G165" s="0" t="n">
        <f aca="false">Sheet1!G165</f>
        <v>2519.2341</v>
      </c>
      <c r="H165" s="0" t="n">
        <f aca="false">Sheet1!H165</f>
        <v>164.8197</v>
      </c>
      <c r="I165" s="0" t="n">
        <f aca="false">Sheet1!I165</f>
        <v>517.7965</v>
      </c>
      <c r="J165" s="0" t="n">
        <f aca="false">Sheet1!J165</f>
        <v>0.6265</v>
      </c>
      <c r="K165" s="0" t="n">
        <f aca="false">Sheet1!K165</f>
        <v>0</v>
      </c>
      <c r="L165" s="0" t="n">
        <f aca="false">SUM(Sheet1!O165:R165)</f>
        <v>723.8991</v>
      </c>
      <c r="M165" s="0" t="n">
        <f aca="false">SUM(Sheet1!S165:V165)</f>
        <v>273.3377</v>
      </c>
      <c r="N165" s="0" t="n">
        <f aca="false">SUM(Sheet1!W165:Z165)</f>
        <v>173.1854</v>
      </c>
      <c r="O165" s="0" t="n">
        <f aca="false">SUM(Sheet1!AA165:AD165)</f>
        <v>106.3918</v>
      </c>
      <c r="P165" s="0" t="n">
        <f aca="false">SUM(Sheet1!AE165:AN165)</f>
        <v>381.2967</v>
      </c>
      <c r="Q165" s="0" t="n">
        <f aca="false">SUM(Sheet1!AO165:AX165)</f>
        <v>221.7505</v>
      </c>
      <c r="R165" s="0" t="n">
        <f aca="false">SUM(Sheet1!AY165:BH165)</f>
        <v>36.48</v>
      </c>
      <c r="S165" s="0" t="n">
        <f aca="false">SUM(Sheet1!BI165:BR165)</f>
        <v>3.5688</v>
      </c>
      <c r="T165" s="0" t="n">
        <f aca="false">SUM(Sheet1!BS165:CB165)</f>
        <v>0.352</v>
      </c>
      <c r="U165" s="0" t="n">
        <f aca="false">SUM(Sheet1!CC165:CL165)</f>
        <v>0.0644</v>
      </c>
      <c r="V165" s="0" t="n">
        <f aca="false">Sheet1!CM165</f>
        <v>0</v>
      </c>
    </row>
    <row r="166" customFormat="false" ht="15" hidden="false" customHeight="false" outlineLevel="0" collapsed="false">
      <c r="A166" s="0" t="str">
        <f aca="false">Sheet1!A166</f>
        <v>N2813</v>
      </c>
      <c r="B166" s="0" t="str">
        <f aca="false">Sheet1!B166</f>
        <v>VWAD</v>
      </c>
      <c r="C166" s="0" t="n">
        <f aca="false">Sheet1!C166</f>
        <v>79</v>
      </c>
      <c r="D166" s="0" t="str">
        <f aca="false">Sheet1!D166</f>
        <v>VWAD.79.4</v>
      </c>
      <c r="E166" s="0" t="n">
        <f aca="false">Sheet1!E166</f>
        <v>0</v>
      </c>
      <c r="F166" s="0" t="n">
        <f aca="false">Sheet1!F166</f>
        <v>0</v>
      </c>
      <c r="G166" s="0" t="n">
        <f aca="false">Sheet1!G166</f>
        <v>5142.1316</v>
      </c>
      <c r="H166" s="0" t="n">
        <f aca="false">Sheet1!H166</f>
        <v>316.5495</v>
      </c>
      <c r="I166" s="0" t="n">
        <f aca="false">Sheet1!I166</f>
        <v>994.4696</v>
      </c>
      <c r="J166" s="0" t="n">
        <f aca="false">Sheet1!J166</f>
        <v>0.536133333333333</v>
      </c>
      <c r="K166" s="0" t="n">
        <f aca="false">Sheet1!K166</f>
        <v>0.0444</v>
      </c>
      <c r="L166" s="0" t="n">
        <f aca="false">SUM(Sheet1!O166:R166)</f>
        <v>1440.2298</v>
      </c>
      <c r="M166" s="0" t="n">
        <f aca="false">SUM(Sheet1!S166:V166)</f>
        <v>513.0382</v>
      </c>
      <c r="N166" s="0" t="n">
        <f aca="false">SUM(Sheet1!W166:Z166)</f>
        <v>381.534</v>
      </c>
      <c r="O166" s="0" t="n">
        <f aca="false">SUM(Sheet1!AA166:AD166)</f>
        <v>211.4589</v>
      </c>
      <c r="P166" s="0" t="n">
        <f aca="false">SUM(Sheet1!AE166:AN166)</f>
        <v>419.9844</v>
      </c>
      <c r="Q166" s="0" t="n">
        <f aca="false">SUM(Sheet1!AO166:AX166)</f>
        <v>400.7898</v>
      </c>
      <c r="R166" s="0" t="n">
        <f aca="false">SUM(Sheet1!AY166:BH166)</f>
        <v>153.582</v>
      </c>
      <c r="S166" s="0" t="n">
        <f aca="false">SUM(Sheet1!BI166:BR166)</f>
        <v>30.1107</v>
      </c>
      <c r="T166" s="0" t="n">
        <f aca="false">SUM(Sheet1!BS166:CB166)</f>
        <v>7.4779</v>
      </c>
      <c r="U166" s="0" t="n">
        <f aca="false">SUM(Sheet1!CC166:CL166)</f>
        <v>0.6188</v>
      </c>
      <c r="V166" s="0" t="n">
        <f aca="false">Sheet1!CM166</f>
        <v>0.7621</v>
      </c>
    </row>
    <row r="167" customFormat="false" ht="15" hidden="false" customHeight="false" outlineLevel="0" collapsed="false">
      <c r="A167" s="0" t="str">
        <f aca="false">Sheet1!A167</f>
        <v>N2814</v>
      </c>
      <c r="B167" s="0" t="str">
        <f aca="false">Sheet1!B167</f>
        <v>F0</v>
      </c>
      <c r="C167" s="0" t="str">
        <f aca="false">Sheet1!C167</f>
        <v>DAC</v>
      </c>
      <c r="D167" s="0" t="str">
        <f aca="false">Sheet1!D167</f>
        <v>F0.DAC</v>
      </c>
      <c r="E167" s="0" t="n">
        <f aca="false">Sheet1!E167</f>
        <v>0</v>
      </c>
      <c r="F167" s="0" t="n">
        <f aca="false">Sheet1!F167</f>
        <v>0</v>
      </c>
      <c r="G167" s="0" t="n">
        <f aca="false">Sheet1!G167</f>
        <v>690.0632</v>
      </c>
      <c r="H167" s="0" t="n">
        <f aca="false">Sheet1!H167</f>
        <v>55.6256</v>
      </c>
      <c r="I167" s="0" t="n">
        <f aca="false">Sheet1!I167</f>
        <v>174.7531</v>
      </c>
      <c r="J167" s="0" t="n">
        <f aca="false">Sheet1!J167</f>
        <v>0.8061</v>
      </c>
      <c r="K167" s="0" t="n">
        <f aca="false">Sheet1!K167</f>
        <v>0.0132</v>
      </c>
      <c r="L167" s="0" t="n">
        <f aca="false">SUM(Sheet1!O167:R167)</f>
        <v>159.8122</v>
      </c>
      <c r="M167" s="0" t="n">
        <f aca="false">SUM(Sheet1!S167:V167)</f>
        <v>108.0815</v>
      </c>
      <c r="N167" s="0" t="n">
        <f aca="false">SUM(Sheet1!W167:Z167)</f>
        <v>85.3752</v>
      </c>
      <c r="O167" s="0" t="n">
        <f aca="false">SUM(Sheet1!AA167:AD167)</f>
        <v>77.8596</v>
      </c>
      <c r="P167" s="0" t="n">
        <f aca="false">SUM(Sheet1!AE167:AN167)</f>
        <v>128.8192</v>
      </c>
      <c r="Q167" s="0" t="n">
        <f aca="false">SUM(Sheet1!AO167:AX167)</f>
        <v>36.8403</v>
      </c>
      <c r="R167" s="0" t="n">
        <f aca="false">SUM(Sheet1!AY167:BH167)</f>
        <v>3.7494</v>
      </c>
      <c r="S167" s="0" t="n">
        <f aca="false">SUM(Sheet1!BI167:BR167)</f>
        <v>0.8259</v>
      </c>
      <c r="T167" s="0" t="n">
        <f aca="false">SUM(Sheet1!BS167:CB167)</f>
        <v>0.1602</v>
      </c>
      <c r="U167" s="0" t="n">
        <f aca="false">SUM(Sheet1!CC167:CL167)</f>
        <v>0</v>
      </c>
      <c r="V167" s="0" t="n">
        <f aca="false">Sheet1!CM167</f>
        <v>0</v>
      </c>
    </row>
    <row r="168" customFormat="false" ht="15" hidden="false" customHeight="false" outlineLevel="0" collapsed="false">
      <c r="A168" s="0" t="str">
        <f aca="false">Sheet1!A168</f>
        <v>N2817</v>
      </c>
      <c r="B168" s="0" t="str">
        <f aca="false">Sheet1!B168</f>
        <v>ADVW</v>
      </c>
      <c r="C168" s="0" t="n">
        <f aca="false">Sheet1!C168</f>
        <v>342</v>
      </c>
      <c r="D168" s="0" t="str">
        <f aca="false">Sheet1!D168</f>
        <v>ADVW.342.4</v>
      </c>
      <c r="E168" s="0" t="n">
        <f aca="false">Sheet1!E168</f>
        <v>0</v>
      </c>
      <c r="F168" s="0" t="n">
        <f aca="false">Sheet1!F168</f>
        <v>1.3946</v>
      </c>
      <c r="G168" s="0" t="n">
        <f aca="false">Sheet1!G168</f>
        <v>1943.0262</v>
      </c>
      <c r="H168" s="0" t="n">
        <f aca="false">Sheet1!H168</f>
        <v>97.1251</v>
      </c>
      <c r="I168" s="0" t="n">
        <f aca="false">Sheet1!I168</f>
        <v>305.1274</v>
      </c>
      <c r="J168" s="0" t="n">
        <f aca="false">Sheet1!J168</f>
        <v>0.4267</v>
      </c>
      <c r="K168" s="0" t="n">
        <f aca="false">Sheet1!K168</f>
        <v>0</v>
      </c>
      <c r="L168" s="0" t="n">
        <f aca="false">SUM(Sheet1!O168:R168)</f>
        <v>451.7655</v>
      </c>
      <c r="M168" s="0" t="n">
        <f aca="false">SUM(Sheet1!S168:V168)</f>
        <v>190.3621</v>
      </c>
      <c r="N168" s="0" t="n">
        <f aca="false">SUM(Sheet1!W168:Z168)</f>
        <v>93.8365</v>
      </c>
      <c r="O168" s="0" t="n">
        <f aca="false">SUM(Sheet1!AA168:AD168)</f>
        <v>72.3741</v>
      </c>
      <c r="P168" s="0" t="n">
        <f aca="false">SUM(Sheet1!AE168:AN168)</f>
        <v>150.9726</v>
      </c>
      <c r="Q168" s="0" t="n">
        <f aca="false">SUM(Sheet1!AO168:AX168)</f>
        <v>107.8836</v>
      </c>
      <c r="R168" s="0" t="n">
        <f aca="false">SUM(Sheet1!AY168:BH168)</f>
        <v>19.5551</v>
      </c>
      <c r="S168" s="0" t="n">
        <f aca="false">SUM(Sheet1!BI168:BR168)</f>
        <v>1.5875</v>
      </c>
      <c r="T168" s="0" t="n">
        <f aca="false">SUM(Sheet1!BS168:CB168)</f>
        <v>0.2383</v>
      </c>
      <c r="U168" s="0" t="n">
        <f aca="false">SUM(Sheet1!CC168:CL168)</f>
        <v>0</v>
      </c>
      <c r="V168" s="0" t="n">
        <f aca="false">Sheet1!CM168</f>
        <v>0</v>
      </c>
    </row>
    <row r="169" customFormat="false" ht="15" hidden="false" customHeight="false" outlineLevel="0" collapsed="false">
      <c r="A169" s="0" t="str">
        <f aca="false">Sheet1!A169</f>
        <v>N2902</v>
      </c>
      <c r="B169" s="0" t="str">
        <f aca="false">Sheet1!B169</f>
        <v>VWAD</v>
      </c>
      <c r="C169" s="0" t="n">
        <f aca="false">Sheet1!C169</f>
        <v>89</v>
      </c>
      <c r="D169" s="0" t="str">
        <f aca="false">Sheet1!D169</f>
        <v>VWAD.89.16</v>
      </c>
      <c r="E169" s="0" t="n">
        <f aca="false">Sheet1!E169</f>
        <v>0</v>
      </c>
      <c r="F169" s="0" t="n">
        <f aca="false">Sheet1!F169</f>
        <v>0</v>
      </c>
      <c r="G169" s="0" t="n">
        <f aca="false">Sheet1!G169</f>
        <v>1262.9743</v>
      </c>
      <c r="H169" s="0" t="n">
        <f aca="false">Sheet1!H169</f>
        <v>83.641</v>
      </c>
      <c r="I169" s="0" t="n">
        <f aca="false">Sheet1!I169</f>
        <v>262.7658</v>
      </c>
      <c r="J169" s="0" t="n">
        <f aca="false">Sheet1!J169</f>
        <v>0.6612</v>
      </c>
      <c r="K169" s="0" t="n">
        <f aca="false">Sheet1!K169</f>
        <v>0</v>
      </c>
      <c r="L169" s="0" t="n">
        <f aca="false">SUM(Sheet1!O169:R169)</f>
        <v>273.9172</v>
      </c>
      <c r="M169" s="0" t="n">
        <f aca="false">SUM(Sheet1!S169:V169)</f>
        <v>148.8037</v>
      </c>
      <c r="N169" s="0" t="n">
        <f aca="false">SUM(Sheet1!W169:Z169)</f>
        <v>97.1279</v>
      </c>
      <c r="O169" s="0" t="n">
        <f aca="false">SUM(Sheet1!AA169:AD169)</f>
        <v>88.7413</v>
      </c>
      <c r="P169" s="0" t="n">
        <f aca="false">SUM(Sheet1!AE169:AN169)</f>
        <v>201.4238</v>
      </c>
      <c r="Q169" s="0" t="n">
        <f aca="false">SUM(Sheet1!AO169:AX169)</f>
        <v>101.2368</v>
      </c>
      <c r="R169" s="0" t="n">
        <f aca="false">SUM(Sheet1!AY169:BH169)</f>
        <v>13.3553</v>
      </c>
      <c r="S169" s="0" t="n">
        <f aca="false">SUM(Sheet1!BI169:BR169)</f>
        <v>1.7499</v>
      </c>
      <c r="T169" s="0" t="n">
        <f aca="false">SUM(Sheet1!BS169:CB169)</f>
        <v>0.2084</v>
      </c>
      <c r="U169" s="0" t="n">
        <f aca="false">SUM(Sheet1!CC169:CL169)</f>
        <v>0</v>
      </c>
      <c r="V169" s="0" t="n">
        <f aca="false">Sheet1!CM169</f>
        <v>0</v>
      </c>
    </row>
    <row r="170" customFormat="false" ht="15" hidden="false" customHeight="false" outlineLevel="0" collapsed="false">
      <c r="A170" s="0" t="str">
        <f aca="false">Sheet1!A170</f>
        <v>N2905</v>
      </c>
      <c r="B170" s="0" t="str">
        <f aca="false">Sheet1!B170</f>
        <v>ADVW</v>
      </c>
      <c r="C170" s="0" t="n">
        <f aca="false">Sheet1!C170</f>
        <v>307</v>
      </c>
      <c r="D170" s="0" t="str">
        <f aca="false">Sheet1!D170</f>
        <v>ADVW.307.4</v>
      </c>
      <c r="E170" s="0" t="e">
        <f aca="false">Sheet1!E170</f>
        <v>#N/A</v>
      </c>
      <c r="F170" s="0" t="e">
        <f aca="false">Sheet1!F170</f>
        <v>#N/A</v>
      </c>
      <c r="G170" s="0" t="n">
        <f aca="false">Sheet1!G170</f>
        <v>1165.4498</v>
      </c>
      <c r="H170" s="0" t="n">
        <f aca="false">Sheet1!H170</f>
        <v>76.7858</v>
      </c>
      <c r="I170" s="0" t="n">
        <f aca="false">Sheet1!I170</f>
        <v>241.2297</v>
      </c>
      <c r="J170" s="0" t="n">
        <f aca="false">Sheet1!J170</f>
        <v>0.66095</v>
      </c>
      <c r="K170" s="0" t="n">
        <f aca="false">Sheet1!K170</f>
        <v>0</v>
      </c>
      <c r="L170" s="0" t="n">
        <f aca="false">SUM(Sheet1!O170:R170)</f>
        <v>205.2331</v>
      </c>
      <c r="M170" s="0" t="n">
        <f aca="false">SUM(Sheet1!S170:V170)</f>
        <v>102.3154</v>
      </c>
      <c r="N170" s="0" t="n">
        <f aca="false">SUM(Sheet1!W170:Z170)</f>
        <v>59.4928</v>
      </c>
      <c r="O170" s="0" t="n">
        <f aca="false">SUM(Sheet1!AA170:AD170)</f>
        <v>68.4726</v>
      </c>
      <c r="P170" s="0" t="n">
        <f aca="false">SUM(Sheet1!AE170:AN170)</f>
        <v>218.1512</v>
      </c>
      <c r="Q170" s="0" t="n">
        <f aca="false">SUM(Sheet1!AO170:AX170)</f>
        <v>96.121</v>
      </c>
      <c r="R170" s="0" t="n">
        <f aca="false">SUM(Sheet1!AY170:BH170)</f>
        <v>8.3226</v>
      </c>
      <c r="S170" s="0" t="n">
        <f aca="false">SUM(Sheet1!BI170:BR170)</f>
        <v>0.4279</v>
      </c>
      <c r="T170" s="0" t="n">
        <f aca="false">SUM(Sheet1!BS170:CB170)</f>
        <v>0.0423</v>
      </c>
      <c r="U170" s="0" t="n">
        <f aca="false">SUM(Sheet1!CC170:CL170)</f>
        <v>0</v>
      </c>
      <c r="V170" s="0" t="n">
        <f aca="false">Sheet1!CM170</f>
        <v>0</v>
      </c>
    </row>
    <row r="171" customFormat="false" ht="15" hidden="false" customHeight="false" outlineLevel="0" collapsed="false">
      <c r="A171" s="0" t="str">
        <f aca="false">Sheet1!A171</f>
        <v>N2908</v>
      </c>
      <c r="B171" s="0" t="str">
        <f aca="false">Sheet1!B171</f>
        <v>VWAD</v>
      </c>
      <c r="C171" s="0" t="n">
        <f aca="false">Sheet1!C171</f>
        <v>192</v>
      </c>
      <c r="D171" s="0" t="str">
        <f aca="false">Sheet1!D171</f>
        <v>VWAD.192.4</v>
      </c>
      <c r="E171" s="0" t="n">
        <f aca="false">Sheet1!E171</f>
        <v>0</v>
      </c>
      <c r="F171" s="0" t="n">
        <f aca="false">Sheet1!F171</f>
        <v>0</v>
      </c>
      <c r="G171" s="0" t="n">
        <f aca="false">Sheet1!G171</f>
        <v>1404.9714</v>
      </c>
      <c r="H171" s="0" t="n">
        <f aca="false">Sheet1!H171</f>
        <v>85.8671</v>
      </c>
      <c r="I171" s="0" t="n">
        <f aca="false">Sheet1!I171</f>
        <v>269.7592</v>
      </c>
      <c r="J171" s="0" t="n">
        <f aca="false">Sheet1!J171</f>
        <v>0.5757</v>
      </c>
      <c r="K171" s="0" t="n">
        <f aca="false">Sheet1!K171</f>
        <v>0</v>
      </c>
      <c r="L171" s="0" t="n">
        <f aca="false">SUM(Sheet1!O171:R171)</f>
        <v>394.9092</v>
      </c>
      <c r="M171" s="0" t="n">
        <f aca="false">SUM(Sheet1!S171:V171)</f>
        <v>279.3047</v>
      </c>
      <c r="N171" s="0" t="n">
        <f aca="false">SUM(Sheet1!W171:Z171)</f>
        <v>182.1802</v>
      </c>
      <c r="O171" s="0" t="n">
        <f aca="false">SUM(Sheet1!AA171:AD171)</f>
        <v>110.342</v>
      </c>
      <c r="P171" s="0" t="n">
        <f aca="false">SUM(Sheet1!AE171:AN171)</f>
        <v>115.1964</v>
      </c>
      <c r="Q171" s="0" t="n">
        <f aca="false">SUM(Sheet1!AO171:AX171)</f>
        <v>75.0524</v>
      </c>
      <c r="R171" s="0" t="n">
        <f aca="false">SUM(Sheet1!AY171:BH171)</f>
        <v>20.7642</v>
      </c>
      <c r="S171" s="0" t="n">
        <f aca="false">SUM(Sheet1!BI171:BR171)</f>
        <v>0.5953</v>
      </c>
      <c r="T171" s="0" t="n">
        <f aca="false">SUM(Sheet1!BS171:CB171)</f>
        <v>0</v>
      </c>
      <c r="U171" s="0" t="n">
        <f aca="false">SUM(Sheet1!CC171:CL171)</f>
        <v>0.0898</v>
      </c>
      <c r="V171" s="0" t="n">
        <f aca="false">Sheet1!CM171</f>
        <v>0</v>
      </c>
    </row>
    <row r="172" customFormat="false" ht="15" hidden="false" customHeight="false" outlineLevel="0" collapsed="false">
      <c r="A172" s="0" t="str">
        <f aca="false">Sheet1!A172</f>
        <v>N2919</v>
      </c>
      <c r="B172" s="0" t="str">
        <f aca="false">Sheet1!B172</f>
        <v>VWAD</v>
      </c>
      <c r="C172" s="0" t="n">
        <f aca="false">Sheet1!C172</f>
        <v>153</v>
      </c>
      <c r="D172" s="0" t="str">
        <f aca="false">Sheet1!D172</f>
        <v>VWAD.153.8</v>
      </c>
      <c r="E172" s="0" t="n">
        <f aca="false">Sheet1!E172</f>
        <v>0</v>
      </c>
      <c r="F172" s="0" t="e">
        <f aca="false">Sheet1!F172</f>
        <v>#N/A</v>
      </c>
      <c r="G172" s="0" t="n">
        <f aca="false">Sheet1!G172</f>
        <v>1716.2486</v>
      </c>
      <c r="H172" s="0" t="n">
        <f aca="false">Sheet1!H172</f>
        <v>128.6531</v>
      </c>
      <c r="I172" s="0" t="n">
        <f aca="false">Sheet1!I172</f>
        <v>404.1757</v>
      </c>
      <c r="J172" s="0" t="n">
        <f aca="false">Sheet1!J172</f>
        <v>0.71375</v>
      </c>
      <c r="K172" s="0" t="n">
        <f aca="false">Sheet1!K172</f>
        <v>0.254</v>
      </c>
      <c r="L172" s="0" t="n">
        <f aca="false">SUM(Sheet1!O172:R172)</f>
        <v>696.6405</v>
      </c>
      <c r="M172" s="0" t="n">
        <f aca="false">SUM(Sheet1!S172:V172)</f>
        <v>262.0193</v>
      </c>
      <c r="N172" s="0" t="n">
        <f aca="false">SUM(Sheet1!W172:Z172)</f>
        <v>98.8553</v>
      </c>
      <c r="O172" s="0" t="n">
        <f aca="false">SUM(Sheet1!AA172:AD172)</f>
        <v>59.0198</v>
      </c>
      <c r="P172" s="0" t="n">
        <f aca="false">SUM(Sheet1!AE172:AN172)</f>
        <v>136.5157</v>
      </c>
      <c r="Q172" s="0" t="n">
        <f aca="false">SUM(Sheet1!AO172:AX172)</f>
        <v>162.1641</v>
      </c>
      <c r="R172" s="0" t="n">
        <f aca="false">SUM(Sheet1!AY172:BH172)</f>
        <v>54.7778</v>
      </c>
      <c r="S172" s="0" t="n">
        <f aca="false">SUM(Sheet1!BI172:BR172)</f>
        <v>6.3655</v>
      </c>
      <c r="T172" s="0" t="n">
        <f aca="false">SUM(Sheet1!BS172:CB172)</f>
        <v>3.0686</v>
      </c>
      <c r="U172" s="0" t="n">
        <f aca="false">SUM(Sheet1!CC172:CL172)</f>
        <v>0.7504</v>
      </c>
      <c r="V172" s="0" t="n">
        <f aca="false">Sheet1!CM172</f>
        <v>0.4399</v>
      </c>
    </row>
    <row r="173" customFormat="false" ht="15" hidden="false" customHeight="false" outlineLevel="0" collapsed="false">
      <c r="A173" s="0" t="str">
        <f aca="false">Sheet1!A173</f>
        <v>N3001</v>
      </c>
      <c r="B173" s="0" t="str">
        <f aca="false">Sheet1!B173</f>
        <v>ADVW</v>
      </c>
      <c r="C173" s="0" t="n">
        <f aca="false">Sheet1!C173</f>
        <v>234</v>
      </c>
      <c r="D173" s="0" t="str">
        <f aca="false">Sheet1!D173</f>
        <v>ADVW.234.4</v>
      </c>
      <c r="E173" s="0" t="n">
        <f aca="false">Sheet1!E173</f>
        <v>0</v>
      </c>
      <c r="F173" s="0" t="n">
        <f aca="false">Sheet1!F173</f>
        <v>0</v>
      </c>
      <c r="G173" s="0" t="n">
        <f aca="false">Sheet1!G173</f>
        <v>4214.5063</v>
      </c>
      <c r="H173" s="0" t="n">
        <f aca="false">Sheet1!H173</f>
        <v>236.7769</v>
      </c>
      <c r="I173" s="0" t="n">
        <f aca="false">Sheet1!I173</f>
        <v>743.8565</v>
      </c>
      <c r="J173" s="0" t="n">
        <f aca="false">Sheet1!J173</f>
        <v>0.55515</v>
      </c>
      <c r="K173" s="0" t="n">
        <f aca="false">Sheet1!K173</f>
        <v>0.0212</v>
      </c>
      <c r="L173" s="0" t="n">
        <f aca="false">SUM(Sheet1!O173:R173)</f>
        <v>1216.4358</v>
      </c>
      <c r="M173" s="0" t="n">
        <f aca="false">SUM(Sheet1!S173:V173)</f>
        <v>342.4453</v>
      </c>
      <c r="N173" s="0" t="n">
        <f aca="false">SUM(Sheet1!W173:Z173)</f>
        <v>206.8468</v>
      </c>
      <c r="O173" s="0" t="n">
        <f aca="false">SUM(Sheet1!AA173:AD173)</f>
        <v>142.6577</v>
      </c>
      <c r="P173" s="0" t="n">
        <f aca="false">SUM(Sheet1!AE173:AN173)</f>
        <v>347.4182</v>
      </c>
      <c r="Q173" s="0" t="n">
        <f aca="false">SUM(Sheet1!AO173:AX173)</f>
        <v>288.3462</v>
      </c>
      <c r="R173" s="0" t="n">
        <f aca="false">SUM(Sheet1!AY173:BH173)</f>
        <v>85.4079</v>
      </c>
      <c r="S173" s="0" t="n">
        <f aca="false">SUM(Sheet1!BI173:BR173)</f>
        <v>23.2649</v>
      </c>
      <c r="T173" s="0" t="n">
        <f aca="false">SUM(Sheet1!BS173:CB173)</f>
        <v>8.1232</v>
      </c>
      <c r="U173" s="0" t="n">
        <f aca="false">SUM(Sheet1!CC173:CL173)</f>
        <v>2.1037</v>
      </c>
      <c r="V173" s="0" t="n">
        <f aca="false">Sheet1!CM173</f>
        <v>2.3313</v>
      </c>
    </row>
    <row r="174" customFormat="false" ht="15" hidden="false" customHeight="false" outlineLevel="0" collapsed="false">
      <c r="A174" s="0" t="str">
        <f aca="false">Sheet1!A174</f>
        <v>N3009</v>
      </c>
      <c r="B174" s="0" t="str">
        <f aca="false">Sheet1!B174</f>
        <v>VWAD</v>
      </c>
      <c r="C174" s="0" t="n">
        <f aca="false">Sheet1!C174</f>
        <v>114</v>
      </c>
      <c r="D174" s="0" t="str">
        <f aca="false">Sheet1!D174</f>
        <v>VWAD.114.16</v>
      </c>
      <c r="E174" s="0" t="n">
        <f aca="false">Sheet1!E174</f>
        <v>0</v>
      </c>
      <c r="F174" s="0" t="n">
        <f aca="false">Sheet1!F174</f>
        <v>0</v>
      </c>
      <c r="G174" s="0" t="n">
        <f aca="false">Sheet1!G174</f>
        <v>5097.1972</v>
      </c>
      <c r="H174" s="0" t="n">
        <f aca="false">Sheet1!H174</f>
        <v>423.8456</v>
      </c>
      <c r="I174" s="0" t="n">
        <f aca="false">Sheet1!I174</f>
        <v>1331.5503</v>
      </c>
      <c r="J174" s="0" t="n">
        <f aca="false">Sheet1!J174</f>
        <v>0.835157142857143</v>
      </c>
      <c r="K174" s="0" t="n">
        <f aca="false">Sheet1!K174</f>
        <v>0.0968</v>
      </c>
      <c r="L174" s="0" t="n">
        <f aca="false">SUM(Sheet1!O174:R174)</f>
        <v>1073.8642</v>
      </c>
      <c r="M174" s="0" t="n">
        <f aca="false">SUM(Sheet1!S174:V174)</f>
        <v>585.6279</v>
      </c>
      <c r="N174" s="0" t="n">
        <f aca="false">SUM(Sheet1!W174:Z174)</f>
        <v>421.8855</v>
      </c>
      <c r="O174" s="0" t="n">
        <f aca="false">SUM(Sheet1!AA174:AD174)</f>
        <v>319.6073</v>
      </c>
      <c r="P174" s="0" t="n">
        <f aca="false">SUM(Sheet1!AE174:AN174)</f>
        <v>801.1374</v>
      </c>
      <c r="Q174" s="0" t="n">
        <f aca="false">SUM(Sheet1!AO174:AX174)</f>
        <v>736.7976</v>
      </c>
      <c r="R174" s="0" t="n">
        <f aca="false">SUM(Sheet1!AY174:BH174)</f>
        <v>156.8855</v>
      </c>
      <c r="S174" s="0" t="n">
        <f aca="false">SUM(Sheet1!BI174:BR174)</f>
        <v>30.7626</v>
      </c>
      <c r="T174" s="0" t="n">
        <f aca="false">SUM(Sheet1!BS174:CB174)</f>
        <v>4.6275</v>
      </c>
      <c r="U174" s="0" t="n">
        <f aca="false">SUM(Sheet1!CC174:CL174)</f>
        <v>2.5276</v>
      </c>
      <c r="V174" s="0" t="n">
        <f aca="false">Sheet1!CM174</f>
        <v>0.197</v>
      </c>
    </row>
    <row r="175" customFormat="false" ht="15" hidden="false" customHeight="false" outlineLevel="0" collapsed="false">
      <c r="A175" s="0" t="str">
        <f aca="false">Sheet1!A175</f>
        <v>N3012</v>
      </c>
      <c r="B175" s="0" t="str">
        <f aca="false">Sheet1!B175</f>
        <v>VWAD</v>
      </c>
      <c r="C175" s="0" t="n">
        <f aca="false">Sheet1!C175</f>
        <v>13</v>
      </c>
      <c r="D175" s="0" t="str">
        <f aca="false">Sheet1!D175</f>
        <v>VWAD.13.4</v>
      </c>
      <c r="E175" s="0" t="n">
        <f aca="false">Sheet1!E175</f>
        <v>0</v>
      </c>
      <c r="F175" s="0" t="e">
        <f aca="false">Sheet1!F175</f>
        <v>#N/A</v>
      </c>
      <c r="G175" s="0" t="n">
        <f aca="false">Sheet1!G175</f>
        <v>1335.5279</v>
      </c>
      <c r="H175" s="0" t="n">
        <f aca="false">Sheet1!H175</f>
        <v>104.4296</v>
      </c>
      <c r="I175" s="0" t="n">
        <f aca="false">Sheet1!I175</f>
        <v>328.0755</v>
      </c>
      <c r="J175" s="0" t="n">
        <f aca="false">Sheet1!J175</f>
        <v>0.7671</v>
      </c>
      <c r="K175" s="0" t="n">
        <f aca="false">Sheet1!K175</f>
        <v>0</v>
      </c>
      <c r="L175" s="0" t="n">
        <f aca="false">SUM(Sheet1!O175:R175)</f>
        <v>252.698</v>
      </c>
      <c r="M175" s="0" t="n">
        <f aca="false">SUM(Sheet1!S175:V175)</f>
        <v>177.9429</v>
      </c>
      <c r="N175" s="0" t="n">
        <f aca="false">SUM(Sheet1!W175:Z175)</f>
        <v>100.3787</v>
      </c>
      <c r="O175" s="0" t="n">
        <f aca="false">SUM(Sheet1!AA175:AD175)</f>
        <v>77.3094</v>
      </c>
      <c r="P175" s="0" t="n">
        <f aca="false">SUM(Sheet1!AE175:AN175)</f>
        <v>201.0619</v>
      </c>
      <c r="Q175" s="0" t="n">
        <f aca="false">SUM(Sheet1!AO175:AX175)</f>
        <v>185.4307</v>
      </c>
      <c r="R175" s="0" t="n">
        <f aca="false">SUM(Sheet1!AY175:BH175)</f>
        <v>33.2387</v>
      </c>
      <c r="S175" s="0" t="n">
        <f aca="false">SUM(Sheet1!BI175:BR175)</f>
        <v>3.8155</v>
      </c>
      <c r="T175" s="0" t="n">
        <f aca="false">SUM(Sheet1!BS175:CB175)</f>
        <v>0.44</v>
      </c>
      <c r="U175" s="0" t="n">
        <f aca="false">SUM(Sheet1!CC175:CL175)</f>
        <v>0</v>
      </c>
      <c r="V175" s="0" t="n">
        <f aca="false">Sheet1!CM175</f>
        <v>0</v>
      </c>
    </row>
    <row r="176" customFormat="false" ht="15" hidden="false" customHeight="false" outlineLevel="0" collapsed="false">
      <c r="A176" s="0" t="str">
        <f aca="false">Sheet1!A176</f>
        <v>N3018</v>
      </c>
      <c r="B176" s="0" t="str">
        <f aca="false">Sheet1!B176</f>
        <v>VWAD</v>
      </c>
      <c r="C176" s="0" t="n">
        <f aca="false">Sheet1!C176</f>
        <v>184</v>
      </c>
      <c r="D176" s="0" t="str">
        <f aca="false">Sheet1!D176</f>
        <v>VWAD.184.4</v>
      </c>
      <c r="E176" s="0" t="n">
        <f aca="false">Sheet1!E176</f>
        <v>0</v>
      </c>
      <c r="F176" s="0" t="e">
        <f aca="false">Sheet1!F176</f>
        <v>#N/A</v>
      </c>
      <c r="G176" s="0" t="n">
        <f aca="false">Sheet1!G176</f>
        <v>1471.09</v>
      </c>
      <c r="H176" s="0" t="n">
        <f aca="false">Sheet1!H176</f>
        <v>157.7588</v>
      </c>
      <c r="I176" s="0" t="n">
        <f aca="false">Sheet1!I176</f>
        <v>495.6137</v>
      </c>
      <c r="J176" s="0" t="n">
        <f aca="false">Sheet1!J176</f>
        <v>1.0846</v>
      </c>
      <c r="K176" s="0" t="n">
        <f aca="false">Sheet1!K176</f>
        <v>0</v>
      </c>
      <c r="L176" s="0" t="n">
        <f aca="false">SUM(Sheet1!O176:R176)</f>
        <v>289.5691</v>
      </c>
      <c r="M176" s="0" t="n">
        <f aca="false">SUM(Sheet1!S176:V176)</f>
        <v>210.4816</v>
      </c>
      <c r="N176" s="0" t="n">
        <f aca="false">SUM(Sheet1!W176:Z176)</f>
        <v>147.8743</v>
      </c>
      <c r="O176" s="0" t="n">
        <f aca="false">SUM(Sheet1!AA176:AD176)</f>
        <v>130.7867</v>
      </c>
      <c r="P176" s="0" t="n">
        <f aca="false">SUM(Sheet1!AE176:AN176)</f>
        <v>284.8464</v>
      </c>
      <c r="Q176" s="0" t="n">
        <f aca="false">SUM(Sheet1!AO176:AX176)</f>
        <v>262.2614</v>
      </c>
      <c r="R176" s="0" t="n">
        <f aca="false">SUM(Sheet1!AY176:BH176)</f>
        <v>51.4706</v>
      </c>
      <c r="S176" s="0" t="n">
        <f aca="false">SUM(Sheet1!BI176:BR176)</f>
        <v>8.1096</v>
      </c>
      <c r="T176" s="0" t="n">
        <f aca="false">SUM(Sheet1!BS176:CB176)</f>
        <v>1.8034</v>
      </c>
      <c r="U176" s="0" t="n">
        <f aca="false">SUM(Sheet1!CC176:CL176)</f>
        <v>0.6692</v>
      </c>
      <c r="V176" s="0" t="n">
        <f aca="false">Sheet1!CM176</f>
        <v>0.6088</v>
      </c>
    </row>
    <row r="177" customFormat="false" ht="15" hidden="false" customHeight="false" outlineLevel="0" collapsed="false">
      <c r="A177" s="0" t="str">
        <f aca="false">Sheet1!A177</f>
        <v>N3102</v>
      </c>
      <c r="B177" s="0" t="str">
        <f aca="false">Sheet1!B177</f>
        <v>ADVW</v>
      </c>
      <c r="C177" s="0" t="n">
        <f aca="false">Sheet1!C177</f>
        <v>387</v>
      </c>
      <c r="D177" s="0" t="str">
        <f aca="false">Sheet1!D177</f>
        <v>ADVW.387.4</v>
      </c>
      <c r="E177" s="0" t="n">
        <f aca="false">Sheet1!E177</f>
        <v>0</v>
      </c>
      <c r="F177" s="0" t="e">
        <f aca="false">Sheet1!F177</f>
        <v>#N/A</v>
      </c>
      <c r="G177" s="0" t="n">
        <f aca="false">Sheet1!G177</f>
        <v>1155.5518</v>
      </c>
      <c r="H177" s="0" t="n">
        <f aca="false">Sheet1!H177</f>
        <v>99.4647</v>
      </c>
      <c r="I177" s="0" t="n">
        <f aca="false">Sheet1!I177</f>
        <v>312.4776</v>
      </c>
      <c r="J177" s="0" t="n">
        <f aca="false">Sheet1!J177</f>
        <v>0.86765</v>
      </c>
      <c r="K177" s="0" t="n">
        <f aca="false">Sheet1!K177</f>
        <v>0</v>
      </c>
      <c r="L177" s="0" t="n">
        <f aca="false">SUM(Sheet1!O177:R177)</f>
        <v>163.7574</v>
      </c>
      <c r="M177" s="0" t="n">
        <f aca="false">SUM(Sheet1!S177:V177)</f>
        <v>85.5397</v>
      </c>
      <c r="N177" s="0" t="n">
        <f aca="false">SUM(Sheet1!W177:Z177)</f>
        <v>74.2675</v>
      </c>
      <c r="O177" s="0" t="n">
        <f aca="false">SUM(Sheet1!AA177:AD177)</f>
        <v>85.6796</v>
      </c>
      <c r="P177" s="0" t="n">
        <f aca="false">SUM(Sheet1!AE177:AN177)</f>
        <v>243.8734</v>
      </c>
      <c r="Q177" s="0" t="n">
        <f aca="false">SUM(Sheet1!AO177:AX177)</f>
        <v>141.4195</v>
      </c>
      <c r="R177" s="0" t="n">
        <f aca="false">SUM(Sheet1!AY177:BH177)</f>
        <v>29.7918</v>
      </c>
      <c r="S177" s="0" t="n">
        <f aca="false">SUM(Sheet1!BI177:BR177)</f>
        <v>9.6656</v>
      </c>
      <c r="T177" s="0" t="n">
        <f aca="false">SUM(Sheet1!BS177:CB177)</f>
        <v>5.8151</v>
      </c>
      <c r="U177" s="0" t="n">
        <f aca="false">SUM(Sheet1!CC177:CL177)</f>
        <v>0.8525</v>
      </c>
      <c r="V177" s="0" t="n">
        <f aca="false">Sheet1!CM177</f>
        <v>0.774</v>
      </c>
    </row>
    <row r="178" customFormat="false" ht="15" hidden="false" customHeight="false" outlineLevel="0" collapsed="false">
      <c r="A178" s="0" t="str">
        <f aca="false">Sheet1!A178</f>
        <v>N3104</v>
      </c>
      <c r="B178" s="0" t="str">
        <f aca="false">Sheet1!B178</f>
        <v>ADVW</v>
      </c>
      <c r="C178" s="0" t="n">
        <f aca="false">Sheet1!C178</f>
        <v>390</v>
      </c>
      <c r="D178" s="0" t="str">
        <f aca="false">Sheet1!D178</f>
        <v>ADVW.390.4</v>
      </c>
      <c r="E178" s="0" t="n">
        <f aca="false">Sheet1!E178</f>
        <v>0</v>
      </c>
      <c r="F178" s="0" t="e">
        <f aca="false">Sheet1!F178</f>
        <v>#N/A</v>
      </c>
      <c r="G178" s="0" t="n">
        <f aca="false">Sheet1!G178</f>
        <v>736.9696</v>
      </c>
      <c r="H178" s="0" t="n">
        <f aca="false">Sheet1!H178</f>
        <v>56.3686</v>
      </c>
      <c r="I178" s="0" t="n">
        <f aca="false">Sheet1!I178</f>
        <v>177.0873</v>
      </c>
      <c r="J178" s="0" t="n">
        <f aca="false">Sheet1!J178</f>
        <v>0.7649</v>
      </c>
      <c r="K178" s="0" t="n">
        <f aca="false">Sheet1!K178</f>
        <v>0</v>
      </c>
      <c r="L178" s="0" t="n">
        <f aca="false">SUM(Sheet1!O178:R178)</f>
        <v>160.007</v>
      </c>
      <c r="M178" s="0" t="n">
        <f aca="false">SUM(Sheet1!S178:V178)</f>
        <v>90.7941</v>
      </c>
      <c r="N178" s="0" t="n">
        <f aca="false">SUM(Sheet1!W178:Z178)</f>
        <v>66.9431</v>
      </c>
      <c r="O178" s="0" t="n">
        <f aca="false">SUM(Sheet1!AA178:AD178)</f>
        <v>30.249</v>
      </c>
      <c r="P178" s="0" t="n">
        <f aca="false">SUM(Sheet1!AE178:AN178)</f>
        <v>104.9092</v>
      </c>
      <c r="Q178" s="0" t="n">
        <f aca="false">SUM(Sheet1!AO178:AX178)</f>
        <v>84.9353</v>
      </c>
      <c r="R178" s="0" t="n">
        <f aca="false">SUM(Sheet1!AY178:BH178)</f>
        <v>22.9274</v>
      </c>
      <c r="S178" s="0" t="n">
        <f aca="false">SUM(Sheet1!BI178:BR178)</f>
        <v>3.3965</v>
      </c>
      <c r="T178" s="0" t="n">
        <f aca="false">SUM(Sheet1!BS178:CB178)</f>
        <v>0.6191</v>
      </c>
      <c r="U178" s="0" t="n">
        <f aca="false">SUM(Sheet1!CC178:CL178)</f>
        <v>0.0566</v>
      </c>
      <c r="V178" s="0" t="n">
        <f aca="false">Sheet1!CM178</f>
        <v>0</v>
      </c>
    </row>
    <row r="179" customFormat="false" ht="15" hidden="false" customHeight="false" outlineLevel="0" collapsed="false">
      <c r="A179" s="0" t="str">
        <f aca="false">Sheet1!A179</f>
        <v>N3112</v>
      </c>
      <c r="B179" s="0" t="str">
        <f aca="false">Sheet1!B179</f>
        <v>VWAD</v>
      </c>
      <c r="C179" s="0" t="n">
        <f aca="false">Sheet1!C179</f>
        <v>1</v>
      </c>
      <c r="D179" s="0" t="str">
        <f aca="false">Sheet1!D179</f>
        <v>VWAD.1.4</v>
      </c>
      <c r="E179" s="0" t="n">
        <f aca="false">Sheet1!E179</f>
        <v>0</v>
      </c>
      <c r="F179" s="0" t="n">
        <f aca="false">Sheet1!F179</f>
        <v>0</v>
      </c>
      <c r="G179" s="0" t="n">
        <f aca="false">Sheet1!G179</f>
        <v>2625.4467</v>
      </c>
      <c r="H179" s="0" t="n">
        <f aca="false">Sheet1!H179</f>
        <v>170.9409</v>
      </c>
      <c r="I179" s="0" t="n">
        <f aca="false">Sheet1!I179</f>
        <v>537.0264</v>
      </c>
      <c r="J179" s="0" t="n">
        <f aca="false">Sheet1!J179</f>
        <v>0.580366666666667</v>
      </c>
      <c r="K179" s="0" t="n">
        <f aca="false">Sheet1!K179</f>
        <v>0.0254</v>
      </c>
      <c r="L179" s="0" t="n">
        <f aca="false">SUM(Sheet1!O179:R179)</f>
        <v>757.174</v>
      </c>
      <c r="M179" s="0" t="n">
        <f aca="false">SUM(Sheet1!S179:V179)</f>
        <v>248.4183</v>
      </c>
      <c r="N179" s="0" t="n">
        <f aca="false">SUM(Sheet1!W179:Z179)</f>
        <v>158.3565</v>
      </c>
      <c r="O179" s="0" t="n">
        <f aca="false">SUM(Sheet1!AA179:AD179)</f>
        <v>113.4225</v>
      </c>
      <c r="P179" s="0" t="n">
        <f aca="false">SUM(Sheet1!AE179:AN179)</f>
        <v>279.3815</v>
      </c>
      <c r="Q179" s="0" t="n">
        <f aca="false">SUM(Sheet1!AO179:AX179)</f>
        <v>228.025</v>
      </c>
      <c r="R179" s="0" t="n">
        <f aca="false">SUM(Sheet1!AY179:BH179)</f>
        <v>66.4513</v>
      </c>
      <c r="S179" s="0" t="n">
        <f aca="false">SUM(Sheet1!BI179:BR179)</f>
        <v>14.8409</v>
      </c>
      <c r="T179" s="0" t="n">
        <f aca="false">SUM(Sheet1!BS179:CB179)</f>
        <v>5.0604</v>
      </c>
      <c r="U179" s="0" t="n">
        <f aca="false">SUM(Sheet1!CC179:CL179)</f>
        <v>1.8007</v>
      </c>
      <c r="V179" s="0" t="n">
        <f aca="false">Sheet1!CM179</f>
        <v>1.0214</v>
      </c>
    </row>
    <row r="180" customFormat="false" ht="15" hidden="false" customHeight="false" outlineLevel="0" collapsed="false">
      <c r="A180" s="0" t="str">
        <f aca="false">Sheet1!A180</f>
        <v>N3113</v>
      </c>
      <c r="B180" s="0" t="str">
        <f aca="false">Sheet1!B180</f>
        <v>ADVW</v>
      </c>
      <c r="C180" s="0" t="n">
        <f aca="false">Sheet1!C180</f>
        <v>225</v>
      </c>
      <c r="D180" s="0" t="str">
        <f aca="false">Sheet1!D180</f>
        <v>ADVW.225.4</v>
      </c>
      <c r="E180" s="0" t="n">
        <f aca="false">Sheet1!E180</f>
        <v>0</v>
      </c>
      <c r="F180" s="0" t="n">
        <f aca="false">Sheet1!F180</f>
        <v>0</v>
      </c>
      <c r="G180" s="0" t="n">
        <f aca="false">Sheet1!G180</f>
        <v>3268.3338</v>
      </c>
      <c r="H180" s="0" t="n">
        <f aca="false">Sheet1!H180</f>
        <v>165.8436</v>
      </c>
      <c r="I180" s="0" t="n">
        <f aca="false">Sheet1!I180</f>
        <v>521.0129</v>
      </c>
      <c r="J180" s="0" t="n">
        <f aca="false">Sheet1!J180</f>
        <v>0.525575</v>
      </c>
      <c r="K180" s="0" t="n">
        <f aca="false">Sheet1!K180</f>
        <v>0.0049</v>
      </c>
      <c r="L180" s="0" t="n">
        <f aca="false">SUM(Sheet1!O180:R180)</f>
        <v>1083.8439</v>
      </c>
      <c r="M180" s="0" t="n">
        <f aca="false">SUM(Sheet1!S180:V180)</f>
        <v>425.3077</v>
      </c>
      <c r="N180" s="0" t="n">
        <f aca="false">SUM(Sheet1!W180:Z180)</f>
        <v>217.0161</v>
      </c>
      <c r="O180" s="0" t="n">
        <f aca="false">SUM(Sheet1!AA180:AD180)</f>
        <v>194.5209</v>
      </c>
      <c r="P180" s="0" t="n">
        <f aca="false">SUM(Sheet1!AE180:AN180)</f>
        <v>305.4004</v>
      </c>
      <c r="Q180" s="0" t="n">
        <f aca="false">SUM(Sheet1!AO180:AX180)</f>
        <v>107.9656</v>
      </c>
      <c r="R180" s="0" t="n">
        <f aca="false">SUM(Sheet1!AY180:BH180)</f>
        <v>23.0208</v>
      </c>
      <c r="S180" s="0" t="n">
        <f aca="false">SUM(Sheet1!BI180:BR180)</f>
        <v>0.5098</v>
      </c>
      <c r="T180" s="0" t="n">
        <f aca="false">SUM(Sheet1!BS180:CB180)</f>
        <v>0</v>
      </c>
      <c r="U180" s="0" t="n">
        <f aca="false">SUM(Sheet1!CC180:CL180)</f>
        <v>0</v>
      </c>
      <c r="V180" s="0" t="n">
        <f aca="false">Sheet1!CM180</f>
        <v>0</v>
      </c>
    </row>
    <row r="181" customFormat="false" ht="15" hidden="false" customHeight="false" outlineLevel="0" collapsed="false">
      <c r="A181" s="0" t="str">
        <f aca="false">Sheet1!A181</f>
        <v>N3115</v>
      </c>
      <c r="B181" s="0" t="str">
        <f aca="false">Sheet1!B181</f>
        <v>ADVW</v>
      </c>
      <c r="C181" s="0" t="n">
        <f aca="false">Sheet1!C181</f>
        <v>315</v>
      </c>
      <c r="D181" s="0" t="str">
        <f aca="false">Sheet1!D181</f>
        <v>ADVW.315.16</v>
      </c>
      <c r="E181" s="0" t="n">
        <f aca="false">Sheet1!E181</f>
        <v>0</v>
      </c>
      <c r="F181" s="0" t="n">
        <f aca="false">Sheet1!F181</f>
        <v>0</v>
      </c>
      <c r="G181" s="0" t="n">
        <f aca="false">Sheet1!G181</f>
        <v>2526.2563</v>
      </c>
      <c r="H181" s="0" t="n">
        <f aca="false">Sheet1!H181</f>
        <v>146.7992</v>
      </c>
      <c r="I181" s="0" t="n">
        <f aca="false">Sheet1!I181</f>
        <v>461.1832</v>
      </c>
      <c r="J181" s="0" t="n">
        <f aca="false">Sheet1!J181</f>
        <v>0.6197</v>
      </c>
      <c r="K181" s="0" t="n">
        <f aca="false">Sheet1!K181</f>
        <v>0.0006</v>
      </c>
      <c r="L181" s="0" t="n">
        <f aca="false">SUM(Sheet1!O181:R181)</f>
        <v>662.246</v>
      </c>
      <c r="M181" s="0" t="n">
        <f aca="false">SUM(Sheet1!S181:V181)</f>
        <v>190.8549</v>
      </c>
      <c r="N181" s="0" t="n">
        <f aca="false">SUM(Sheet1!W181:Z181)</f>
        <v>141.2517</v>
      </c>
      <c r="O181" s="0" t="n">
        <f aca="false">SUM(Sheet1!AA181:AD181)</f>
        <v>75.0826</v>
      </c>
      <c r="P181" s="0" t="n">
        <f aca="false">SUM(Sheet1!AE181:AN181)</f>
        <v>232.4372</v>
      </c>
      <c r="Q181" s="0" t="n">
        <f aca="false">SUM(Sheet1!AO181:AX181)</f>
        <v>232.6363</v>
      </c>
      <c r="R181" s="0" t="n">
        <f aca="false">SUM(Sheet1!AY181:BH181)</f>
        <v>41.8523</v>
      </c>
      <c r="S181" s="0" t="n">
        <f aca="false">SUM(Sheet1!BI181:BR181)</f>
        <v>8.273</v>
      </c>
      <c r="T181" s="0" t="n">
        <f aca="false">SUM(Sheet1!BS181:CB181)</f>
        <v>2.5105</v>
      </c>
      <c r="U181" s="0" t="n">
        <f aca="false">SUM(Sheet1!CC181:CL181)</f>
        <v>0</v>
      </c>
      <c r="V181" s="0" t="n">
        <f aca="false">Sheet1!CM181</f>
        <v>0</v>
      </c>
    </row>
    <row r="182" customFormat="false" ht="15" hidden="false" customHeight="false" outlineLevel="0" collapsed="false">
      <c r="A182" s="0" t="str">
        <f aca="false">Sheet1!A182</f>
        <v>N3118</v>
      </c>
      <c r="B182" s="0" t="str">
        <f aca="false">Sheet1!B182</f>
        <v>ADVW</v>
      </c>
      <c r="C182" s="0" t="n">
        <f aca="false">Sheet1!C182</f>
        <v>365</v>
      </c>
      <c r="D182" s="0" t="str">
        <f aca="false">Sheet1!D182</f>
        <v>ADVW.365.4</v>
      </c>
      <c r="E182" s="0" t="e">
        <f aca="false">Sheet1!E182</f>
        <v>#N/A</v>
      </c>
      <c r="F182" s="0" t="e">
        <f aca="false">Sheet1!F182</f>
        <v>#N/A</v>
      </c>
      <c r="G182" s="0" t="n">
        <f aca="false">Sheet1!G182</f>
        <v>4419.2567</v>
      </c>
      <c r="H182" s="0" t="n">
        <f aca="false">Sheet1!H182</f>
        <v>311.9166</v>
      </c>
      <c r="I182" s="0" t="n">
        <f aca="false">Sheet1!I182</f>
        <v>979.9149</v>
      </c>
      <c r="J182" s="0" t="n">
        <f aca="false">Sheet1!J182</f>
        <v>0.6925</v>
      </c>
      <c r="K182" s="0" t="n">
        <f aca="false">Sheet1!K182</f>
        <v>0</v>
      </c>
      <c r="L182" s="0" t="n">
        <f aca="false">SUM(Sheet1!O182:R182)</f>
        <v>774.3757</v>
      </c>
      <c r="M182" s="0" t="n">
        <f aca="false">SUM(Sheet1!S182:V182)</f>
        <v>399.4505</v>
      </c>
      <c r="N182" s="0" t="n">
        <f aca="false">SUM(Sheet1!W182:Z182)</f>
        <v>314.7506</v>
      </c>
      <c r="O182" s="0" t="n">
        <f aca="false">SUM(Sheet1!AA182:AD182)</f>
        <v>249.775</v>
      </c>
      <c r="P182" s="0" t="n">
        <f aca="false">SUM(Sheet1!AE182:AN182)</f>
        <v>538.3694</v>
      </c>
      <c r="Q182" s="0" t="n">
        <f aca="false">SUM(Sheet1!AO182:AX182)</f>
        <v>456.9041</v>
      </c>
      <c r="R182" s="0" t="n">
        <f aca="false">SUM(Sheet1!AY182:BH182)</f>
        <v>137.3974</v>
      </c>
      <c r="S182" s="0" t="n">
        <f aca="false">SUM(Sheet1!BI182:BR182)</f>
        <v>13.8349</v>
      </c>
      <c r="T182" s="0" t="n">
        <f aca="false">SUM(Sheet1!BS182:CB182)</f>
        <v>4.5836</v>
      </c>
      <c r="U182" s="0" t="n">
        <f aca="false">SUM(Sheet1!CC182:CL182)</f>
        <v>0.4056</v>
      </c>
      <c r="V182" s="0" t="n">
        <f aca="false">Sheet1!CM182</f>
        <v>0.3225</v>
      </c>
    </row>
    <row r="183" customFormat="false" ht="15" hidden="false" customHeight="false" outlineLevel="0" collapsed="false">
      <c r="A183" s="0" t="str">
        <f aca="false">Sheet1!A183</f>
        <v>N3119</v>
      </c>
      <c r="B183" s="0" t="str">
        <f aca="false">Sheet1!B183</f>
        <v>VWAD</v>
      </c>
      <c r="C183" s="0" t="n">
        <f aca="false">Sheet1!C183</f>
        <v>90</v>
      </c>
      <c r="D183" s="0" t="str">
        <f aca="false">Sheet1!D183</f>
        <v>VWAD.90.4</v>
      </c>
      <c r="E183" s="0" t="n">
        <f aca="false">Sheet1!E183</f>
        <v>0</v>
      </c>
      <c r="F183" s="0" t="n">
        <f aca="false">Sheet1!F183</f>
        <v>0</v>
      </c>
      <c r="G183" s="0" t="n">
        <f aca="false">Sheet1!G183</f>
        <v>2956.17</v>
      </c>
      <c r="H183" s="0" t="n">
        <f aca="false">Sheet1!H183</f>
        <v>193.4455</v>
      </c>
      <c r="I183" s="0" t="n">
        <f aca="false">Sheet1!I183</f>
        <v>607.7269</v>
      </c>
      <c r="J183" s="0" t="n">
        <f aca="false">Sheet1!J183</f>
        <v>0.65395</v>
      </c>
      <c r="K183" s="0" t="n">
        <f aca="false">Sheet1!K183</f>
        <v>0.033</v>
      </c>
      <c r="L183" s="0" t="n">
        <f aca="false">SUM(Sheet1!O183:R183)</f>
        <v>800.766</v>
      </c>
      <c r="M183" s="0" t="n">
        <f aca="false">SUM(Sheet1!S183:V183)</f>
        <v>299.0508</v>
      </c>
      <c r="N183" s="0" t="n">
        <f aca="false">SUM(Sheet1!W183:Z183)</f>
        <v>188.6237</v>
      </c>
      <c r="O183" s="0" t="n">
        <f aca="false">SUM(Sheet1!AA183:AD183)</f>
        <v>136.4552</v>
      </c>
      <c r="P183" s="0" t="n">
        <f aca="false">SUM(Sheet1!AE183:AN183)</f>
        <v>297.799</v>
      </c>
      <c r="Q183" s="0" t="n">
        <f aca="false">SUM(Sheet1!AO183:AX183)</f>
        <v>262.8598</v>
      </c>
      <c r="R183" s="0" t="n">
        <f aca="false">SUM(Sheet1!AY183:BH183)</f>
        <v>110.2588</v>
      </c>
      <c r="S183" s="0" t="n">
        <f aca="false">SUM(Sheet1!BI183:BR183)</f>
        <v>10.5573</v>
      </c>
      <c r="T183" s="0" t="n">
        <f aca="false">SUM(Sheet1!BS183:CB183)</f>
        <v>1.1193</v>
      </c>
      <c r="U183" s="0" t="n">
        <f aca="false">SUM(Sheet1!CC183:CL183)</f>
        <v>0.1341</v>
      </c>
      <c r="V183" s="0" t="n">
        <f aca="false">Sheet1!CM183</f>
        <v>0</v>
      </c>
    </row>
    <row r="184" customFormat="false" ht="15" hidden="false" customHeight="false" outlineLevel="0" collapsed="false">
      <c r="A184" s="0" t="str">
        <f aca="false">Sheet1!A184</f>
        <v>N3201</v>
      </c>
      <c r="B184" s="0" t="str">
        <f aca="false">Sheet1!B184</f>
        <v>ADVW</v>
      </c>
      <c r="C184" s="0" t="n">
        <f aca="false">Sheet1!C184</f>
        <v>233</v>
      </c>
      <c r="D184" s="0" t="str">
        <f aca="false">Sheet1!D184</f>
        <v>ADVW.233.4</v>
      </c>
      <c r="E184" s="0" t="n">
        <f aca="false">Sheet1!E184</f>
        <v>0</v>
      </c>
      <c r="F184" s="0" t="n">
        <f aca="false">Sheet1!F184</f>
        <v>0</v>
      </c>
      <c r="G184" s="0" t="n">
        <f aca="false">Sheet1!G184</f>
        <v>2800.6706</v>
      </c>
      <c r="H184" s="0" t="n">
        <f aca="false">Sheet1!H184</f>
        <v>163.8177</v>
      </c>
      <c r="I184" s="0" t="n">
        <f aca="false">Sheet1!I184</f>
        <v>514.6484</v>
      </c>
      <c r="J184" s="0" t="n">
        <f aca="false">Sheet1!J184</f>
        <v>0.59945</v>
      </c>
      <c r="K184" s="0" t="n">
        <f aca="false">Sheet1!K184</f>
        <v>0.5582</v>
      </c>
      <c r="L184" s="0" t="n">
        <f aca="false">SUM(Sheet1!O184:R184)</f>
        <v>886.221</v>
      </c>
      <c r="M184" s="0" t="n">
        <f aca="false">SUM(Sheet1!S184:V184)</f>
        <v>256.7803</v>
      </c>
      <c r="N184" s="0" t="n">
        <f aca="false">SUM(Sheet1!W184:Z184)</f>
        <v>143.8622</v>
      </c>
      <c r="O184" s="0" t="n">
        <f aca="false">SUM(Sheet1!AA184:AD184)</f>
        <v>85.4039</v>
      </c>
      <c r="P184" s="0" t="n">
        <f aca="false">SUM(Sheet1!AE184:AN184)</f>
        <v>309.6524</v>
      </c>
      <c r="Q184" s="0" t="n">
        <f aca="false">SUM(Sheet1!AO184:AX184)</f>
        <v>206.8346</v>
      </c>
      <c r="R184" s="0" t="n">
        <f aca="false">SUM(Sheet1!AY184:BH184)</f>
        <v>40.2562</v>
      </c>
      <c r="S184" s="0" t="n">
        <f aca="false">SUM(Sheet1!BI184:BR184)</f>
        <v>8.8618</v>
      </c>
      <c r="T184" s="0" t="n">
        <f aca="false">SUM(Sheet1!BS184:CB184)</f>
        <v>3.4007</v>
      </c>
      <c r="U184" s="0" t="n">
        <f aca="false">SUM(Sheet1!CC184:CL184)</f>
        <v>1.1371</v>
      </c>
      <c r="V184" s="0" t="n">
        <f aca="false">Sheet1!CM184</f>
        <v>0.5606</v>
      </c>
    </row>
    <row r="185" customFormat="false" ht="15" hidden="false" customHeight="false" outlineLevel="0" collapsed="false">
      <c r="A185" s="0" t="str">
        <f aca="false">Sheet1!A185</f>
        <v>N3203</v>
      </c>
      <c r="B185" s="0" t="str">
        <f aca="false">Sheet1!B185</f>
        <v>ADVW</v>
      </c>
      <c r="C185" s="0" t="n">
        <f aca="false">Sheet1!C185</f>
        <v>251</v>
      </c>
      <c r="D185" s="0" t="str">
        <f aca="false">Sheet1!D185</f>
        <v>ADVW.251.4</v>
      </c>
      <c r="E185" s="0" t="n">
        <f aca="false">Sheet1!E185</f>
        <v>0</v>
      </c>
      <c r="F185" s="0" t="e">
        <f aca="false">Sheet1!F185</f>
        <v>#N/A</v>
      </c>
      <c r="G185" s="0" t="n">
        <f aca="false">Sheet1!G185</f>
        <v>3138.9857</v>
      </c>
      <c r="H185" s="0" t="n">
        <f aca="false">Sheet1!H185</f>
        <v>201.893</v>
      </c>
      <c r="I185" s="0" t="n">
        <f aca="false">Sheet1!I185</f>
        <v>634.2654</v>
      </c>
      <c r="J185" s="0" t="n">
        <f aca="false">Sheet1!J185</f>
        <v>0.598475</v>
      </c>
      <c r="K185" s="0" t="n">
        <f aca="false">Sheet1!K185</f>
        <v>0</v>
      </c>
      <c r="L185" s="0" t="n">
        <f aca="false">SUM(Sheet1!O185:R185)</f>
        <v>661.1286</v>
      </c>
      <c r="M185" s="0" t="n">
        <f aca="false">SUM(Sheet1!S185:V185)</f>
        <v>240.7618</v>
      </c>
      <c r="N185" s="0" t="n">
        <f aca="false">SUM(Sheet1!W185:Z185)</f>
        <v>147.1628</v>
      </c>
      <c r="O185" s="0" t="n">
        <f aca="false">SUM(Sheet1!AA185:AD185)</f>
        <v>159.5191</v>
      </c>
      <c r="P185" s="0" t="n">
        <f aca="false">SUM(Sheet1!AE185:AN185)</f>
        <v>348.3647</v>
      </c>
      <c r="Q185" s="0" t="n">
        <f aca="false">SUM(Sheet1!AO185:AX185)</f>
        <v>325.1104</v>
      </c>
      <c r="R185" s="0" t="n">
        <f aca="false">SUM(Sheet1!AY185:BH185)</f>
        <v>59.086</v>
      </c>
      <c r="S185" s="0" t="n">
        <f aca="false">SUM(Sheet1!BI185:BR185)</f>
        <v>7.2001</v>
      </c>
      <c r="T185" s="0" t="n">
        <f aca="false">SUM(Sheet1!BS185:CB185)</f>
        <v>4.0349</v>
      </c>
      <c r="U185" s="0" t="n">
        <f aca="false">SUM(Sheet1!CC185:CL185)</f>
        <v>2.1356</v>
      </c>
      <c r="V185" s="0" t="n">
        <f aca="false">Sheet1!CM185</f>
        <v>0.2376</v>
      </c>
    </row>
    <row r="186" customFormat="false" ht="15" hidden="false" customHeight="false" outlineLevel="0" collapsed="false">
      <c r="A186" s="0" t="str">
        <f aca="false">Sheet1!A186</f>
        <v>N3204</v>
      </c>
      <c r="B186" s="0" t="str">
        <f aca="false">Sheet1!B186</f>
        <v>VWAD</v>
      </c>
      <c r="C186" s="0" t="n">
        <f aca="false">Sheet1!C186</f>
        <v>137</v>
      </c>
      <c r="D186" s="0" t="str">
        <f aca="false">Sheet1!D186</f>
        <v>VWAD.137.4</v>
      </c>
      <c r="E186" s="0" t="n">
        <f aca="false">Sheet1!E186</f>
        <v>0</v>
      </c>
      <c r="F186" s="0" t="e">
        <f aca="false">Sheet1!F186</f>
        <v>#N/A</v>
      </c>
      <c r="G186" s="0" t="n">
        <f aca="false">Sheet1!G186</f>
        <v>1682.6568</v>
      </c>
      <c r="H186" s="0" t="n">
        <f aca="false">Sheet1!H186</f>
        <v>97.4997</v>
      </c>
      <c r="I186" s="0" t="n">
        <f aca="false">Sheet1!I186</f>
        <v>306.3043</v>
      </c>
      <c r="J186" s="0" t="n">
        <f aca="false">Sheet1!J186</f>
        <v>0.613866666666667</v>
      </c>
      <c r="K186" s="0" t="n">
        <f aca="false">Sheet1!K186</f>
        <v>0</v>
      </c>
      <c r="L186" s="0" t="n">
        <f aca="false">SUM(Sheet1!O186:R186)</f>
        <v>437.3059</v>
      </c>
      <c r="M186" s="0" t="n">
        <f aca="false">SUM(Sheet1!S186:V186)</f>
        <v>166.6087</v>
      </c>
      <c r="N186" s="0" t="n">
        <f aca="false">SUM(Sheet1!W186:Z186)</f>
        <v>58.0063</v>
      </c>
      <c r="O186" s="0" t="n">
        <f aca="false">SUM(Sheet1!AA186:AD186)</f>
        <v>48.9622</v>
      </c>
      <c r="P186" s="0" t="n">
        <f aca="false">SUM(Sheet1!AE186:AN186)</f>
        <v>108.2609</v>
      </c>
      <c r="Q186" s="0" t="n">
        <f aca="false">SUM(Sheet1!AO186:AX186)</f>
        <v>137.5439</v>
      </c>
      <c r="R186" s="0" t="n">
        <f aca="false">SUM(Sheet1!AY186:BH186)</f>
        <v>50.9366</v>
      </c>
      <c r="S186" s="0" t="n">
        <f aca="false">SUM(Sheet1!BI186:BR186)</f>
        <v>7.2764</v>
      </c>
      <c r="T186" s="0" t="n">
        <f aca="false">SUM(Sheet1!BS186:CB186)</f>
        <v>1.0634</v>
      </c>
      <c r="U186" s="0" t="n">
        <f aca="false">SUM(Sheet1!CC186:CL186)</f>
        <v>0.1115</v>
      </c>
      <c r="V186" s="0" t="n">
        <f aca="false">Sheet1!CM186</f>
        <v>0.1353</v>
      </c>
    </row>
    <row r="187" customFormat="false" ht="15" hidden="false" customHeight="false" outlineLevel="0" collapsed="false">
      <c r="A187" s="0" t="str">
        <f aca="false">Sheet1!A187</f>
        <v>N3205</v>
      </c>
      <c r="B187" s="0" t="str">
        <f aca="false">Sheet1!B187</f>
        <v>ADVW</v>
      </c>
      <c r="C187" s="0" t="n">
        <f aca="false">Sheet1!C187</f>
        <v>393</v>
      </c>
      <c r="D187" s="0" t="str">
        <f aca="false">Sheet1!D187</f>
        <v>ADVW.393.4</v>
      </c>
      <c r="E187" s="0" t="n">
        <f aca="false">Sheet1!E187</f>
        <v>0</v>
      </c>
      <c r="F187" s="0" t="e">
        <f aca="false">Sheet1!F187</f>
        <v>#N/A</v>
      </c>
      <c r="G187" s="0" t="n">
        <f aca="false">Sheet1!G187</f>
        <v>3118.0156</v>
      </c>
      <c r="H187" s="0" t="n">
        <f aca="false">Sheet1!H187</f>
        <v>145.5844</v>
      </c>
      <c r="I187" s="0" t="n">
        <f aca="false">Sheet1!I187</f>
        <v>457.3668</v>
      </c>
      <c r="J187" s="0" t="n">
        <f aca="false">Sheet1!J187</f>
        <v>0.42735</v>
      </c>
      <c r="K187" s="0" t="n">
        <f aca="false">Sheet1!K187</f>
        <v>0</v>
      </c>
      <c r="L187" s="0" t="n">
        <f aca="false">SUM(Sheet1!O187:R187)</f>
        <v>743.5455</v>
      </c>
      <c r="M187" s="0" t="n">
        <f aca="false">SUM(Sheet1!S187:V187)</f>
        <v>158.8791</v>
      </c>
      <c r="N187" s="0" t="n">
        <f aca="false">SUM(Sheet1!W187:Z187)</f>
        <v>96.5135</v>
      </c>
      <c r="O187" s="0" t="n">
        <f aca="false">SUM(Sheet1!AA187:AD187)</f>
        <v>97.1986</v>
      </c>
      <c r="P187" s="0" t="n">
        <f aca="false">SUM(Sheet1!AE187:AN187)</f>
        <v>212.2204</v>
      </c>
      <c r="Q187" s="0" t="n">
        <f aca="false">SUM(Sheet1!AO187:AX187)</f>
        <v>192.3095</v>
      </c>
      <c r="R187" s="0" t="n">
        <f aca="false">SUM(Sheet1!AY187:BH187)</f>
        <v>28.2187</v>
      </c>
      <c r="S187" s="0" t="n">
        <f aca="false">SUM(Sheet1!BI187:BR187)</f>
        <v>3.7145</v>
      </c>
      <c r="T187" s="0" t="n">
        <f aca="false">SUM(Sheet1!BS187:CB187)</f>
        <v>0.3621</v>
      </c>
      <c r="U187" s="0" t="n">
        <f aca="false">SUM(Sheet1!CC187:CL187)</f>
        <v>0</v>
      </c>
      <c r="V187" s="0" t="n">
        <f aca="false">Sheet1!CM187</f>
        <v>0</v>
      </c>
    </row>
    <row r="188" customFormat="false" ht="15" hidden="false" customHeight="false" outlineLevel="0" collapsed="false">
      <c r="A188" s="0" t="str">
        <f aca="false">Sheet1!A188</f>
        <v>N3206</v>
      </c>
      <c r="B188" s="0" t="str">
        <f aca="false">Sheet1!B188</f>
        <v>VWAD</v>
      </c>
      <c r="C188" s="0" t="n">
        <f aca="false">Sheet1!C188</f>
        <v>135</v>
      </c>
      <c r="D188" s="0" t="str">
        <f aca="false">Sheet1!D188</f>
        <v>VWAD.135.4</v>
      </c>
      <c r="E188" s="0" t="e">
        <f aca="false">Sheet1!E188</f>
        <v>#N/A</v>
      </c>
      <c r="F188" s="0" t="e">
        <f aca="false">Sheet1!F188</f>
        <v>#N/A</v>
      </c>
      <c r="G188" s="0" t="n">
        <f aca="false">Sheet1!G188</f>
        <v>2008.2998</v>
      </c>
      <c r="H188" s="0" t="n">
        <f aca="false">Sheet1!H188</f>
        <v>161.2243</v>
      </c>
      <c r="I188" s="0" t="n">
        <f aca="false">Sheet1!I188</f>
        <v>506.501</v>
      </c>
      <c r="J188" s="0" t="n">
        <f aca="false">Sheet1!J188</f>
        <v>0.80905</v>
      </c>
      <c r="K188" s="0" t="n">
        <f aca="false">Sheet1!K188</f>
        <v>0</v>
      </c>
      <c r="L188" s="0" t="n">
        <f aca="false">SUM(Sheet1!O188:R188)</f>
        <v>354.1973</v>
      </c>
      <c r="M188" s="0" t="n">
        <f aca="false">SUM(Sheet1!S188:V188)</f>
        <v>151.4351</v>
      </c>
      <c r="N188" s="0" t="n">
        <f aca="false">SUM(Sheet1!W188:Z188)</f>
        <v>106.438</v>
      </c>
      <c r="O188" s="0" t="n">
        <f aca="false">SUM(Sheet1!AA188:AD188)</f>
        <v>74.8804</v>
      </c>
      <c r="P188" s="0" t="n">
        <f aca="false">SUM(Sheet1!AE188:AN188)</f>
        <v>273.3134</v>
      </c>
      <c r="Q188" s="0" t="n">
        <f aca="false">SUM(Sheet1!AO188:AX188)</f>
        <v>311.913</v>
      </c>
      <c r="R188" s="0" t="n">
        <f aca="false">SUM(Sheet1!AY188:BH188)</f>
        <v>69.7759</v>
      </c>
      <c r="S188" s="0" t="n">
        <f aca="false">SUM(Sheet1!BI188:BR188)</f>
        <v>10.8742</v>
      </c>
      <c r="T188" s="0" t="n">
        <f aca="false">SUM(Sheet1!BS188:CB188)</f>
        <v>3.6595</v>
      </c>
      <c r="U188" s="0" t="n">
        <f aca="false">SUM(Sheet1!CC188:CL188)</f>
        <v>1.9969</v>
      </c>
      <c r="V188" s="0" t="n">
        <f aca="false">Sheet1!CM188</f>
        <v>1.2143</v>
      </c>
    </row>
    <row r="189" customFormat="false" ht="15" hidden="false" customHeight="false" outlineLevel="0" collapsed="false">
      <c r="A189" s="0" t="str">
        <f aca="false">Sheet1!A189</f>
        <v>N3210</v>
      </c>
      <c r="B189" s="0" t="str">
        <f aca="false">Sheet1!B189</f>
        <v>ADVW</v>
      </c>
      <c r="C189" s="0" t="n">
        <f aca="false">Sheet1!C189</f>
        <v>298</v>
      </c>
      <c r="D189" s="0" t="str">
        <f aca="false">Sheet1!D189</f>
        <v>ADVW.298.4</v>
      </c>
      <c r="E189" s="0" t="n">
        <f aca="false">Sheet1!E189</f>
        <v>0</v>
      </c>
      <c r="F189" s="0" t="e">
        <f aca="false">Sheet1!F189</f>
        <v>#N/A</v>
      </c>
      <c r="G189" s="0" t="n">
        <f aca="false">Sheet1!G189</f>
        <v>2024.7703</v>
      </c>
      <c r="H189" s="0" t="n">
        <f aca="false">Sheet1!H189</f>
        <v>105.5138</v>
      </c>
      <c r="I189" s="0" t="n">
        <f aca="false">Sheet1!I189</f>
        <v>331.4815</v>
      </c>
      <c r="J189" s="0" t="n">
        <f aca="false">Sheet1!J189</f>
        <v>0.52</v>
      </c>
      <c r="K189" s="0" t="n">
        <f aca="false">Sheet1!K189</f>
        <v>0</v>
      </c>
      <c r="L189" s="0" t="n">
        <f aca="false">SUM(Sheet1!O189:R189)</f>
        <v>473.0372</v>
      </c>
      <c r="M189" s="0" t="n">
        <f aca="false">SUM(Sheet1!S189:V189)</f>
        <v>260.8884</v>
      </c>
      <c r="N189" s="0" t="n">
        <f aca="false">SUM(Sheet1!W189:Z189)</f>
        <v>119.0305</v>
      </c>
      <c r="O189" s="0" t="n">
        <f aca="false">SUM(Sheet1!AA189:AD189)</f>
        <v>84.3105</v>
      </c>
      <c r="P189" s="0" t="n">
        <f aca="false">SUM(Sheet1!AE189:AN189)</f>
        <v>194.2815</v>
      </c>
      <c r="Q189" s="0" t="n">
        <f aca="false">SUM(Sheet1!AO189:AX189)</f>
        <v>115.4103</v>
      </c>
      <c r="R189" s="0" t="n">
        <f aca="false">SUM(Sheet1!AY189:BH189)</f>
        <v>4.1431</v>
      </c>
      <c r="S189" s="0" t="n">
        <f aca="false">SUM(Sheet1!BI189:BR189)</f>
        <v>0.3452</v>
      </c>
      <c r="T189" s="0" t="n">
        <f aca="false">SUM(Sheet1!BS189:CB189)</f>
        <v>0</v>
      </c>
      <c r="U189" s="0" t="n">
        <f aca="false">SUM(Sheet1!CC189:CL189)</f>
        <v>0</v>
      </c>
      <c r="V189" s="0" t="n">
        <f aca="false">Sheet1!CM189</f>
        <v>0</v>
      </c>
    </row>
    <row r="190" customFormat="false" ht="15" hidden="false" customHeight="false" outlineLevel="0" collapsed="false">
      <c r="A190" s="0" t="str">
        <f aca="false">Sheet1!A190</f>
        <v>N3211</v>
      </c>
      <c r="B190" s="0" t="str">
        <f aca="false">Sheet1!B190</f>
        <v>VWAD</v>
      </c>
      <c r="C190" s="0" t="n">
        <f aca="false">Sheet1!C190</f>
        <v>75</v>
      </c>
      <c r="D190" s="0" t="str">
        <f aca="false">Sheet1!D190</f>
        <v>VWAD.75.4</v>
      </c>
      <c r="E190" s="0" t="n">
        <f aca="false">Sheet1!E190</f>
        <v>0</v>
      </c>
      <c r="F190" s="0" t="n">
        <f aca="false">Sheet1!F190</f>
        <v>0</v>
      </c>
      <c r="G190" s="0" t="n">
        <f aca="false">Sheet1!G190</f>
        <v>3167.5987</v>
      </c>
      <c r="H190" s="0" t="n">
        <f aca="false">Sheet1!H190</f>
        <v>287.2391</v>
      </c>
      <c r="I190" s="0" t="n">
        <f aca="false">Sheet1!I190</f>
        <v>902.3879</v>
      </c>
      <c r="J190" s="0" t="n">
        <f aca="false">Sheet1!J190</f>
        <v>0.7849</v>
      </c>
      <c r="K190" s="0" t="n">
        <f aca="false">Sheet1!K190</f>
        <v>0.0153</v>
      </c>
      <c r="L190" s="0" t="n">
        <f aca="false">SUM(Sheet1!O190:R190)</f>
        <v>1104.1161</v>
      </c>
      <c r="M190" s="0" t="n">
        <f aca="false">SUM(Sheet1!S190:V190)</f>
        <v>600.4547</v>
      </c>
      <c r="N190" s="0" t="n">
        <f aca="false">SUM(Sheet1!W190:Z190)</f>
        <v>317.4352</v>
      </c>
      <c r="O190" s="0" t="n">
        <f aca="false">SUM(Sheet1!AA190:AD190)</f>
        <v>193.7297</v>
      </c>
      <c r="P190" s="0" t="n">
        <f aca="false">SUM(Sheet1!AE190:AN190)</f>
        <v>243.2628</v>
      </c>
      <c r="Q190" s="0" t="n">
        <f aca="false">SUM(Sheet1!AO190:AX190)</f>
        <v>221.644</v>
      </c>
      <c r="R190" s="0" t="n">
        <f aca="false">SUM(Sheet1!AY190:BH190)</f>
        <v>234.2569</v>
      </c>
      <c r="S190" s="0" t="n">
        <f aca="false">SUM(Sheet1!BI190:BR190)</f>
        <v>56.6984</v>
      </c>
      <c r="T190" s="0" t="n">
        <f aca="false">SUM(Sheet1!BS190:CB190)</f>
        <v>7.6901</v>
      </c>
      <c r="U190" s="0" t="n">
        <f aca="false">SUM(Sheet1!CC190:CL190)</f>
        <v>3.9939</v>
      </c>
      <c r="V190" s="0" t="n">
        <f aca="false">Sheet1!CM190</f>
        <v>2.2628</v>
      </c>
    </row>
    <row r="191" customFormat="false" ht="15" hidden="false" customHeight="false" outlineLevel="0" collapsed="false">
      <c r="A191" s="0" t="str">
        <f aca="false">Sheet1!A191</f>
        <v>N3216</v>
      </c>
      <c r="B191" s="0" t="str">
        <f aca="false">Sheet1!B191</f>
        <v>VWAD</v>
      </c>
      <c r="C191" s="0" t="n">
        <f aca="false">Sheet1!C191</f>
        <v>182</v>
      </c>
      <c r="D191" s="0" t="str">
        <f aca="false">Sheet1!D191</f>
        <v>VWAD.182.4</v>
      </c>
      <c r="E191" s="0" t="n">
        <f aca="false">Sheet1!E191</f>
        <v>0</v>
      </c>
      <c r="F191" s="0" t="n">
        <f aca="false">Sheet1!F191</f>
        <v>0</v>
      </c>
      <c r="G191" s="0" t="n">
        <f aca="false">Sheet1!G191</f>
        <v>4922.3434</v>
      </c>
      <c r="H191" s="0" t="n">
        <f aca="false">Sheet1!H191</f>
        <v>230.7706</v>
      </c>
      <c r="I191" s="0" t="n">
        <f aca="false">Sheet1!I191</f>
        <v>724.9873</v>
      </c>
      <c r="J191" s="0" t="n">
        <f aca="false">Sheet1!J191</f>
        <v>0.4492</v>
      </c>
      <c r="K191" s="0" t="n">
        <f aca="false">Sheet1!K191</f>
        <v>0</v>
      </c>
      <c r="L191" s="0" t="n">
        <f aca="false">SUM(Sheet1!O191:R191)</f>
        <v>1685.407</v>
      </c>
      <c r="M191" s="0" t="n">
        <f aca="false">SUM(Sheet1!S191:V191)</f>
        <v>421.9228</v>
      </c>
      <c r="N191" s="0" t="n">
        <f aca="false">SUM(Sheet1!W191:Z191)</f>
        <v>221.3533</v>
      </c>
      <c r="O191" s="0" t="n">
        <f aca="false">SUM(Sheet1!AA191:AD191)</f>
        <v>121.6169</v>
      </c>
      <c r="P191" s="0" t="n">
        <f aca="false">SUM(Sheet1!AE191:AN191)</f>
        <v>281.1651</v>
      </c>
      <c r="Q191" s="0" t="n">
        <f aca="false">SUM(Sheet1!AO191:AX191)</f>
        <v>191.7039</v>
      </c>
      <c r="R191" s="0" t="n">
        <f aca="false">SUM(Sheet1!AY191:BH191)</f>
        <v>98.1705</v>
      </c>
      <c r="S191" s="0" t="n">
        <f aca="false">SUM(Sheet1!BI191:BR191)</f>
        <v>18.075</v>
      </c>
      <c r="T191" s="0" t="n">
        <f aca="false">SUM(Sheet1!BS191:CB191)</f>
        <v>8.6864</v>
      </c>
      <c r="U191" s="0" t="n">
        <f aca="false">SUM(Sheet1!CC191:CL191)</f>
        <v>0.9873</v>
      </c>
      <c r="V191" s="0" t="n">
        <f aca="false">Sheet1!CM191</f>
        <v>0.2991</v>
      </c>
    </row>
    <row r="192" customFormat="false" ht="15" hidden="false" customHeight="false" outlineLevel="0" collapsed="false">
      <c r="A192" s="0" t="str">
        <f aca="false">Sheet1!A192</f>
        <v>N3217</v>
      </c>
      <c r="B192" s="0" t="str">
        <f aca="false">Sheet1!B192</f>
        <v>ADVW</v>
      </c>
      <c r="C192" s="0" t="n">
        <f aca="false">Sheet1!C192</f>
        <v>299</v>
      </c>
      <c r="D192" s="0" t="str">
        <f aca="false">Sheet1!D192</f>
        <v>ADVW.299.4</v>
      </c>
      <c r="E192" s="0" t="n">
        <f aca="false">Sheet1!E192</f>
        <v>0</v>
      </c>
      <c r="F192" s="0" t="n">
        <f aca="false">Sheet1!F192</f>
        <v>0</v>
      </c>
      <c r="G192" s="0" t="n">
        <f aca="false">Sheet1!G192</f>
        <v>2102.4842</v>
      </c>
      <c r="H192" s="0" t="n">
        <f aca="false">Sheet1!H192</f>
        <v>135.5472</v>
      </c>
      <c r="I192" s="0" t="n">
        <f aca="false">Sheet1!I192</f>
        <v>425.834</v>
      </c>
      <c r="J192" s="0" t="n">
        <f aca="false">Sheet1!J192</f>
        <v>0.556433333333333</v>
      </c>
      <c r="K192" s="0" t="n">
        <f aca="false">Sheet1!K192</f>
        <v>0</v>
      </c>
      <c r="L192" s="0" t="n">
        <f aca="false">SUM(Sheet1!O192:R192)</f>
        <v>588.1545</v>
      </c>
      <c r="M192" s="0" t="n">
        <f aca="false">SUM(Sheet1!S192:V192)</f>
        <v>187.7228</v>
      </c>
      <c r="N192" s="0" t="n">
        <f aca="false">SUM(Sheet1!W192:Z192)</f>
        <v>102.3514</v>
      </c>
      <c r="O192" s="0" t="n">
        <f aca="false">SUM(Sheet1!AA192:AD192)</f>
        <v>63.5022</v>
      </c>
      <c r="P192" s="0" t="n">
        <f aca="false">SUM(Sheet1!AE192:AN192)</f>
        <v>214.1469</v>
      </c>
      <c r="Q192" s="0" t="n">
        <f aca="false">SUM(Sheet1!AO192:AX192)</f>
        <v>201.8465</v>
      </c>
      <c r="R192" s="0" t="n">
        <f aca="false">SUM(Sheet1!AY192:BH192)</f>
        <v>58.6222</v>
      </c>
      <c r="S192" s="0" t="n">
        <f aca="false">SUM(Sheet1!BI192:BR192)</f>
        <v>14.3438</v>
      </c>
      <c r="T192" s="0" t="n">
        <f aca="false">SUM(Sheet1!BS192:CB192)</f>
        <v>2.3192</v>
      </c>
      <c r="U192" s="0" t="n">
        <f aca="false">SUM(Sheet1!CC192:CL192)</f>
        <v>1.5348</v>
      </c>
      <c r="V192" s="0" t="n">
        <f aca="false">Sheet1!CM192</f>
        <v>0.3035</v>
      </c>
    </row>
    <row r="193" customFormat="false" ht="15" hidden="false" customHeight="false" outlineLevel="0" collapsed="false">
      <c r="A193" s="0" t="str">
        <f aca="false">Sheet1!A193</f>
        <v>N3220</v>
      </c>
      <c r="B193" s="0" t="str">
        <f aca="false">Sheet1!B193</f>
        <v>ADVW</v>
      </c>
      <c r="C193" s="0" t="n">
        <f aca="false">Sheet1!C193</f>
        <v>284</v>
      </c>
      <c r="D193" s="0" t="str">
        <f aca="false">Sheet1!D193</f>
        <v>ADVW.284.4</v>
      </c>
      <c r="E193" s="0" t="n">
        <f aca="false">Sheet1!E193</f>
        <v>0</v>
      </c>
      <c r="F193" s="0" t="n">
        <f aca="false">Sheet1!F193</f>
        <v>0</v>
      </c>
      <c r="G193" s="0" t="n">
        <f aca="false">Sheet1!G193</f>
        <v>3155.4153</v>
      </c>
      <c r="H193" s="0" t="n">
        <f aca="false">Sheet1!H193</f>
        <v>169.7447</v>
      </c>
      <c r="I193" s="0" t="n">
        <f aca="false">Sheet1!I193</f>
        <v>533.2686</v>
      </c>
      <c r="J193" s="0" t="n">
        <f aca="false">Sheet1!J193</f>
        <v>0.48196</v>
      </c>
      <c r="K193" s="0" t="n">
        <f aca="false">Sheet1!K193</f>
        <v>0.0127</v>
      </c>
      <c r="L193" s="0" t="n">
        <f aca="false">SUM(Sheet1!O193:R193)</f>
        <v>1180.9644</v>
      </c>
      <c r="M193" s="0" t="n">
        <f aca="false">SUM(Sheet1!S193:V193)</f>
        <v>286.3772</v>
      </c>
      <c r="N193" s="0" t="n">
        <f aca="false">SUM(Sheet1!W193:Z193)</f>
        <v>162.6805</v>
      </c>
      <c r="O193" s="0" t="n">
        <f aca="false">SUM(Sheet1!AA193:AD193)</f>
        <v>106.7824</v>
      </c>
      <c r="P193" s="0" t="n">
        <f aca="false">SUM(Sheet1!AE193:AN193)</f>
        <v>284.0809</v>
      </c>
      <c r="Q193" s="0" t="n">
        <f aca="false">SUM(Sheet1!AO193:AX193)</f>
        <v>207.8187</v>
      </c>
      <c r="R193" s="0" t="n">
        <f aca="false">SUM(Sheet1!AY193:BH193)</f>
        <v>41.5423</v>
      </c>
      <c r="S193" s="0" t="n">
        <f aca="false">SUM(Sheet1!BI193:BR193)</f>
        <v>2.4309</v>
      </c>
      <c r="T193" s="0" t="n">
        <f aca="false">SUM(Sheet1!BS193:CB193)</f>
        <v>1.2005</v>
      </c>
      <c r="U193" s="0" t="n">
        <f aca="false">SUM(Sheet1!CC193:CL193)</f>
        <v>0.7473</v>
      </c>
      <c r="V193" s="0" t="n">
        <f aca="false">Sheet1!CM193</f>
        <v>0.5474</v>
      </c>
    </row>
    <row r="194" customFormat="false" ht="15" hidden="false" customHeight="false" outlineLevel="0" collapsed="false">
      <c r="A194" s="0" t="str">
        <f aca="false">Sheet1!A194</f>
        <v>N3303</v>
      </c>
      <c r="B194" s="0" t="str">
        <f aca="false">Sheet1!B194</f>
        <v>VWAD</v>
      </c>
      <c r="C194" s="0" t="n">
        <f aca="false">Sheet1!C194</f>
        <v>68</v>
      </c>
      <c r="D194" s="0" t="str">
        <f aca="false">Sheet1!D194</f>
        <v>VWAD.68.4</v>
      </c>
      <c r="E194" s="0" t="n">
        <f aca="false">Sheet1!E194</f>
        <v>0</v>
      </c>
      <c r="F194" s="0" t="n">
        <f aca="false">Sheet1!F194</f>
        <v>2.6382</v>
      </c>
      <c r="G194" s="0" t="n">
        <f aca="false">Sheet1!G194</f>
        <v>2008.9071</v>
      </c>
      <c r="H194" s="0" t="n">
        <f aca="false">Sheet1!H194</f>
        <v>195.8087</v>
      </c>
      <c r="I194" s="0" t="n">
        <f aca="false">Sheet1!I194</f>
        <v>615.1511</v>
      </c>
      <c r="J194" s="0" t="n">
        <f aca="false">Sheet1!J194</f>
        <v>0.93515</v>
      </c>
      <c r="K194" s="0" t="n">
        <f aca="false">Sheet1!K194</f>
        <v>0</v>
      </c>
      <c r="L194" s="0" t="n">
        <f aca="false">SUM(Sheet1!O194:R194)</f>
        <v>606.4665</v>
      </c>
      <c r="M194" s="0" t="n">
        <f aca="false">SUM(Sheet1!S194:V194)</f>
        <v>373.439</v>
      </c>
      <c r="N194" s="0" t="n">
        <f aca="false">SUM(Sheet1!W194:Z194)</f>
        <v>176.0166</v>
      </c>
      <c r="O194" s="0" t="n">
        <f aca="false">SUM(Sheet1!AA194:AD194)</f>
        <v>134.4418</v>
      </c>
      <c r="P194" s="0" t="n">
        <f aca="false">SUM(Sheet1!AE194:AN194)</f>
        <v>217.5152</v>
      </c>
      <c r="Q194" s="0" t="n">
        <f aca="false">SUM(Sheet1!AO194:AX194)</f>
        <v>232.7448</v>
      </c>
      <c r="R194" s="0" t="n">
        <f aca="false">SUM(Sheet1!AY194:BH194)</f>
        <v>110.2012</v>
      </c>
      <c r="S194" s="0" t="n">
        <f aca="false">SUM(Sheet1!BI194:BR194)</f>
        <v>23.8569</v>
      </c>
      <c r="T194" s="0" t="n">
        <f aca="false">SUM(Sheet1!BS194:CB194)</f>
        <v>10.436</v>
      </c>
      <c r="U194" s="0" t="n">
        <f aca="false">SUM(Sheet1!CC194:CL194)</f>
        <v>6.7812</v>
      </c>
      <c r="V194" s="0" t="n">
        <f aca="false">Sheet1!CM194</f>
        <v>8.6809</v>
      </c>
    </row>
    <row r="195" customFormat="false" ht="15" hidden="false" customHeight="false" outlineLevel="0" collapsed="false">
      <c r="A195" s="0" t="str">
        <f aca="false">Sheet1!A195</f>
        <v>N3305</v>
      </c>
      <c r="B195" s="0" t="str">
        <f aca="false">Sheet1!B195</f>
        <v>ADVW</v>
      </c>
      <c r="C195" s="0" t="n">
        <f aca="false">Sheet1!C195</f>
        <v>272</v>
      </c>
      <c r="D195" s="0" t="str">
        <f aca="false">Sheet1!D195</f>
        <v>ADVW.272.4</v>
      </c>
      <c r="E195" s="0" t="n">
        <f aca="false">Sheet1!E195</f>
        <v>0</v>
      </c>
      <c r="F195" s="0" t="n">
        <f aca="false">Sheet1!F195</f>
        <v>0</v>
      </c>
      <c r="G195" s="0" t="n">
        <f aca="false">Sheet1!G195</f>
        <v>2966.5783</v>
      </c>
      <c r="H195" s="0" t="n">
        <f aca="false">Sheet1!H195</f>
        <v>105.965</v>
      </c>
      <c r="I195" s="0" t="n">
        <f aca="false">Sheet1!I195</f>
        <v>332.8989</v>
      </c>
      <c r="J195" s="0" t="n">
        <f aca="false">Sheet1!J195</f>
        <v>0.374433333333333</v>
      </c>
      <c r="K195" s="0" t="n">
        <f aca="false">Sheet1!K195</f>
        <v>0.019</v>
      </c>
      <c r="L195" s="0" t="n">
        <f aca="false">SUM(Sheet1!O195:R195)</f>
        <v>1020.1695</v>
      </c>
      <c r="M195" s="0" t="n">
        <f aca="false">SUM(Sheet1!S195:V195)</f>
        <v>243.7072</v>
      </c>
      <c r="N195" s="0" t="n">
        <f aca="false">SUM(Sheet1!W195:Z195)</f>
        <v>115.3678</v>
      </c>
      <c r="O195" s="0" t="n">
        <f aca="false">SUM(Sheet1!AA195:AD195)</f>
        <v>65.6729</v>
      </c>
      <c r="P195" s="0" t="n">
        <f aca="false">SUM(Sheet1!AE195:AN195)</f>
        <v>146.5657</v>
      </c>
      <c r="Q195" s="0" t="n">
        <f aca="false">SUM(Sheet1!AO195:AX195)</f>
        <v>48.9015</v>
      </c>
      <c r="R195" s="0" t="n">
        <f aca="false">SUM(Sheet1!AY195:BH195)</f>
        <v>2.6107</v>
      </c>
      <c r="S195" s="0" t="n">
        <f aca="false">SUM(Sheet1!BI195:BR195)</f>
        <v>0</v>
      </c>
      <c r="T195" s="0" t="n">
        <f aca="false">SUM(Sheet1!BS195:CB195)</f>
        <v>0</v>
      </c>
      <c r="U195" s="0" t="n">
        <f aca="false">SUM(Sheet1!CC195:CL195)</f>
        <v>0</v>
      </c>
      <c r="V195" s="0" t="n">
        <f aca="false">Sheet1!CM195</f>
        <v>0</v>
      </c>
    </row>
    <row r="196" customFormat="false" ht="15" hidden="false" customHeight="false" outlineLevel="0" collapsed="false">
      <c r="A196" s="0" t="str">
        <f aca="false">Sheet1!A196</f>
        <v>N3306</v>
      </c>
      <c r="B196" s="0" t="str">
        <f aca="false">Sheet1!B196</f>
        <v>VWAD</v>
      </c>
      <c r="C196" s="0" t="n">
        <f aca="false">Sheet1!C196</f>
        <v>130</v>
      </c>
      <c r="D196" s="0" t="str">
        <f aca="false">Sheet1!D196</f>
        <v>VWAD.130.4</v>
      </c>
      <c r="E196" s="0" t="e">
        <f aca="false">Sheet1!E196</f>
        <v>#N/A</v>
      </c>
      <c r="F196" s="0" t="n">
        <f aca="false">Sheet1!F196</f>
        <v>4.6274</v>
      </c>
      <c r="G196" s="0" t="n">
        <f aca="false">Sheet1!G196</f>
        <v>2314.3193</v>
      </c>
      <c r="H196" s="0" t="n">
        <f aca="false">Sheet1!H196</f>
        <v>272.1988</v>
      </c>
      <c r="I196" s="0" t="n">
        <f aca="false">Sheet1!I196</f>
        <v>855.1378</v>
      </c>
      <c r="J196" s="0" t="n">
        <f aca="false">Sheet1!J196</f>
        <v>1.1679</v>
      </c>
      <c r="K196" s="0" t="n">
        <f aca="false">Sheet1!K196</f>
        <v>0</v>
      </c>
      <c r="L196" s="0" t="n">
        <f aca="false">SUM(Sheet1!O196:R196)</f>
        <v>549.3616</v>
      </c>
      <c r="M196" s="0" t="n">
        <f aca="false">SUM(Sheet1!S196:V196)</f>
        <v>299.9918</v>
      </c>
      <c r="N196" s="0" t="n">
        <f aca="false">SUM(Sheet1!W196:Z196)</f>
        <v>211.508</v>
      </c>
      <c r="O196" s="0" t="n">
        <f aca="false">SUM(Sheet1!AA196:AD196)</f>
        <v>154.5111</v>
      </c>
      <c r="P196" s="0" t="n">
        <f aca="false">SUM(Sheet1!AE196:AN196)</f>
        <v>366.2381</v>
      </c>
      <c r="Q196" s="0" t="n">
        <f aca="false">SUM(Sheet1!AO196:AX196)</f>
        <v>370.9586</v>
      </c>
      <c r="R196" s="0" t="n">
        <f aca="false">SUM(Sheet1!AY196:BH196)</f>
        <v>167.773</v>
      </c>
      <c r="S196" s="0" t="n">
        <f aca="false">SUM(Sheet1!BI196:BR196)</f>
        <v>50.2599</v>
      </c>
      <c r="T196" s="0" t="n">
        <f aca="false">SUM(Sheet1!BS196:CB196)</f>
        <v>17.9488</v>
      </c>
      <c r="U196" s="0" t="n">
        <f aca="false">SUM(Sheet1!CC196:CL196)</f>
        <v>10.8077</v>
      </c>
      <c r="V196" s="0" t="n">
        <f aca="false">Sheet1!CM196</f>
        <v>12.7115</v>
      </c>
    </row>
    <row r="197" customFormat="false" ht="15" hidden="false" customHeight="false" outlineLevel="0" collapsed="false">
      <c r="A197" s="0" t="str">
        <f aca="false">Sheet1!A197</f>
        <v>N3307</v>
      </c>
      <c r="B197" s="0" t="str">
        <f aca="false">Sheet1!B197</f>
        <v>ADVW</v>
      </c>
      <c r="C197" s="0" t="n">
        <f aca="false">Sheet1!C197</f>
        <v>292</v>
      </c>
      <c r="D197" s="0" t="str">
        <f aca="false">Sheet1!D197</f>
        <v>ADVW.292.4</v>
      </c>
      <c r="E197" s="0" t="n">
        <f aca="false">Sheet1!E197</f>
        <v>0</v>
      </c>
      <c r="F197" s="0" t="n">
        <f aca="false">Sheet1!F197</f>
        <v>0</v>
      </c>
      <c r="G197" s="0" t="n">
        <f aca="false">Sheet1!G197</f>
        <v>512.1194</v>
      </c>
      <c r="H197" s="0" t="n">
        <f aca="false">Sheet1!H197</f>
        <v>33.2971</v>
      </c>
      <c r="I197" s="0" t="n">
        <f aca="false">Sheet1!I197</f>
        <v>104.6058</v>
      </c>
      <c r="J197" s="0" t="n">
        <f aca="false">Sheet1!J197</f>
        <v>0.6502</v>
      </c>
      <c r="K197" s="0" t="n">
        <f aca="false">Sheet1!K197</f>
        <v>0</v>
      </c>
      <c r="L197" s="0" t="n">
        <f aca="false">SUM(Sheet1!O197:R197)</f>
        <v>118.3448</v>
      </c>
      <c r="M197" s="0" t="n">
        <f aca="false">SUM(Sheet1!S197:V197)</f>
        <v>59.0638</v>
      </c>
      <c r="N197" s="0" t="n">
        <f aca="false">SUM(Sheet1!W197:Z197)</f>
        <v>49.2782</v>
      </c>
      <c r="O197" s="0" t="n">
        <f aca="false">SUM(Sheet1!AA197:AD197)</f>
        <v>24.215</v>
      </c>
      <c r="P197" s="0" t="n">
        <f aca="false">SUM(Sheet1!AE197:AN197)</f>
        <v>77.1537</v>
      </c>
      <c r="Q197" s="0" t="n">
        <f aca="false">SUM(Sheet1!AO197:AX197)</f>
        <v>37.8154</v>
      </c>
      <c r="R197" s="0" t="n">
        <f aca="false">SUM(Sheet1!AY197:BH197)</f>
        <v>9.5596</v>
      </c>
      <c r="S197" s="0" t="n">
        <f aca="false">SUM(Sheet1!BI197:BR197)</f>
        <v>0.911</v>
      </c>
      <c r="T197" s="0" t="n">
        <f aca="false">SUM(Sheet1!BS197:CB197)</f>
        <v>0</v>
      </c>
      <c r="U197" s="0" t="n">
        <f aca="false">SUM(Sheet1!CC197:CL197)</f>
        <v>0</v>
      </c>
      <c r="V197" s="0" t="n">
        <f aca="false">Sheet1!CM197</f>
        <v>0</v>
      </c>
    </row>
    <row r="198" customFormat="false" ht="15" hidden="false" customHeight="false" outlineLevel="0" collapsed="false">
      <c r="A198" s="0" t="str">
        <f aca="false">Sheet1!A198</f>
        <v>N3310</v>
      </c>
      <c r="B198" s="0" t="str">
        <f aca="false">Sheet1!B198</f>
        <v>VWAD</v>
      </c>
      <c r="C198" s="0" t="n">
        <f aca="false">Sheet1!C198</f>
        <v>167</v>
      </c>
      <c r="D198" s="0" t="str">
        <f aca="false">Sheet1!D198</f>
        <v>VWAD.167.4</v>
      </c>
      <c r="E198" s="0" t="n">
        <f aca="false">Sheet1!E198</f>
        <v>0</v>
      </c>
      <c r="F198" s="0" t="n">
        <f aca="false">Sheet1!F198</f>
        <v>0</v>
      </c>
      <c r="G198" s="0" t="n">
        <f aca="false">Sheet1!G198</f>
        <v>4980.4968</v>
      </c>
      <c r="H198" s="0" t="n">
        <f aca="false">Sheet1!H198</f>
        <v>231.9297</v>
      </c>
      <c r="I198" s="0" t="n">
        <f aca="false">Sheet1!I198</f>
        <v>728.6287</v>
      </c>
      <c r="J198" s="0" t="n">
        <f aca="false">Sheet1!J198</f>
        <v>0.41365</v>
      </c>
      <c r="K198" s="0" t="n">
        <f aca="false">Sheet1!K198</f>
        <v>0.0754</v>
      </c>
      <c r="L198" s="0" t="n">
        <f aca="false">SUM(Sheet1!O198:R198)</f>
        <v>1501.5737</v>
      </c>
      <c r="M198" s="0" t="n">
        <f aca="false">SUM(Sheet1!S198:V198)</f>
        <v>427.3216</v>
      </c>
      <c r="N198" s="0" t="n">
        <f aca="false">SUM(Sheet1!W198:Z198)</f>
        <v>272.1578</v>
      </c>
      <c r="O198" s="0" t="n">
        <f aca="false">SUM(Sheet1!AA198:AD198)</f>
        <v>165.6719</v>
      </c>
      <c r="P198" s="0" t="n">
        <f aca="false">SUM(Sheet1!AE198:AN198)</f>
        <v>392.8408</v>
      </c>
      <c r="Q198" s="0" t="n">
        <f aca="false">SUM(Sheet1!AO198:AX198)</f>
        <v>234.8318</v>
      </c>
      <c r="R198" s="0" t="n">
        <f aca="false">SUM(Sheet1!AY198:BH198)</f>
        <v>24.5953</v>
      </c>
      <c r="S198" s="0" t="n">
        <f aca="false">SUM(Sheet1!BI198:BR198)</f>
        <v>2.3205</v>
      </c>
      <c r="T198" s="0" t="n">
        <f aca="false">SUM(Sheet1!BS198:CB198)</f>
        <v>0.2537</v>
      </c>
      <c r="U198" s="0" t="n">
        <f aca="false">SUM(Sheet1!CC198:CL198)</f>
        <v>0</v>
      </c>
      <c r="V198" s="0" t="n">
        <f aca="false">Sheet1!CM198</f>
        <v>0</v>
      </c>
    </row>
    <row r="199" customFormat="false" ht="15" hidden="false" customHeight="false" outlineLevel="0" collapsed="false">
      <c r="A199" s="0" t="str">
        <f aca="false">Sheet1!A199</f>
        <v>N3311</v>
      </c>
      <c r="B199" s="0" t="str">
        <f aca="false">Sheet1!B199</f>
        <v>ADVW</v>
      </c>
      <c r="C199" s="0" t="n">
        <f aca="false">Sheet1!C199</f>
        <v>207</v>
      </c>
      <c r="D199" s="0" t="str">
        <f aca="false">Sheet1!D199</f>
        <v>ADVW.207.4</v>
      </c>
      <c r="E199" s="0" t="n">
        <f aca="false">Sheet1!E199</f>
        <v>0</v>
      </c>
      <c r="F199" s="0" t="e">
        <f aca="false">Sheet1!F199</f>
        <v>#N/A</v>
      </c>
      <c r="G199" s="0" t="n">
        <f aca="false">Sheet1!G199</f>
        <v>3727.8261</v>
      </c>
      <c r="H199" s="0" t="n">
        <f aca="false">Sheet1!H199</f>
        <v>205.7956</v>
      </c>
      <c r="I199" s="0" t="n">
        <f aca="false">Sheet1!I199</f>
        <v>646.526</v>
      </c>
      <c r="J199" s="0" t="n">
        <f aca="false">Sheet1!J199</f>
        <v>0.472966666666667</v>
      </c>
      <c r="K199" s="0" t="n">
        <f aca="false">Sheet1!K199</f>
        <v>0</v>
      </c>
      <c r="L199" s="0" t="n">
        <f aca="false">SUM(Sheet1!O199:R199)</f>
        <v>660.8227</v>
      </c>
      <c r="M199" s="0" t="n">
        <f aca="false">SUM(Sheet1!S199:V199)</f>
        <v>303.591</v>
      </c>
      <c r="N199" s="0" t="n">
        <f aca="false">SUM(Sheet1!W199:Z199)</f>
        <v>194.3509</v>
      </c>
      <c r="O199" s="0" t="n">
        <f aca="false">SUM(Sheet1!AA199:AD199)</f>
        <v>173.0483</v>
      </c>
      <c r="P199" s="0" t="n">
        <f aca="false">SUM(Sheet1!AE199:AN199)</f>
        <v>456.5366</v>
      </c>
      <c r="Q199" s="0" t="n">
        <f aca="false">SUM(Sheet1!AO199:AX199)</f>
        <v>251.486</v>
      </c>
      <c r="R199" s="0" t="n">
        <f aca="false">SUM(Sheet1!AY199:BH199)</f>
        <v>24.0921</v>
      </c>
      <c r="S199" s="0" t="n">
        <f aca="false">SUM(Sheet1!BI199:BR199)</f>
        <v>1.4314</v>
      </c>
      <c r="T199" s="0" t="n">
        <f aca="false">SUM(Sheet1!BS199:CB199)</f>
        <v>0.2077</v>
      </c>
      <c r="U199" s="0" t="n">
        <f aca="false">SUM(Sheet1!CC199:CL199)</f>
        <v>0</v>
      </c>
      <c r="V199" s="0" t="n">
        <f aca="false">Sheet1!CM199</f>
        <v>0</v>
      </c>
    </row>
    <row r="200" customFormat="false" ht="15" hidden="false" customHeight="false" outlineLevel="0" collapsed="false">
      <c r="A200" s="0" t="str">
        <f aca="false">Sheet1!A200</f>
        <v>N3316</v>
      </c>
      <c r="B200" s="0" t="str">
        <f aca="false">Sheet1!B200</f>
        <v>ADVW</v>
      </c>
      <c r="C200" s="0" t="n">
        <f aca="false">Sheet1!C200</f>
        <v>350</v>
      </c>
      <c r="D200" s="0" t="str">
        <f aca="false">Sheet1!D200</f>
        <v>ADVW.350.4</v>
      </c>
      <c r="E200" s="0" t="n">
        <f aca="false">Sheet1!E200</f>
        <v>0</v>
      </c>
      <c r="F200" s="0" t="n">
        <f aca="false">Sheet1!F200</f>
        <v>0</v>
      </c>
      <c r="G200" s="0" t="n">
        <f aca="false">Sheet1!G200</f>
        <v>589.0921</v>
      </c>
      <c r="H200" s="0" t="n">
        <f aca="false">Sheet1!H200</f>
        <v>23.123</v>
      </c>
      <c r="I200" s="0" t="n">
        <f aca="false">Sheet1!I200</f>
        <v>72.6431</v>
      </c>
      <c r="J200" s="0" t="n">
        <f aca="false">Sheet1!J200</f>
        <v>0.3925</v>
      </c>
      <c r="K200" s="0" t="n">
        <f aca="false">Sheet1!K200</f>
        <v>0</v>
      </c>
      <c r="L200" s="0" t="n">
        <f aca="false">SUM(Sheet1!O200:R200)</f>
        <v>201.358</v>
      </c>
      <c r="M200" s="0" t="n">
        <f aca="false">SUM(Sheet1!S200:V200)</f>
        <v>95.0927</v>
      </c>
      <c r="N200" s="0" t="n">
        <f aca="false">SUM(Sheet1!W200:Z200)</f>
        <v>34.2803</v>
      </c>
      <c r="O200" s="0" t="n">
        <f aca="false">SUM(Sheet1!AA200:AD200)</f>
        <v>18.8725</v>
      </c>
      <c r="P200" s="0" t="n">
        <f aca="false">SUM(Sheet1!AE200:AN200)</f>
        <v>13.9958</v>
      </c>
      <c r="Q200" s="0" t="n">
        <f aca="false">SUM(Sheet1!AO200:AX200)</f>
        <v>4.9299</v>
      </c>
      <c r="R200" s="0" t="n">
        <f aca="false">SUM(Sheet1!AY200:BH200)</f>
        <v>8.1132</v>
      </c>
      <c r="S200" s="0" t="n">
        <f aca="false">SUM(Sheet1!BI200:BR200)</f>
        <v>0.0861</v>
      </c>
      <c r="T200" s="0" t="n">
        <f aca="false">SUM(Sheet1!BS200:CB200)</f>
        <v>0</v>
      </c>
      <c r="U200" s="0" t="n">
        <f aca="false">SUM(Sheet1!CC200:CL200)</f>
        <v>0</v>
      </c>
      <c r="V200" s="0" t="n">
        <f aca="false">Sheet1!CM200</f>
        <v>0</v>
      </c>
    </row>
    <row r="201" customFormat="false" ht="15" hidden="false" customHeight="false" outlineLevel="0" collapsed="false">
      <c r="A201" s="0" t="str">
        <f aca="false">Sheet1!A201</f>
        <v>N3317</v>
      </c>
      <c r="B201" s="0" t="str">
        <f aca="false">Sheet1!B201</f>
        <v>VWAD</v>
      </c>
      <c r="C201" s="0" t="n">
        <f aca="false">Sheet1!C201</f>
        <v>32</v>
      </c>
      <c r="D201" s="0" t="str">
        <f aca="false">Sheet1!D201</f>
        <v>VWAD.32.4</v>
      </c>
      <c r="E201" s="0" t="n">
        <f aca="false">Sheet1!E201</f>
        <v>0</v>
      </c>
      <c r="F201" s="0" t="n">
        <f aca="false">Sheet1!F201</f>
        <v>0</v>
      </c>
      <c r="G201" s="0" t="n">
        <f aca="false">Sheet1!G201</f>
        <v>3033.9284</v>
      </c>
      <c r="H201" s="0" t="n">
        <f aca="false">Sheet1!H201</f>
        <v>202.124</v>
      </c>
      <c r="I201" s="0" t="n">
        <f aca="false">Sheet1!I201</f>
        <v>634.9913</v>
      </c>
      <c r="J201" s="0" t="n">
        <f aca="false">Sheet1!J201</f>
        <v>0.659766666666667</v>
      </c>
      <c r="K201" s="0" t="n">
        <f aca="false">Sheet1!K201</f>
        <v>0</v>
      </c>
      <c r="L201" s="0" t="n">
        <f aca="false">SUM(Sheet1!O201:R201)</f>
        <v>526.7168</v>
      </c>
      <c r="M201" s="0" t="n">
        <f aca="false">SUM(Sheet1!S201:V201)</f>
        <v>251.7392</v>
      </c>
      <c r="N201" s="0" t="n">
        <f aca="false">SUM(Sheet1!W201:Z201)</f>
        <v>151.5998</v>
      </c>
      <c r="O201" s="0" t="n">
        <f aca="false">SUM(Sheet1!AA201:AD201)</f>
        <v>116.5852</v>
      </c>
      <c r="P201" s="0" t="n">
        <f aca="false">SUM(Sheet1!AE201:AN201)</f>
        <v>292.6506</v>
      </c>
      <c r="Q201" s="0" t="n">
        <f aca="false">SUM(Sheet1!AO201:AX201)</f>
        <v>278.2894</v>
      </c>
      <c r="R201" s="0" t="n">
        <f aca="false">SUM(Sheet1!AY201:BH201)</f>
        <v>79.3553</v>
      </c>
      <c r="S201" s="0" t="n">
        <f aca="false">SUM(Sheet1!BI201:BR201)</f>
        <v>28.0992</v>
      </c>
      <c r="T201" s="0" t="n">
        <f aca="false">SUM(Sheet1!BS201:CB201)</f>
        <v>15.3665</v>
      </c>
      <c r="U201" s="0" t="n">
        <f aca="false">SUM(Sheet1!CC201:CL201)</f>
        <v>5.0229</v>
      </c>
      <c r="V201" s="0" t="n">
        <f aca="false">Sheet1!CM201</f>
        <v>5.6767</v>
      </c>
    </row>
    <row r="202" customFormat="false" ht="15" hidden="false" customHeight="false" outlineLevel="0" collapsed="false">
      <c r="A202" s="0" t="str">
        <f aca="false">Sheet1!A202</f>
        <v>N3318</v>
      </c>
      <c r="B202" s="0" t="str">
        <f aca="false">Sheet1!B202</f>
        <v>ADVW</v>
      </c>
      <c r="C202" s="0" t="n">
        <f aca="false">Sheet1!C202</f>
        <v>267</v>
      </c>
      <c r="D202" s="0" t="str">
        <f aca="false">Sheet1!D202</f>
        <v>ADVW.267.4</v>
      </c>
      <c r="E202" s="0" t="n">
        <f aca="false">Sheet1!E202</f>
        <v>0</v>
      </c>
      <c r="F202" s="0" t="n">
        <f aca="false">Sheet1!F202</f>
        <v>0</v>
      </c>
      <c r="G202" s="0" t="n">
        <f aca="false">Sheet1!G202</f>
        <v>4187.5508</v>
      </c>
      <c r="H202" s="0" t="n">
        <f aca="false">Sheet1!H202</f>
        <v>242.9756</v>
      </c>
      <c r="I202" s="0" t="n">
        <f aca="false">Sheet1!I202</f>
        <v>763.3304</v>
      </c>
      <c r="J202" s="0" t="n">
        <f aca="false">Sheet1!J202</f>
        <v>0.5414</v>
      </c>
      <c r="K202" s="0" t="n">
        <f aca="false">Sheet1!K202</f>
        <v>0</v>
      </c>
      <c r="L202" s="0" t="n">
        <f aca="false">SUM(Sheet1!O202:R202)</f>
        <v>1274.41</v>
      </c>
      <c r="M202" s="0" t="n">
        <f aca="false">SUM(Sheet1!S202:V202)</f>
        <v>456.2512</v>
      </c>
      <c r="N202" s="0" t="n">
        <f aca="false">SUM(Sheet1!W202:Z202)</f>
        <v>246.8445</v>
      </c>
      <c r="O202" s="0" t="n">
        <f aca="false">SUM(Sheet1!AA202:AD202)</f>
        <v>181.4515</v>
      </c>
      <c r="P202" s="0" t="n">
        <f aca="false">SUM(Sheet1!AE202:AN202)</f>
        <v>351.2921</v>
      </c>
      <c r="Q202" s="0" t="n">
        <f aca="false">SUM(Sheet1!AO202:AX202)</f>
        <v>308.3627</v>
      </c>
      <c r="R202" s="0" t="n">
        <f aca="false">SUM(Sheet1!AY202:BH202)</f>
        <v>106.1966</v>
      </c>
      <c r="S202" s="0" t="n">
        <f aca="false">SUM(Sheet1!BI202:BR202)</f>
        <v>9.6672</v>
      </c>
      <c r="T202" s="0" t="n">
        <f aca="false">SUM(Sheet1!BS202:CB202)</f>
        <v>1.7796</v>
      </c>
      <c r="U202" s="0" t="n">
        <f aca="false">SUM(Sheet1!CC202:CL202)</f>
        <v>0.7132</v>
      </c>
      <c r="V202" s="0" t="n">
        <f aca="false">Sheet1!CM202</f>
        <v>0.0555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2842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2021-03-04T20:20:13Z</dcterms:created>
  <dc:creator>Torralbo, Fernando</dc:creator>
  <dc:description/>
  <dc:language>en-US</dc:language>
  <cp:lastModifiedBy/>
  <dcterms:modified xsi:type="dcterms:W3CDTF">2021-07-21T12:50:53Z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